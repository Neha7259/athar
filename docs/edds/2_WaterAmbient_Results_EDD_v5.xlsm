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M:\EAD\002833.000 EAD Self Reporting EDDs\005_Review QAQC EDDs\new EDDs\Final_to_EAD_v2\"/>
    </mc:Choice>
  </mc:AlternateContent>
  <xr:revisionPtr revIDLastSave="0" documentId="13_ncr:1_{BA1E8D20-9C30-4A48-A273-98AF3AB9410F}" xr6:coauthVersionLast="47" xr6:coauthVersionMax="47" xr10:uidLastSave="{00000000-0000-0000-0000-000000000000}"/>
  <bookViews>
    <workbookView xWindow="-120" yWindow="-120" windowWidth="29040" windowHeight="15720" tabRatio="812" xr2:uid="{00000000-000D-0000-FFFF-FFFF00000000}"/>
  </bookViews>
  <sheets>
    <sheet name="Data Field Descriptions" sheetId="24" r:id="rId1"/>
    <sheet name="Results" sheetId="8" r:id="rId2"/>
    <sheet name="List" sheetId="31" r:id="rId3"/>
    <sheet name="Reference" sheetId="32" r:id="rId4"/>
    <sheet name="Draft-Results" sheetId="33" r:id="rId5"/>
    <sheet name="Sample Data" sheetId="30" r:id="rId6"/>
  </sheets>
  <definedNames>
    <definedName name="_xlnm._FilterDatabase" localSheetId="2" hidden="1">List!$M$1:$N$614</definedName>
    <definedName name="_xlnm._FilterDatabase" localSheetId="3" hidden="1">Reference!#REF!</definedName>
    <definedName name="_xlnm._FilterDatabase" localSheetId="1" hidden="1">Results!$A$1:$AA$1</definedName>
    <definedName name="_xlnm._FilterDatabase" localSheetId="5" hidden="1">'Sample Data'!$A$1:$X$629</definedName>
    <definedName name="ActCats" localSheetId="5">#REF!</definedName>
    <definedName name="ActCats">#REF!</definedName>
    <definedName name="ActCatTable" localSheetId="5">#REF!</definedName>
    <definedName name="ActCatTable">#REF!</definedName>
    <definedName name="ActCommentsMax" localSheetId="5">#REF!</definedName>
    <definedName name="ActCommentsMax">#REF!</definedName>
    <definedName name="ActDepthMax" localSheetId="5">#REF!</definedName>
    <definedName name="ActDepthMax">#REF!</definedName>
    <definedName name="ACTIVITY_MATRIX_CODES">#REF!</definedName>
    <definedName name="ACTIVITY_RELATIVE_DEPTH" localSheetId="5">#REF!</definedName>
    <definedName name="ACTIVITY_RELATIVE_DEPTH">#REF!</definedName>
    <definedName name="Activity_Type_Codes">#REF!</definedName>
    <definedName name="ActivityIDMax" localSheetId="5">#REF!</definedName>
    <definedName name="ActivityIDMax">#REF!</definedName>
    <definedName name="ActTypes" localSheetId="5">#REF!</definedName>
    <definedName name="ActTypes">#REF!</definedName>
    <definedName name="ActTypeTable" localSheetId="5">#REF!</definedName>
    <definedName name="ActTypeTable">#REF!</definedName>
    <definedName name="ANALYTICAL_METHOD_CODES" localSheetId="5">#REF!</definedName>
    <definedName name="ANALYTICAL_METHOD_CODES">#REF!</definedName>
    <definedName name="AnalyticalMethodName" localSheetId="5">#REF!</definedName>
    <definedName name="AnalyticalMethodName">#REF!</definedName>
    <definedName name="Chars" localSheetId="5">#REF!</definedName>
    <definedName name="Chars">#REF!</definedName>
    <definedName name="COLLECTION_METHOD_NAME" localSheetId="5">#REF!</definedName>
    <definedName name="COLLECTION_METHOD_NAME">#REF!</definedName>
    <definedName name="County" localSheetId="5">#REF!</definedName>
    <definedName name="County">#REF!</definedName>
    <definedName name="CountyList" localSheetId="5">#REF!</definedName>
    <definedName name="CountyList">#REF!</definedName>
    <definedName name="CountyMax" localSheetId="5">#REF!</definedName>
    <definedName name="CountyMax">#REF!</definedName>
    <definedName name="Depth_Type_Code" localSheetId="5">#REF!</definedName>
    <definedName name="Depth_Type_Code">#REF!</definedName>
    <definedName name="DepthUnits" localSheetId="5">#REF!</definedName>
    <definedName name="DepthUnits">#REF!</definedName>
    <definedName name="DepthUnitsTable" localSheetId="5">#REF!</definedName>
    <definedName name="DepthUnitsTable">#REF!</definedName>
    <definedName name="Detection_Quantitation_Limit_Type_Codes">#REF!</definedName>
    <definedName name="DistToShoreUnits" localSheetId="5">#REF!</definedName>
    <definedName name="DistToShoreUnits">#REF!</definedName>
    <definedName name="DLMax" localSheetId="5">#REF!</definedName>
    <definedName name="DLMax">#REF!</definedName>
    <definedName name="ElDatums" localSheetId="5">#REF!</definedName>
    <definedName name="ElDatums">#REF!</definedName>
    <definedName name="ElDatumTable" localSheetId="5">#REF!</definedName>
    <definedName name="ElDatumTable">#REF!</definedName>
    <definedName name="Elevation_Units" localSheetId="5">#REF!</definedName>
    <definedName name="Elevation_Units">#REF!</definedName>
    <definedName name="ElevationMax" localSheetId="5">#REF!</definedName>
    <definedName name="ElevationMax">#REF!</definedName>
    <definedName name="ElMethods" localSheetId="5">#REF!</definedName>
    <definedName name="ElMethods">#REF!</definedName>
    <definedName name="ElMethodTable" localSheetId="5">#REF!</definedName>
    <definedName name="ElMethodTable">#REF!</definedName>
    <definedName name="ElUnitsTable" localSheetId="5">#REF!</definedName>
    <definedName name="ElUnitsTable">#REF!</definedName>
    <definedName name="FLAPMax" localSheetId="5">#REF!</definedName>
    <definedName name="FLAPMax">#REF!</definedName>
    <definedName name="FLAPSourceMax" localSheetId="5">#REF!</definedName>
    <definedName name="FLAPSourceMax">#REF!</definedName>
    <definedName name="GeoDatums" localSheetId="5">#REF!</definedName>
    <definedName name="GeoDatums">#REF!</definedName>
    <definedName name="GeoDatumTable" localSheetId="5">#REF!</definedName>
    <definedName name="GeoDatumTable">#REF!</definedName>
    <definedName name="GeoMethods" localSheetId="5">#REF!</definedName>
    <definedName name="GeoMethods">#REF!</definedName>
    <definedName name="GeoMethodTable" localSheetId="5">#REF!</definedName>
    <definedName name="GeoMethodTable">#REF!</definedName>
    <definedName name="GreatLakes" localSheetId="5">#REF!</definedName>
    <definedName name="GreatLakes">#REF!</definedName>
    <definedName name="Latitude" localSheetId="5">#REF!</definedName>
    <definedName name="Latitude">#REF!</definedName>
    <definedName name="LatMax" localSheetId="5">#REF!</definedName>
    <definedName name="LatMax">#REF!</definedName>
    <definedName name="Longitude" localSheetId="5">#REF!</definedName>
    <definedName name="Longitude">#REF!</definedName>
    <definedName name="LongMax" localSheetId="5">#REF!</definedName>
    <definedName name="LongMax">#REF!</definedName>
    <definedName name="MediumMax" localSheetId="5">#REF!</definedName>
    <definedName name="MediumMax">#REF!</definedName>
    <definedName name="Mediums">#REF!</definedName>
    <definedName name="MediumTable">#REF!</definedName>
    <definedName name="NALNames" localSheetId="5">#REF!</definedName>
    <definedName name="NALNames">#REF!</definedName>
    <definedName name="NALStateLandNames" localSheetId="5">#REF!</definedName>
    <definedName name="NALStateLandNames">#REF!</definedName>
    <definedName name="NALStateMax" localSheetId="5">#REF!</definedName>
    <definedName name="NALStateMax">#REF!</definedName>
    <definedName name="NALStates" localSheetId="5">#REF!</definedName>
    <definedName name="NALStates">#REF!</definedName>
    <definedName name="OceanNames" localSheetId="5">#REF!</definedName>
    <definedName name="OceanNames">#REF!</definedName>
    <definedName name="PARAMETERS" localSheetId="5">#REF!</definedName>
    <definedName name="PARAMETERS">#REF!</definedName>
    <definedName name="PrimaryTypes" localSheetId="5">#REF!</definedName>
    <definedName name="PrimaryTypes">#REF!</definedName>
    <definedName name="PrimaryTypesTable" localSheetId="5">#REF!</definedName>
    <definedName name="PrimaryTypesTable">#REF!</definedName>
    <definedName name="ProjDurationMax" localSheetId="5">#REF!</definedName>
    <definedName name="ProjDurationMax">#REF!</definedName>
    <definedName name="PROJECT_TYPE_NAME" localSheetId="5">#REF!</definedName>
    <definedName name="PROJECT_TYPE_NAME">#REF!</definedName>
    <definedName name="ProjectIDMax" localSheetId="5">#REF!</definedName>
    <definedName name="ProjectIDMax">#REF!</definedName>
    <definedName name="ProjectIDs" localSheetId="5">#REF!</definedName>
    <definedName name="ProjectIDs">#REF!</definedName>
    <definedName name="projectTypeName" localSheetId="5">#REF!</definedName>
    <definedName name="projectTypeName">#REF!</definedName>
    <definedName name="ProjIDMax" localSheetId="5">#REF!</definedName>
    <definedName name="ProjIDMax">#REF!</definedName>
    <definedName name="ProjNameMax" localSheetId="5">#REF!</definedName>
    <definedName name="ProjNameMax">#REF!</definedName>
    <definedName name="QualifierCodes">#REF!</definedName>
    <definedName name="REFERENCE_DATUM_NAME" localSheetId="5">#REF!</definedName>
    <definedName name="REFERENCE_DATUM_NAME">#REF!</definedName>
    <definedName name="REFERENCEDATUMNAME" localSheetId="5">#REF!</definedName>
    <definedName name="REFERENCEDATUMNAME">#REF!</definedName>
    <definedName name="RelativeDepth" localSheetId="5">#REF!</definedName>
    <definedName name="RelativeDepth">#REF!</definedName>
    <definedName name="RepNumMax" localSheetId="5">#REF!</definedName>
    <definedName name="RepNumMax">#REF!</definedName>
    <definedName name="ResultMax" localSheetId="5">#REF!</definedName>
    <definedName name="ResultMax">#REF!</definedName>
    <definedName name="ResultStatus" localSheetId="5">#REF!</definedName>
    <definedName name="ResultStatus">#REF!</definedName>
    <definedName name="ResultStatusTable" localSheetId="5">#REF!</definedName>
    <definedName name="ResultStatusTable">#REF!</definedName>
    <definedName name="ResultUnits" localSheetId="5">#REF!</definedName>
    <definedName name="ResultUnits">#REF!</definedName>
    <definedName name="ResultValueMax" localSheetId="5">#REF!</definedName>
    <definedName name="ResultValueMax">#REF!</definedName>
    <definedName name="ResultValueTable">#REF!</definedName>
    <definedName name="SampleFractions">#REF!</definedName>
    <definedName name="SampleFractionTable">#REF!</definedName>
    <definedName name="Sampling_Equipment" localSheetId="5">#REF!</definedName>
    <definedName name="Sampling_Equipment">#REF!</definedName>
    <definedName name="SCPMax" localSheetId="5">#REF!</definedName>
    <definedName name="SCPMax">#REF!</definedName>
    <definedName name="SecondaryTypes" localSheetId="5">#REF!</definedName>
    <definedName name="SecondaryTypes">#REF!</definedName>
    <definedName name="SecondaryTypesTable" localSheetId="5">#REF!</definedName>
    <definedName name="SecondaryTypesTable">#REF!</definedName>
    <definedName name="ShoreRelations" localSheetId="5">#REF!</definedName>
    <definedName name="ShoreRelations">#REF!</definedName>
    <definedName name="State" localSheetId="5">#REF!</definedName>
    <definedName name="State">#REF!</definedName>
    <definedName name="StateAbrv" localSheetId="5">#REF!</definedName>
    <definedName name="StateAbrv">#REF!</definedName>
    <definedName name="StateMax" localSheetId="5">#REF!</definedName>
    <definedName name="StateMax">#REF!</definedName>
    <definedName name="STATION_NAME" localSheetId="5">#REF!</definedName>
    <definedName name="STATION_NAME">#REF!</definedName>
    <definedName name="STATION_TYPE_NAME" localSheetId="5">#REF!</definedName>
    <definedName name="STATION_TYPE_NAME">#REF!</definedName>
    <definedName name="StationIDMax" localSheetId="5">#REF!</definedName>
    <definedName name="StationIDMax">#REF!</definedName>
    <definedName name="StationIDs" localSheetId="5">#REF!</definedName>
    <definedName name="StationIDs">#REF!</definedName>
    <definedName name="StationNameMax" localSheetId="5">#REF!</definedName>
    <definedName name="StationNameMax">#REF!</definedName>
    <definedName name="STATIONTYPENAME" localSheetId="5">#REF!</definedName>
    <definedName name="STATIONTYPENAME">#REF!</definedName>
    <definedName name="STATISTIC_TYPE_NAME">#REF!</definedName>
    <definedName name="STATISTICSTYPENAME">#REF!</definedName>
    <definedName name="STATISTICTYPENAME">#REF!</definedName>
    <definedName name="StatTypes" localSheetId="5">#REF!</definedName>
    <definedName name="StatTypes">#REF!</definedName>
    <definedName name="StatTypeTable" localSheetId="5">#REF!</definedName>
    <definedName name="StatTypeTable">#REF!</definedName>
    <definedName name="TimeZones" localSheetId="5">#REF!</definedName>
    <definedName name="TimeZones">#REF!</definedName>
    <definedName name="TimeZoneTable" localSheetId="5">#REF!</definedName>
    <definedName name="TimeZoneTable">#REF!</definedName>
    <definedName name="ValueTypes" localSheetId="5">#REF!</definedName>
    <definedName name="ValueTypes">#REF!</definedName>
    <definedName name="ValueTypeTable" localSheetId="5">#REF!</definedName>
    <definedName name="ValueTypeTable">#REF!</definedName>
    <definedName name="WaterDepthUnits" localSheetId="5">#REF!</definedName>
    <definedName name="WaterDepthUnits">#REF!</definedName>
    <definedName name="ZIDrelations" localSheetId="5">#REF!</definedName>
    <definedName name="ZIDrela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2" i="8" l="1"/>
  <c r="AB21" i="8"/>
  <c r="AB22" i="8"/>
  <c r="AB23" i="8"/>
  <c r="AB24" i="8"/>
  <c r="AB25" i="8"/>
  <c r="AB26" i="8"/>
  <c r="AB27" i="8"/>
  <c r="AB28" i="8"/>
  <c r="AB29" i="8"/>
  <c r="AB30" i="8"/>
  <c r="AB31" i="8"/>
  <c r="AB32" i="8"/>
  <c r="AB33" i="8"/>
  <c r="AB34" i="8"/>
  <c r="AB35" i="8"/>
  <c r="AB36" i="8"/>
  <c r="AB37" i="8"/>
  <c r="AB38" i="8"/>
  <c r="AB39" i="8"/>
  <c r="AB40" i="8"/>
  <c r="AB41" i="8"/>
  <c r="AB42" i="8"/>
  <c r="AB43" i="8"/>
  <c r="AB44" i="8"/>
  <c r="AB45" i="8"/>
  <c r="AB46" i="8"/>
  <c r="AB47" i="8"/>
  <c r="AB48" i="8"/>
  <c r="AB49" i="8"/>
  <c r="AB50" i="8"/>
  <c r="AB51" i="8"/>
  <c r="AB52" i="8"/>
  <c r="AB53" i="8"/>
  <c r="AB54" i="8"/>
  <c r="AB55" i="8"/>
  <c r="AB56" i="8"/>
  <c r="AB57" i="8"/>
  <c r="AB58" i="8"/>
  <c r="AB59" i="8"/>
  <c r="AB60" i="8"/>
  <c r="AB61" i="8"/>
  <c r="AB62" i="8"/>
  <c r="AB63" i="8"/>
  <c r="AB64" i="8"/>
  <c r="AB65" i="8"/>
  <c r="AB66" i="8"/>
  <c r="AB67" i="8"/>
  <c r="AB68" i="8"/>
  <c r="AB69" i="8"/>
  <c r="AB70" i="8"/>
  <c r="AB71" i="8"/>
  <c r="AB72" i="8"/>
  <c r="AB73" i="8"/>
  <c r="AB74" i="8"/>
  <c r="AB75" i="8"/>
  <c r="AB76" i="8"/>
  <c r="AB77" i="8"/>
  <c r="AB78" i="8"/>
  <c r="AB79" i="8"/>
  <c r="AB80" i="8"/>
  <c r="AB81" i="8"/>
  <c r="AB82" i="8"/>
  <c r="AB83" i="8"/>
  <c r="AB84" i="8"/>
  <c r="AB85" i="8"/>
  <c r="AB86" i="8"/>
  <c r="AB87" i="8"/>
  <c r="AB88" i="8"/>
  <c r="AB89" i="8"/>
  <c r="AB90" i="8"/>
  <c r="AB91" i="8"/>
  <c r="AB92" i="8"/>
  <c r="AB93" i="8"/>
  <c r="AB94" i="8"/>
  <c r="AB95" i="8"/>
  <c r="AB96" i="8"/>
  <c r="AB97" i="8"/>
  <c r="AB98" i="8"/>
  <c r="AB99" i="8"/>
  <c r="AB100" i="8"/>
  <c r="AB101" i="8"/>
  <c r="AB102" i="8"/>
  <c r="AB103" i="8"/>
  <c r="AB104" i="8"/>
  <c r="AB105" i="8"/>
  <c r="AB106" i="8"/>
  <c r="AB107" i="8"/>
  <c r="AB108" i="8"/>
  <c r="AB109" i="8"/>
  <c r="AB110" i="8"/>
  <c r="AB111" i="8"/>
  <c r="AB112" i="8"/>
  <c r="AB113" i="8"/>
  <c r="AB114" i="8"/>
  <c r="AB115" i="8"/>
  <c r="AB116" i="8"/>
  <c r="AB117" i="8"/>
  <c r="AB118" i="8"/>
  <c r="AB119" i="8"/>
  <c r="AB120" i="8"/>
  <c r="AB121" i="8"/>
  <c r="AB122" i="8"/>
  <c r="AB123" i="8"/>
  <c r="AB124" i="8"/>
  <c r="AB125" i="8"/>
  <c r="AB126" i="8"/>
  <c r="AB127" i="8"/>
  <c r="AB128" i="8"/>
  <c r="AB129" i="8"/>
  <c r="AB130" i="8"/>
  <c r="AB131" i="8"/>
  <c r="AB132" i="8"/>
  <c r="AB133" i="8"/>
  <c r="AB134" i="8"/>
  <c r="AB135" i="8"/>
  <c r="AB136" i="8"/>
  <c r="AB137" i="8"/>
  <c r="AB138" i="8"/>
  <c r="AB139" i="8"/>
  <c r="AB140" i="8"/>
  <c r="AB141" i="8"/>
  <c r="AB142" i="8"/>
  <c r="AB143" i="8"/>
  <c r="AB144" i="8"/>
  <c r="AB145" i="8"/>
  <c r="AB146" i="8"/>
  <c r="AB147" i="8"/>
  <c r="AB148" i="8"/>
  <c r="AB149" i="8"/>
  <c r="AB150" i="8"/>
  <c r="AB151" i="8"/>
  <c r="AB152" i="8"/>
  <c r="AB153" i="8"/>
  <c r="AB154" i="8"/>
  <c r="AB155" i="8"/>
  <c r="AB156" i="8"/>
  <c r="AB157" i="8"/>
  <c r="AB158" i="8"/>
  <c r="AB159" i="8"/>
  <c r="AB160" i="8"/>
  <c r="AB161" i="8"/>
  <c r="AB162" i="8"/>
  <c r="AB163" i="8"/>
  <c r="AB164" i="8"/>
  <c r="AB165" i="8"/>
  <c r="AB166" i="8"/>
  <c r="AB167" i="8"/>
  <c r="AB168" i="8"/>
  <c r="AB169" i="8"/>
  <c r="AB170" i="8"/>
  <c r="AB171" i="8"/>
  <c r="AB172" i="8"/>
  <c r="AB173" i="8"/>
  <c r="AB174" i="8"/>
  <c r="AB175" i="8"/>
  <c r="AB176" i="8"/>
  <c r="AB177" i="8"/>
  <c r="AB178" i="8"/>
  <c r="AB179" i="8"/>
  <c r="AB180" i="8"/>
  <c r="AB181" i="8"/>
  <c r="AB182" i="8"/>
  <c r="AB183" i="8"/>
  <c r="AB184" i="8"/>
  <c r="AB185" i="8"/>
  <c r="AB186" i="8"/>
  <c r="AB187" i="8"/>
  <c r="AB188" i="8"/>
  <c r="AB189" i="8"/>
  <c r="AB190" i="8"/>
  <c r="AB191" i="8"/>
  <c r="AB192" i="8"/>
  <c r="AB193" i="8"/>
  <c r="AB194" i="8"/>
  <c r="AB195" i="8"/>
  <c r="AB196" i="8"/>
  <c r="AB197" i="8"/>
  <c r="AB198" i="8"/>
  <c r="AB199" i="8"/>
  <c r="AB200" i="8"/>
  <c r="AB201" i="8"/>
  <c r="AB202" i="8"/>
  <c r="AB203" i="8"/>
  <c r="AB204" i="8"/>
  <c r="AB205" i="8"/>
  <c r="AB206" i="8"/>
  <c r="AB207" i="8"/>
  <c r="AB208" i="8"/>
  <c r="AB209" i="8"/>
  <c r="AB210" i="8"/>
  <c r="AB211" i="8"/>
  <c r="AB212" i="8"/>
  <c r="AB213" i="8"/>
  <c r="AB214" i="8"/>
  <c r="AB215" i="8"/>
  <c r="AB216" i="8"/>
  <c r="AB217" i="8"/>
  <c r="AB218" i="8"/>
  <c r="AB219" i="8"/>
  <c r="AB220" i="8"/>
  <c r="AB221" i="8"/>
  <c r="AB222" i="8"/>
  <c r="AB223" i="8"/>
  <c r="AB224" i="8"/>
  <c r="AB225" i="8"/>
  <c r="AB226" i="8"/>
  <c r="AB227" i="8"/>
  <c r="AB228" i="8"/>
  <c r="AB229" i="8"/>
  <c r="AB230" i="8"/>
  <c r="AB231" i="8"/>
  <c r="AB232" i="8"/>
  <c r="AB233" i="8"/>
  <c r="AB234" i="8"/>
  <c r="AB235" i="8"/>
  <c r="AB236" i="8"/>
  <c r="AB237" i="8"/>
  <c r="AB238" i="8"/>
  <c r="AB239" i="8"/>
  <c r="AB240" i="8"/>
  <c r="AB241" i="8"/>
  <c r="AB242" i="8"/>
  <c r="AB243" i="8"/>
  <c r="AB244" i="8"/>
  <c r="AB245" i="8"/>
  <c r="AB246" i="8"/>
  <c r="AB247" i="8"/>
  <c r="AB248" i="8"/>
  <c r="AB249" i="8"/>
  <c r="AB250" i="8"/>
  <c r="AB251" i="8"/>
  <c r="AB252" i="8"/>
  <c r="AB253" i="8"/>
  <c r="AB254" i="8"/>
  <c r="AB255" i="8"/>
  <c r="AB256" i="8"/>
  <c r="AB257" i="8"/>
  <c r="AB258" i="8"/>
  <c r="AB259" i="8"/>
  <c r="AB260" i="8"/>
  <c r="AB261" i="8"/>
  <c r="AB262" i="8"/>
  <c r="AB263" i="8"/>
  <c r="AB264" i="8"/>
  <c r="AB265" i="8"/>
  <c r="AB266" i="8"/>
  <c r="AB267" i="8"/>
  <c r="AB268" i="8"/>
  <c r="AB269" i="8"/>
  <c r="AB270" i="8"/>
  <c r="AB271" i="8"/>
  <c r="AB272" i="8"/>
  <c r="AB273" i="8"/>
  <c r="AB274" i="8"/>
  <c r="AB275" i="8"/>
  <c r="AB276" i="8"/>
  <c r="AB277" i="8"/>
  <c r="AB278" i="8"/>
  <c r="AB279" i="8"/>
  <c r="AB280" i="8"/>
  <c r="AB281" i="8"/>
  <c r="AB282" i="8"/>
  <c r="AB283" i="8"/>
  <c r="AB284" i="8"/>
  <c r="AB285" i="8"/>
  <c r="AB286" i="8"/>
  <c r="AB287" i="8"/>
  <c r="AB288" i="8"/>
  <c r="AB289" i="8"/>
  <c r="AB290" i="8"/>
  <c r="AB291" i="8"/>
  <c r="AB292" i="8"/>
  <c r="AB293" i="8"/>
  <c r="AB294" i="8"/>
  <c r="AB295" i="8"/>
  <c r="AB296" i="8"/>
  <c r="AB297" i="8"/>
  <c r="AB298" i="8"/>
  <c r="AB299" i="8"/>
  <c r="AB300" i="8"/>
  <c r="AB301" i="8"/>
  <c r="AB302" i="8"/>
  <c r="AB303" i="8"/>
  <c r="AB304" i="8"/>
  <c r="AB305" i="8"/>
  <c r="AB306" i="8"/>
  <c r="AB307" i="8"/>
  <c r="AB308" i="8"/>
  <c r="AB309" i="8"/>
  <c r="AB310" i="8"/>
  <c r="AB311" i="8"/>
  <c r="AB312" i="8"/>
  <c r="AB313" i="8"/>
  <c r="AB314" i="8"/>
  <c r="AB315" i="8"/>
  <c r="AB316" i="8"/>
  <c r="AB317" i="8"/>
  <c r="AB318" i="8"/>
  <c r="AB319" i="8"/>
  <c r="AB320" i="8"/>
  <c r="AB321" i="8"/>
  <c r="AB322" i="8"/>
  <c r="AB323" i="8"/>
  <c r="AB324" i="8"/>
  <c r="AB325" i="8"/>
  <c r="AB326" i="8"/>
  <c r="AB327" i="8"/>
  <c r="AB328" i="8"/>
  <c r="AB329" i="8"/>
  <c r="AB330" i="8"/>
  <c r="AB331" i="8"/>
  <c r="AB332" i="8"/>
  <c r="AB333" i="8"/>
  <c r="AB334" i="8"/>
  <c r="AB335" i="8"/>
  <c r="AB336" i="8"/>
  <c r="AB337" i="8"/>
  <c r="AB338" i="8"/>
  <c r="AB339" i="8"/>
  <c r="AB340" i="8"/>
  <c r="AB341" i="8"/>
  <c r="AB342" i="8"/>
  <c r="AB343" i="8"/>
  <c r="AB344" i="8"/>
  <c r="AB345" i="8"/>
  <c r="AB346" i="8"/>
  <c r="AB347" i="8"/>
  <c r="AB348" i="8"/>
  <c r="AB349" i="8"/>
  <c r="AB350" i="8"/>
  <c r="AB351" i="8"/>
  <c r="AB352" i="8"/>
  <c r="AB353" i="8"/>
  <c r="AB354" i="8"/>
  <c r="AB355" i="8"/>
  <c r="AB356" i="8"/>
  <c r="AB357" i="8"/>
  <c r="AB358" i="8"/>
  <c r="AB359" i="8"/>
  <c r="AB360" i="8"/>
  <c r="AB361" i="8"/>
  <c r="AB362" i="8"/>
  <c r="AB363" i="8"/>
  <c r="AB364" i="8"/>
  <c r="AB365" i="8"/>
  <c r="AB366" i="8"/>
  <c r="AB367" i="8"/>
  <c r="AB368" i="8"/>
  <c r="AB369" i="8"/>
  <c r="AB370" i="8"/>
  <c r="AB371" i="8"/>
  <c r="AB372" i="8"/>
  <c r="AB373" i="8"/>
  <c r="AB374" i="8"/>
  <c r="AB375" i="8"/>
  <c r="AB376" i="8"/>
  <c r="AB377" i="8"/>
  <c r="AB378" i="8"/>
  <c r="AB379" i="8"/>
  <c r="AB380" i="8"/>
  <c r="AB381" i="8"/>
  <c r="AB382" i="8"/>
  <c r="AB383" i="8"/>
  <c r="AB384" i="8"/>
  <c r="AB385" i="8"/>
  <c r="AB386" i="8"/>
  <c r="AB387" i="8"/>
  <c r="AB388" i="8"/>
  <c r="AB389" i="8"/>
  <c r="AB390" i="8"/>
  <c r="AB391" i="8"/>
  <c r="AB392" i="8"/>
  <c r="AB393" i="8"/>
  <c r="AB394" i="8"/>
  <c r="AB395" i="8"/>
  <c r="AB396" i="8"/>
  <c r="AB397" i="8"/>
  <c r="AB398" i="8"/>
  <c r="AB399" i="8"/>
  <c r="AB400" i="8"/>
  <c r="AB401" i="8"/>
  <c r="AB402" i="8"/>
  <c r="AB403" i="8"/>
  <c r="AB404" i="8"/>
  <c r="AB405" i="8"/>
  <c r="AB406" i="8"/>
  <c r="AB407" i="8"/>
  <c r="AB408" i="8"/>
  <c r="AB409" i="8"/>
  <c r="AB410" i="8"/>
  <c r="AB411" i="8"/>
  <c r="AB412" i="8"/>
  <c r="AB413" i="8"/>
  <c r="AB414" i="8"/>
  <c r="AB415" i="8"/>
  <c r="AB416" i="8"/>
  <c r="AB417" i="8"/>
  <c r="AB418" i="8"/>
  <c r="AB419" i="8"/>
  <c r="AB420" i="8"/>
  <c r="AB421" i="8"/>
  <c r="AB422" i="8"/>
  <c r="AB423" i="8"/>
  <c r="AB424" i="8"/>
  <c r="AB425" i="8"/>
  <c r="AB426" i="8"/>
  <c r="AB427" i="8"/>
  <c r="AB428" i="8"/>
  <c r="AB429" i="8"/>
  <c r="AB430" i="8"/>
  <c r="AB431" i="8"/>
  <c r="AB432" i="8"/>
  <c r="AB433" i="8"/>
  <c r="AB434" i="8"/>
  <c r="AB435" i="8"/>
  <c r="AB436" i="8"/>
  <c r="AB437" i="8"/>
  <c r="AB438" i="8"/>
  <c r="AB439" i="8"/>
  <c r="AB440" i="8"/>
  <c r="AB441" i="8"/>
  <c r="AB442" i="8"/>
  <c r="AB443" i="8"/>
  <c r="AB444" i="8"/>
  <c r="AB445" i="8"/>
  <c r="AB446" i="8"/>
  <c r="AB447" i="8"/>
  <c r="AB448" i="8"/>
  <c r="AB449" i="8"/>
  <c r="AB450" i="8"/>
  <c r="AB451" i="8"/>
  <c r="AB452" i="8"/>
  <c r="AB453" i="8"/>
  <c r="AB454" i="8"/>
  <c r="AB455" i="8"/>
  <c r="AB456" i="8"/>
  <c r="AB457" i="8"/>
  <c r="AB458" i="8"/>
  <c r="AB459" i="8"/>
  <c r="AB460" i="8"/>
  <c r="AB461" i="8"/>
  <c r="AB462" i="8"/>
  <c r="AB463" i="8"/>
  <c r="AB464" i="8"/>
  <c r="AB465" i="8"/>
  <c r="AB466" i="8"/>
  <c r="AB467" i="8"/>
  <c r="AB468" i="8"/>
  <c r="AB469" i="8"/>
  <c r="AB470" i="8"/>
  <c r="AB471" i="8"/>
  <c r="AB472" i="8"/>
  <c r="AB473" i="8"/>
  <c r="AB474" i="8"/>
  <c r="AB475" i="8"/>
  <c r="AB476" i="8"/>
  <c r="AB477" i="8"/>
  <c r="AB478" i="8"/>
  <c r="AB479" i="8"/>
  <c r="AB480" i="8"/>
  <c r="AB481" i="8"/>
  <c r="AB482" i="8"/>
  <c r="AB483" i="8"/>
  <c r="AB484" i="8"/>
  <c r="AB485" i="8"/>
  <c r="AB486" i="8"/>
  <c r="AB487" i="8"/>
  <c r="AB488" i="8"/>
  <c r="AB489" i="8"/>
  <c r="AB490" i="8"/>
  <c r="AB491" i="8"/>
  <c r="AB492" i="8"/>
  <c r="AB493" i="8"/>
  <c r="AB494" i="8"/>
  <c r="AB495" i="8"/>
  <c r="AB496" i="8"/>
  <c r="AB497" i="8"/>
  <c r="AB498" i="8"/>
  <c r="AB499" i="8"/>
  <c r="AB500" i="8"/>
  <c r="AB501" i="8"/>
  <c r="AB502" i="8"/>
  <c r="AB503" i="8"/>
  <c r="AB504" i="8"/>
  <c r="AB505" i="8"/>
  <c r="AB506" i="8"/>
  <c r="AB507" i="8"/>
  <c r="AB508" i="8"/>
  <c r="AB509" i="8"/>
  <c r="AB510" i="8"/>
  <c r="AB511" i="8"/>
  <c r="AB512" i="8"/>
  <c r="AB513" i="8"/>
  <c r="AB514" i="8"/>
  <c r="AB515" i="8"/>
  <c r="AB516" i="8"/>
  <c r="AB517" i="8"/>
  <c r="AB518" i="8"/>
  <c r="AB519" i="8"/>
  <c r="AB520" i="8"/>
  <c r="AB521" i="8"/>
  <c r="AB522" i="8"/>
  <c r="AB523" i="8"/>
  <c r="AB524" i="8"/>
  <c r="AB525" i="8"/>
  <c r="AB526" i="8"/>
  <c r="AB527" i="8"/>
  <c r="AB528" i="8"/>
  <c r="AB529" i="8"/>
  <c r="AB530" i="8"/>
  <c r="AB531" i="8"/>
  <c r="AB532" i="8"/>
  <c r="AB533" i="8"/>
  <c r="AB534" i="8"/>
  <c r="AB535" i="8"/>
  <c r="AB536" i="8"/>
  <c r="AB537" i="8"/>
  <c r="AB538" i="8"/>
  <c r="AB539" i="8"/>
  <c r="AB540" i="8"/>
  <c r="AB541" i="8"/>
  <c r="AB542" i="8"/>
  <c r="AB543" i="8"/>
  <c r="AB544" i="8"/>
  <c r="AB545" i="8"/>
  <c r="AB546" i="8"/>
  <c r="AB547" i="8"/>
  <c r="AB548" i="8"/>
  <c r="AB549" i="8"/>
  <c r="AB550" i="8"/>
  <c r="AB551" i="8"/>
  <c r="AB552" i="8"/>
  <c r="AB553" i="8"/>
  <c r="AB554" i="8"/>
  <c r="AB555" i="8"/>
  <c r="AB556" i="8"/>
  <c r="AB557" i="8"/>
  <c r="AB558" i="8"/>
  <c r="AB559" i="8"/>
  <c r="AB560" i="8"/>
  <c r="AB561" i="8"/>
  <c r="AB562" i="8"/>
  <c r="AB563" i="8"/>
  <c r="AB564" i="8"/>
  <c r="AB565" i="8"/>
  <c r="AB566" i="8"/>
  <c r="AB567" i="8"/>
  <c r="AB568" i="8"/>
  <c r="AB569" i="8"/>
  <c r="AB570" i="8"/>
  <c r="AB571" i="8"/>
  <c r="AB572" i="8"/>
  <c r="AB573" i="8"/>
  <c r="AB574" i="8"/>
  <c r="AB575" i="8"/>
  <c r="AB576" i="8"/>
  <c r="AB577" i="8"/>
  <c r="AB578" i="8"/>
  <c r="AB579" i="8"/>
  <c r="AB580" i="8"/>
  <c r="AB581" i="8"/>
  <c r="AB582" i="8"/>
  <c r="AB583" i="8"/>
  <c r="AB584" i="8"/>
  <c r="AB585" i="8"/>
  <c r="AB586" i="8"/>
  <c r="AB587" i="8"/>
  <c r="AB588" i="8"/>
  <c r="AB589" i="8"/>
  <c r="AB590" i="8"/>
  <c r="AB591" i="8"/>
  <c r="AB592" i="8"/>
  <c r="AB593" i="8"/>
  <c r="AB594" i="8"/>
  <c r="AB595" i="8"/>
  <c r="AB596" i="8"/>
  <c r="AB597" i="8"/>
  <c r="AB598" i="8"/>
  <c r="AB599" i="8"/>
  <c r="AB600" i="8"/>
  <c r="AB601" i="8"/>
  <c r="AB602" i="8"/>
  <c r="AB603" i="8"/>
  <c r="AB604" i="8"/>
  <c r="AB605" i="8"/>
  <c r="AB606" i="8"/>
  <c r="AB607" i="8"/>
  <c r="AB608" i="8"/>
  <c r="AB609" i="8"/>
  <c r="AB610" i="8"/>
  <c r="AB611" i="8"/>
  <c r="AB612" i="8"/>
  <c r="AB613" i="8"/>
  <c r="AB614" i="8"/>
  <c r="AB615" i="8"/>
  <c r="AB616" i="8"/>
  <c r="AB617" i="8"/>
  <c r="AB618" i="8"/>
  <c r="AB619" i="8"/>
  <c r="AB620" i="8"/>
  <c r="AB621" i="8"/>
  <c r="AB622" i="8"/>
  <c r="AB623" i="8"/>
  <c r="AB624" i="8"/>
  <c r="AB625" i="8"/>
  <c r="AB626" i="8"/>
  <c r="AB627" i="8"/>
  <c r="AB628" i="8"/>
  <c r="AB629" i="8"/>
  <c r="AB630" i="8"/>
  <c r="AB631" i="8"/>
  <c r="AB632" i="8"/>
  <c r="AB633" i="8"/>
  <c r="AB634" i="8"/>
  <c r="AB635" i="8"/>
  <c r="AB636" i="8"/>
  <c r="AB637" i="8"/>
  <c r="AB638" i="8"/>
  <c r="AB639" i="8"/>
  <c r="AB640" i="8"/>
  <c r="AB641" i="8"/>
  <c r="AB642" i="8"/>
  <c r="AB643" i="8"/>
  <c r="AB644" i="8"/>
  <c r="AB645" i="8"/>
  <c r="AB646" i="8"/>
  <c r="AB647" i="8"/>
  <c r="AB648" i="8"/>
  <c r="AB649" i="8"/>
  <c r="AB650" i="8"/>
  <c r="AB651" i="8"/>
  <c r="AB652" i="8"/>
  <c r="AB653" i="8"/>
  <c r="AB654" i="8"/>
  <c r="AB655" i="8"/>
  <c r="AB656" i="8"/>
  <c r="AB657" i="8"/>
  <c r="AB658" i="8"/>
  <c r="AB659" i="8"/>
  <c r="AB660" i="8"/>
  <c r="AB661" i="8"/>
  <c r="AB662" i="8"/>
  <c r="AB663" i="8"/>
  <c r="AB664" i="8"/>
  <c r="AB665" i="8"/>
  <c r="AB666" i="8"/>
  <c r="AB667" i="8"/>
  <c r="AB668" i="8"/>
  <c r="AB669" i="8"/>
  <c r="AB670" i="8"/>
  <c r="AB671" i="8"/>
  <c r="AB672" i="8"/>
  <c r="AB673" i="8"/>
  <c r="AB674" i="8"/>
  <c r="AB675" i="8"/>
  <c r="AB676" i="8"/>
  <c r="AB677" i="8"/>
  <c r="AB678" i="8"/>
  <c r="AB679" i="8"/>
  <c r="AB680" i="8"/>
  <c r="AB681" i="8"/>
  <c r="AB682" i="8"/>
  <c r="AB683" i="8"/>
  <c r="AB684" i="8"/>
  <c r="AB685" i="8"/>
  <c r="AB686" i="8"/>
  <c r="AB687" i="8"/>
  <c r="AB688" i="8"/>
  <c r="AB689" i="8"/>
  <c r="AB690" i="8"/>
  <c r="AB691" i="8"/>
  <c r="AB692" i="8"/>
  <c r="AB693" i="8"/>
  <c r="AB694" i="8"/>
  <c r="AB695" i="8"/>
  <c r="AB696" i="8"/>
  <c r="AB697" i="8"/>
  <c r="AB698" i="8"/>
  <c r="AB699" i="8"/>
  <c r="AB700" i="8"/>
  <c r="AB701" i="8"/>
  <c r="AB702" i="8"/>
  <c r="AB703" i="8"/>
  <c r="AB704" i="8"/>
  <c r="AB705" i="8"/>
  <c r="AB706" i="8"/>
  <c r="AB707" i="8"/>
  <c r="AB708" i="8"/>
  <c r="AB709" i="8"/>
  <c r="AB710" i="8"/>
  <c r="AB711" i="8"/>
  <c r="AB712" i="8"/>
  <c r="AB713" i="8"/>
  <c r="AB714" i="8"/>
  <c r="AB715" i="8"/>
  <c r="AB716" i="8"/>
  <c r="AB717" i="8"/>
  <c r="AB718" i="8"/>
  <c r="AB719" i="8"/>
  <c r="AB720" i="8"/>
  <c r="AB721" i="8"/>
  <c r="AB722" i="8"/>
  <c r="AB723" i="8"/>
  <c r="AB724" i="8"/>
  <c r="AB725" i="8"/>
  <c r="AB726" i="8"/>
  <c r="AB727" i="8"/>
  <c r="AB728" i="8"/>
  <c r="AB729" i="8"/>
  <c r="AB730" i="8"/>
  <c r="AB731" i="8"/>
  <c r="AB732" i="8"/>
  <c r="AB733" i="8"/>
  <c r="AB734" i="8"/>
  <c r="AB735" i="8"/>
  <c r="AB736" i="8"/>
  <c r="AB737" i="8"/>
  <c r="AB738" i="8"/>
  <c r="AB739" i="8"/>
  <c r="AB740" i="8"/>
  <c r="AB741" i="8"/>
  <c r="AB742" i="8"/>
  <c r="AB743" i="8"/>
  <c r="AB744" i="8"/>
  <c r="AB745" i="8"/>
  <c r="AB746" i="8"/>
  <c r="AB747" i="8"/>
  <c r="AB748" i="8"/>
  <c r="AB749" i="8"/>
  <c r="AB750" i="8"/>
  <c r="AB751" i="8"/>
  <c r="AB752" i="8"/>
  <c r="AB753" i="8"/>
  <c r="AB754" i="8"/>
  <c r="AB755" i="8"/>
  <c r="AB756" i="8"/>
  <c r="AB757" i="8"/>
  <c r="AB758" i="8"/>
  <c r="AB759" i="8"/>
  <c r="AB760" i="8"/>
  <c r="AB761" i="8"/>
  <c r="AB762" i="8"/>
  <c r="AB763" i="8"/>
  <c r="AB764" i="8"/>
  <c r="AB765" i="8"/>
  <c r="AB766" i="8"/>
  <c r="AB767" i="8"/>
  <c r="AB768" i="8"/>
  <c r="AB769" i="8"/>
  <c r="AB770" i="8"/>
  <c r="AB771" i="8"/>
  <c r="AB772" i="8"/>
  <c r="AB773" i="8"/>
  <c r="AB774" i="8"/>
  <c r="AB775" i="8"/>
  <c r="AB776" i="8"/>
  <c r="AB777" i="8"/>
  <c r="AB778" i="8"/>
  <c r="AB779" i="8"/>
  <c r="AB780" i="8"/>
  <c r="AB781" i="8"/>
  <c r="AB782" i="8"/>
  <c r="AB783" i="8"/>
  <c r="AB784" i="8"/>
  <c r="AB785" i="8"/>
  <c r="AB786" i="8"/>
  <c r="AB787" i="8"/>
  <c r="AB788" i="8"/>
  <c r="AB789" i="8"/>
  <c r="AB790" i="8"/>
  <c r="AB791" i="8"/>
  <c r="AB792" i="8"/>
  <c r="AB793" i="8"/>
  <c r="AB794" i="8"/>
  <c r="AB795" i="8"/>
  <c r="AB796" i="8"/>
  <c r="AB797" i="8"/>
  <c r="AB798" i="8"/>
  <c r="AB799" i="8"/>
  <c r="AB800" i="8"/>
  <c r="AB801" i="8"/>
  <c r="AB802" i="8"/>
  <c r="AB803" i="8"/>
  <c r="AB804" i="8"/>
  <c r="AB805" i="8"/>
  <c r="AB806" i="8"/>
  <c r="AB807" i="8"/>
  <c r="AB808" i="8"/>
  <c r="AB809" i="8"/>
  <c r="AB810" i="8"/>
  <c r="AB811" i="8"/>
  <c r="AB812" i="8"/>
  <c r="AB813" i="8"/>
  <c r="AB814" i="8"/>
  <c r="AB815" i="8"/>
  <c r="AB816" i="8"/>
  <c r="AB817" i="8"/>
  <c r="AB818" i="8"/>
  <c r="AB819" i="8"/>
  <c r="AB820" i="8"/>
  <c r="AB821" i="8"/>
  <c r="AB822" i="8"/>
  <c r="AB823" i="8"/>
  <c r="AB824" i="8"/>
  <c r="AB825" i="8"/>
  <c r="AB826" i="8"/>
  <c r="AB827" i="8"/>
  <c r="AB828" i="8"/>
  <c r="AB829" i="8"/>
  <c r="AB830" i="8"/>
  <c r="AB831" i="8"/>
  <c r="AB832" i="8"/>
  <c r="AB833" i="8"/>
  <c r="AB834" i="8"/>
  <c r="AB835" i="8"/>
  <c r="AB836" i="8"/>
  <c r="AB837" i="8"/>
  <c r="AB838" i="8"/>
  <c r="AB839" i="8"/>
  <c r="AB840" i="8"/>
  <c r="AB841" i="8"/>
  <c r="AB842" i="8"/>
  <c r="AB843" i="8"/>
  <c r="AB844" i="8"/>
  <c r="AB845" i="8"/>
  <c r="AB846" i="8"/>
  <c r="AB847" i="8"/>
  <c r="AB848" i="8"/>
  <c r="AB849" i="8"/>
  <c r="AB850" i="8"/>
  <c r="AB851" i="8"/>
  <c r="AB852" i="8"/>
  <c r="AB853" i="8"/>
  <c r="AB854" i="8"/>
  <c r="AB855" i="8"/>
  <c r="AB856" i="8"/>
  <c r="AB857" i="8"/>
  <c r="AB858" i="8"/>
  <c r="AB859" i="8"/>
  <c r="AB860" i="8"/>
  <c r="AB861" i="8"/>
  <c r="AB862" i="8"/>
  <c r="AB863" i="8"/>
  <c r="AB864" i="8"/>
  <c r="AB865" i="8"/>
  <c r="AB866" i="8"/>
  <c r="AB867" i="8"/>
  <c r="AB868" i="8"/>
  <c r="AB869" i="8"/>
  <c r="AB870" i="8"/>
  <c r="AB871" i="8"/>
  <c r="AB872" i="8"/>
  <c r="AB873" i="8"/>
  <c r="AB874" i="8"/>
  <c r="AB875" i="8"/>
  <c r="AB876" i="8"/>
  <c r="AB877" i="8"/>
  <c r="AB878" i="8"/>
  <c r="AB879" i="8"/>
  <c r="AB880" i="8"/>
  <c r="AB881" i="8"/>
  <c r="AB882" i="8"/>
  <c r="AB883" i="8"/>
  <c r="AB884" i="8"/>
  <c r="AB885" i="8"/>
  <c r="AB886" i="8"/>
  <c r="AB887" i="8"/>
  <c r="AB888" i="8"/>
  <c r="AB889" i="8"/>
  <c r="AB890" i="8"/>
  <c r="AB891" i="8"/>
  <c r="AB892" i="8"/>
  <c r="AB893" i="8"/>
  <c r="AB894" i="8"/>
  <c r="AB895" i="8"/>
  <c r="AB896" i="8"/>
  <c r="AB897" i="8"/>
  <c r="AB898" i="8"/>
  <c r="AB899" i="8"/>
  <c r="AB900" i="8"/>
  <c r="AB901" i="8"/>
  <c r="AB902" i="8"/>
  <c r="AB903" i="8"/>
  <c r="AB904" i="8"/>
  <c r="AB905" i="8"/>
  <c r="AB906" i="8"/>
  <c r="AB907" i="8"/>
  <c r="AB908" i="8"/>
  <c r="AB909" i="8"/>
  <c r="AB910" i="8"/>
  <c r="AB911" i="8"/>
  <c r="AB912" i="8"/>
  <c r="AB913" i="8"/>
  <c r="AB914" i="8"/>
  <c r="AB915" i="8"/>
  <c r="AB916" i="8"/>
  <c r="AB917" i="8"/>
  <c r="AB918" i="8"/>
  <c r="AB919" i="8"/>
  <c r="AB920" i="8"/>
  <c r="AB921" i="8"/>
  <c r="AB922" i="8"/>
  <c r="AB923" i="8"/>
  <c r="AB924" i="8"/>
  <c r="AB925" i="8"/>
  <c r="AB926" i="8"/>
  <c r="AB927" i="8"/>
  <c r="AB928" i="8"/>
  <c r="AB929" i="8"/>
  <c r="AB930" i="8"/>
  <c r="AB931" i="8"/>
  <c r="AB932" i="8"/>
  <c r="AB933" i="8"/>
  <c r="AB934" i="8"/>
  <c r="AB935" i="8"/>
  <c r="AB936" i="8"/>
  <c r="AB937" i="8"/>
  <c r="AB938" i="8"/>
  <c r="AB939" i="8"/>
  <c r="AB940" i="8"/>
  <c r="AB941" i="8"/>
  <c r="AB942" i="8"/>
  <c r="AB943" i="8"/>
  <c r="AB944" i="8"/>
  <c r="AB945" i="8"/>
  <c r="AB946" i="8"/>
  <c r="AB947" i="8"/>
  <c r="AB948" i="8"/>
  <c r="AB949" i="8"/>
  <c r="AB950" i="8"/>
  <c r="AB951" i="8"/>
  <c r="AB952" i="8"/>
  <c r="AB953" i="8"/>
  <c r="AB954" i="8"/>
  <c r="AB955" i="8"/>
  <c r="AB956" i="8"/>
  <c r="AB957" i="8"/>
  <c r="AB958" i="8"/>
  <c r="AB959" i="8"/>
  <c r="AB960" i="8"/>
  <c r="AB961" i="8"/>
  <c r="AB962" i="8"/>
  <c r="AB963" i="8"/>
  <c r="AB964" i="8"/>
  <c r="AB965" i="8"/>
  <c r="AB966" i="8"/>
  <c r="AB967" i="8"/>
  <c r="AB968" i="8"/>
  <c r="AB969" i="8"/>
  <c r="AB970" i="8"/>
  <c r="AB971" i="8"/>
  <c r="AB972" i="8"/>
  <c r="AB973" i="8"/>
  <c r="AB974" i="8"/>
  <c r="AB975" i="8"/>
  <c r="AB976" i="8"/>
  <c r="AB977" i="8"/>
  <c r="AB978" i="8"/>
  <c r="AB979" i="8"/>
  <c r="AB980" i="8"/>
  <c r="AB981" i="8"/>
  <c r="AB982" i="8"/>
  <c r="AB983" i="8"/>
  <c r="AB984" i="8"/>
  <c r="AB985" i="8"/>
  <c r="AB986" i="8"/>
  <c r="AB987" i="8"/>
  <c r="AB988" i="8"/>
  <c r="AB989" i="8"/>
  <c r="AB990" i="8"/>
  <c r="AB991" i="8"/>
  <c r="AB992" i="8"/>
  <c r="AB993" i="8"/>
  <c r="AB994" i="8"/>
  <c r="AB995" i="8"/>
  <c r="AB996" i="8"/>
  <c r="AB997" i="8"/>
  <c r="AB998" i="8"/>
  <c r="AB999" i="8"/>
  <c r="AB1000" i="8"/>
  <c r="AB1001" i="8"/>
  <c r="AB1002" i="8"/>
  <c r="AB1003" i="8"/>
  <c r="AB1004" i="8"/>
  <c r="AB1005" i="8"/>
  <c r="AB1006" i="8"/>
  <c r="AB1007" i="8"/>
  <c r="AB1008" i="8"/>
  <c r="AB1009" i="8"/>
  <c r="AB1010" i="8"/>
  <c r="AB1011" i="8"/>
  <c r="AB1012" i="8"/>
  <c r="AB1013" i="8"/>
  <c r="AB1014" i="8"/>
  <c r="AB1015" i="8"/>
  <c r="AB1016" i="8"/>
  <c r="AB1017" i="8"/>
  <c r="AB1018" i="8"/>
  <c r="AB1019" i="8"/>
  <c r="AB1020" i="8"/>
  <c r="AB1021" i="8"/>
  <c r="AB1022" i="8"/>
  <c r="AB1023" i="8"/>
  <c r="AB1024" i="8"/>
  <c r="AB1025" i="8"/>
  <c r="AB1026" i="8"/>
  <c r="AB1027" i="8"/>
  <c r="AB1028" i="8"/>
  <c r="AB1029" i="8"/>
  <c r="AB1030" i="8"/>
  <c r="AB1031" i="8"/>
  <c r="AB1032" i="8"/>
  <c r="AB1033" i="8"/>
  <c r="AB1034" i="8"/>
  <c r="AB1035" i="8"/>
  <c r="AB1036" i="8"/>
  <c r="AB1037" i="8"/>
  <c r="AB1038" i="8"/>
  <c r="AB1039" i="8"/>
  <c r="AB1040" i="8"/>
  <c r="AB1041" i="8"/>
  <c r="AB1042" i="8"/>
  <c r="AB1043" i="8"/>
  <c r="AB1044" i="8"/>
  <c r="AB1045" i="8"/>
  <c r="AB1046" i="8"/>
  <c r="AB1047" i="8"/>
  <c r="AB1048" i="8"/>
  <c r="AB1049" i="8"/>
  <c r="AB1050" i="8"/>
  <c r="AB1051" i="8"/>
  <c r="AB1052" i="8"/>
  <c r="AB1053" i="8"/>
  <c r="AB1054" i="8"/>
  <c r="AB1055" i="8"/>
  <c r="AB1056" i="8"/>
  <c r="AB1057" i="8"/>
  <c r="AB1058" i="8"/>
  <c r="AB1059" i="8"/>
  <c r="AB1060" i="8"/>
  <c r="AB1061" i="8"/>
  <c r="AB1062" i="8"/>
  <c r="AB1063" i="8"/>
  <c r="AB1064" i="8"/>
  <c r="AB1065" i="8"/>
  <c r="AB1066" i="8"/>
  <c r="AB1067" i="8"/>
  <c r="AB1068" i="8"/>
  <c r="AB1069" i="8"/>
  <c r="AB1070" i="8"/>
  <c r="AB1071" i="8"/>
  <c r="AB1072" i="8"/>
  <c r="AB1073" i="8"/>
  <c r="AB1074" i="8"/>
  <c r="AB1075" i="8"/>
  <c r="AB1076" i="8"/>
  <c r="AB1077" i="8"/>
  <c r="AB1078" i="8"/>
  <c r="AB1079" i="8"/>
  <c r="AB1080" i="8"/>
  <c r="AB1081" i="8"/>
  <c r="AB1082" i="8"/>
  <c r="AB1083" i="8"/>
  <c r="AB1084" i="8"/>
  <c r="AB1085" i="8"/>
  <c r="AB1086" i="8"/>
  <c r="AB1087" i="8"/>
  <c r="AB1088" i="8"/>
  <c r="AB1089" i="8"/>
  <c r="AB1090" i="8"/>
  <c r="AB1091" i="8"/>
  <c r="AB1092" i="8"/>
  <c r="AB1093" i="8"/>
  <c r="AB1094" i="8"/>
  <c r="AB1095" i="8"/>
  <c r="AB1096" i="8"/>
  <c r="AB1097" i="8"/>
  <c r="AB1098" i="8"/>
  <c r="AB1099" i="8"/>
  <c r="AB1100" i="8"/>
  <c r="AB1101" i="8"/>
  <c r="AB1102" i="8"/>
  <c r="AB1103" i="8"/>
  <c r="AB1104" i="8"/>
  <c r="AB1105" i="8"/>
  <c r="AB1106" i="8"/>
  <c r="AB1107" i="8"/>
  <c r="AB1108" i="8"/>
  <c r="AB1109" i="8"/>
  <c r="AB1110" i="8"/>
  <c r="AB1111" i="8"/>
  <c r="AB1112" i="8"/>
  <c r="AB1113" i="8"/>
  <c r="AB1114" i="8"/>
  <c r="AB1115" i="8"/>
  <c r="AB1116" i="8"/>
  <c r="AB1117" i="8"/>
  <c r="AB1118" i="8"/>
  <c r="AB1119" i="8"/>
  <c r="AB1120" i="8"/>
  <c r="AB1121" i="8"/>
  <c r="AB1122" i="8"/>
  <c r="AB1123" i="8"/>
  <c r="AB1124" i="8"/>
  <c r="AB1125" i="8"/>
  <c r="AB1126" i="8"/>
  <c r="AB1127" i="8"/>
  <c r="AB1128" i="8"/>
  <c r="AB1129" i="8"/>
  <c r="AB1130" i="8"/>
  <c r="AB1131" i="8"/>
  <c r="AB1132" i="8"/>
  <c r="AB1133" i="8"/>
  <c r="AB1134" i="8"/>
  <c r="AB1135" i="8"/>
  <c r="AB1136" i="8"/>
  <c r="AB1137" i="8"/>
  <c r="AB1138" i="8"/>
  <c r="AB1139" i="8"/>
  <c r="AB1140" i="8"/>
  <c r="AB1141" i="8"/>
  <c r="AB1142" i="8"/>
  <c r="AB1143" i="8"/>
  <c r="AB1144" i="8"/>
  <c r="AB1145" i="8"/>
  <c r="AB1146" i="8"/>
  <c r="AB1147" i="8"/>
  <c r="AB1148" i="8"/>
  <c r="AB1149" i="8"/>
  <c r="AB1150" i="8"/>
  <c r="AB1151" i="8"/>
  <c r="AB1152" i="8"/>
  <c r="AB1153" i="8"/>
  <c r="AB1154" i="8"/>
  <c r="AB1155" i="8"/>
  <c r="AB1156" i="8"/>
  <c r="AB1157" i="8"/>
  <c r="AB1158" i="8"/>
  <c r="AB1159" i="8"/>
  <c r="AB1160" i="8"/>
  <c r="AB1161" i="8"/>
  <c r="AB1162" i="8"/>
  <c r="AB1163" i="8"/>
  <c r="AB1164" i="8"/>
  <c r="AB1165" i="8"/>
  <c r="AB1166" i="8"/>
  <c r="AB1167" i="8"/>
  <c r="AB1168" i="8"/>
  <c r="AB1169" i="8"/>
  <c r="AB1170" i="8"/>
  <c r="AB1171" i="8"/>
  <c r="AB1172" i="8"/>
  <c r="AB1173" i="8"/>
  <c r="AB1174" i="8"/>
  <c r="AB1175" i="8"/>
  <c r="AB1176" i="8"/>
  <c r="AB1177" i="8"/>
  <c r="AB1178" i="8"/>
  <c r="AB1179" i="8"/>
  <c r="AB1180" i="8"/>
  <c r="AB1181" i="8"/>
  <c r="AB1182" i="8"/>
  <c r="AB1183" i="8"/>
  <c r="AB1184" i="8"/>
  <c r="AB1185" i="8"/>
  <c r="AB1186" i="8"/>
  <c r="AB1187" i="8"/>
  <c r="AB1188" i="8"/>
  <c r="AB1189" i="8"/>
  <c r="AB1190" i="8"/>
  <c r="AB1191" i="8"/>
  <c r="AB1192" i="8"/>
  <c r="AB1193" i="8"/>
  <c r="AB1194" i="8"/>
  <c r="AB1195" i="8"/>
  <c r="AB1196" i="8"/>
  <c r="AB1197" i="8"/>
  <c r="AB1198" i="8"/>
  <c r="AB1199" i="8"/>
  <c r="AB1200" i="8"/>
  <c r="AB1201" i="8"/>
  <c r="AB1202" i="8"/>
  <c r="AB1203" i="8"/>
  <c r="AB1204" i="8"/>
  <c r="AB1205" i="8"/>
  <c r="AB1206" i="8"/>
  <c r="AB1207" i="8"/>
  <c r="AB1208" i="8"/>
  <c r="AB1209" i="8"/>
  <c r="AB1210" i="8"/>
  <c r="AB1211" i="8"/>
  <c r="AB1212" i="8"/>
  <c r="AB1213" i="8"/>
  <c r="AB1214" i="8"/>
  <c r="AB1215" i="8"/>
  <c r="AB1216" i="8"/>
  <c r="AB1217" i="8"/>
  <c r="AB1218" i="8"/>
  <c r="AB1219" i="8"/>
  <c r="AB1220" i="8"/>
  <c r="AB1221" i="8"/>
  <c r="AB1222" i="8"/>
  <c r="AB1223" i="8"/>
  <c r="AB1224" i="8"/>
  <c r="AB1225" i="8"/>
  <c r="AB1226" i="8"/>
  <c r="AB1227" i="8"/>
  <c r="AB1228" i="8"/>
  <c r="AB1229" i="8"/>
  <c r="AB1230" i="8"/>
  <c r="AB1231" i="8"/>
  <c r="AB1232" i="8"/>
  <c r="AB1233" i="8"/>
  <c r="AB1234" i="8"/>
  <c r="AB1235" i="8"/>
  <c r="AB1236" i="8"/>
  <c r="AB1237" i="8"/>
  <c r="AB1238" i="8"/>
  <c r="AB1239" i="8"/>
  <c r="AB1240" i="8"/>
  <c r="AB1241" i="8"/>
  <c r="AB1242" i="8"/>
  <c r="AB1243" i="8"/>
  <c r="AB1244" i="8"/>
  <c r="AB1245" i="8"/>
  <c r="AB1246" i="8"/>
  <c r="AB1247" i="8"/>
  <c r="AB1248" i="8"/>
  <c r="AB1249" i="8"/>
  <c r="AB1250" i="8"/>
  <c r="AB1251" i="8"/>
  <c r="AB1252" i="8"/>
  <c r="AB1253" i="8"/>
  <c r="AB1254" i="8"/>
  <c r="AB1255" i="8"/>
  <c r="AB1256" i="8"/>
  <c r="AB1257" i="8"/>
  <c r="AB1258" i="8"/>
  <c r="AB1259" i="8"/>
  <c r="AB1260" i="8"/>
  <c r="AB1261" i="8"/>
  <c r="AB1262" i="8"/>
  <c r="AB1263" i="8"/>
  <c r="AB1264" i="8"/>
  <c r="AB1265" i="8"/>
  <c r="AB1266" i="8"/>
  <c r="AB1267" i="8"/>
  <c r="AB1268" i="8"/>
  <c r="AB1269" i="8"/>
  <c r="AB1270" i="8"/>
  <c r="AB1271" i="8"/>
  <c r="AB1272" i="8"/>
  <c r="AB1273" i="8"/>
  <c r="AB1274" i="8"/>
  <c r="AB1275" i="8"/>
  <c r="AB1276" i="8"/>
  <c r="AB1277" i="8"/>
  <c r="AB1278" i="8"/>
  <c r="AB1279" i="8"/>
  <c r="AB1280" i="8"/>
  <c r="AB1281" i="8"/>
  <c r="AB1282" i="8"/>
  <c r="AB1283" i="8"/>
  <c r="AB1284" i="8"/>
  <c r="AB1285" i="8"/>
  <c r="AB1286" i="8"/>
  <c r="AB1287" i="8"/>
  <c r="AB1288" i="8"/>
  <c r="AB1289" i="8"/>
  <c r="AB1290" i="8"/>
  <c r="AB1291" i="8"/>
  <c r="AB1292" i="8"/>
  <c r="AB1293" i="8"/>
  <c r="AB1294" i="8"/>
  <c r="AB1295" i="8"/>
  <c r="AB1296" i="8"/>
  <c r="AB1297" i="8"/>
  <c r="AB1298" i="8"/>
  <c r="AB1299" i="8"/>
  <c r="AB1300" i="8"/>
  <c r="AB1301" i="8"/>
  <c r="AB1302" i="8"/>
  <c r="AB1303" i="8"/>
  <c r="AB1304" i="8"/>
  <c r="AB1305" i="8"/>
  <c r="AB1306" i="8"/>
  <c r="AB1307" i="8"/>
  <c r="AB1308" i="8"/>
  <c r="AB1309" i="8"/>
  <c r="AB1310" i="8"/>
  <c r="AB1311" i="8"/>
  <c r="AB1312" i="8"/>
  <c r="AB1313" i="8"/>
  <c r="AB1314" i="8"/>
  <c r="AB1315" i="8"/>
  <c r="AB1316" i="8"/>
  <c r="AB1317" i="8"/>
  <c r="AB1318" i="8"/>
  <c r="AB1319" i="8"/>
  <c r="AB1320" i="8"/>
  <c r="AB1321" i="8"/>
  <c r="AB1322" i="8"/>
  <c r="AB1323" i="8"/>
  <c r="AB1324" i="8"/>
  <c r="AB1325" i="8"/>
  <c r="AB1326" i="8"/>
  <c r="AB1327" i="8"/>
  <c r="AB1328" i="8"/>
  <c r="AB1329" i="8"/>
  <c r="AB1330" i="8"/>
  <c r="AB1331" i="8"/>
  <c r="AB1332" i="8"/>
  <c r="AB1333" i="8"/>
  <c r="AB1334" i="8"/>
  <c r="AB1335" i="8"/>
  <c r="AB1336" i="8"/>
  <c r="AB1337" i="8"/>
  <c r="AB1338" i="8"/>
  <c r="AB1339" i="8"/>
  <c r="AB1340" i="8"/>
  <c r="AB1341" i="8"/>
  <c r="AB1342" i="8"/>
  <c r="AB1343" i="8"/>
  <c r="AB1344" i="8"/>
  <c r="AB1345" i="8"/>
  <c r="AB1346" i="8"/>
  <c r="AB1347" i="8"/>
  <c r="AB1348" i="8"/>
  <c r="AB1349" i="8"/>
  <c r="AB1350" i="8"/>
  <c r="AB1351" i="8"/>
  <c r="AB1352" i="8"/>
  <c r="AB1353" i="8"/>
  <c r="AB1354" i="8"/>
  <c r="AB1355" i="8"/>
  <c r="AB1356" i="8"/>
  <c r="AB1357" i="8"/>
  <c r="AB1358" i="8"/>
  <c r="AB1359" i="8"/>
  <c r="AB1360" i="8"/>
  <c r="AB1361" i="8"/>
  <c r="AB1362" i="8"/>
  <c r="AB1363" i="8"/>
  <c r="AB1364" i="8"/>
  <c r="AB1365" i="8"/>
  <c r="AB1366" i="8"/>
  <c r="AB1367" i="8"/>
  <c r="AB1368" i="8"/>
  <c r="AB1369" i="8"/>
  <c r="AB1370" i="8"/>
  <c r="AB1371" i="8"/>
  <c r="AB1372" i="8"/>
  <c r="AB1373" i="8"/>
  <c r="AB1374" i="8"/>
  <c r="AB1375" i="8"/>
  <c r="AB1376" i="8"/>
  <c r="AB1377" i="8"/>
  <c r="AB1378" i="8"/>
  <c r="AB1379" i="8"/>
  <c r="AB1380" i="8"/>
  <c r="AB1381" i="8"/>
  <c r="AB1382" i="8"/>
  <c r="AB1383" i="8"/>
  <c r="AB1384" i="8"/>
  <c r="AB1385" i="8"/>
  <c r="AB1386" i="8"/>
  <c r="AB1387" i="8"/>
  <c r="AB1388" i="8"/>
  <c r="AB1389" i="8"/>
  <c r="AB1390" i="8"/>
  <c r="AB1391" i="8"/>
  <c r="AB1392" i="8"/>
  <c r="AB1393" i="8"/>
  <c r="AB1394" i="8"/>
  <c r="AB1395" i="8"/>
  <c r="AB1396" i="8"/>
  <c r="AB1397" i="8"/>
  <c r="AB1398" i="8"/>
  <c r="AB1399" i="8"/>
  <c r="AB1400" i="8"/>
  <c r="AB1401" i="8"/>
  <c r="AB1402" i="8"/>
  <c r="AB1403" i="8"/>
  <c r="AB1404" i="8"/>
  <c r="AB1405" i="8"/>
  <c r="AB1406" i="8"/>
  <c r="AB1407" i="8"/>
  <c r="AB1408" i="8"/>
  <c r="AB1409" i="8"/>
  <c r="AB1410" i="8"/>
  <c r="AB1411" i="8"/>
  <c r="AB1412" i="8"/>
  <c r="AB1413" i="8"/>
  <c r="AB1414" i="8"/>
  <c r="AB1415" i="8"/>
  <c r="AB1416" i="8"/>
  <c r="AB1417" i="8"/>
  <c r="AB1418" i="8"/>
  <c r="AB1419" i="8"/>
  <c r="AB1420" i="8"/>
  <c r="AB1421" i="8"/>
  <c r="AB1422" i="8"/>
  <c r="AB1423" i="8"/>
  <c r="AB1424" i="8"/>
  <c r="AB1425" i="8"/>
  <c r="AB1426" i="8"/>
  <c r="AB1427" i="8"/>
  <c r="AB1428" i="8"/>
  <c r="AB1429" i="8"/>
  <c r="AB1430" i="8"/>
  <c r="AB1431" i="8"/>
  <c r="AB1432" i="8"/>
  <c r="AB1433" i="8"/>
  <c r="AB1434" i="8"/>
  <c r="AB1435" i="8"/>
  <c r="AB1436" i="8"/>
  <c r="AB1437" i="8"/>
  <c r="AB1438" i="8"/>
  <c r="AB1439" i="8"/>
  <c r="AB1440" i="8"/>
  <c r="AB1441" i="8"/>
  <c r="AB1442" i="8"/>
  <c r="AB1443" i="8"/>
  <c r="AB1444" i="8"/>
  <c r="AB1445" i="8"/>
  <c r="AB1446" i="8"/>
  <c r="AB1447" i="8"/>
  <c r="AB1448" i="8"/>
  <c r="AB1449" i="8"/>
  <c r="AB1450" i="8"/>
  <c r="AB1451" i="8"/>
  <c r="AB1452" i="8"/>
  <c r="AB1453" i="8"/>
  <c r="AB1454" i="8"/>
  <c r="AB1455" i="8"/>
  <c r="AB1456" i="8"/>
  <c r="AB1457" i="8"/>
  <c r="AB1458" i="8"/>
  <c r="AB1459" i="8"/>
  <c r="AB1460" i="8"/>
  <c r="AB1461" i="8"/>
  <c r="AB1462" i="8"/>
  <c r="AB1463" i="8"/>
  <c r="AB1464" i="8"/>
  <c r="AB1465" i="8"/>
  <c r="AB1466" i="8"/>
  <c r="AB1467" i="8"/>
  <c r="AB1468" i="8"/>
  <c r="AB1469" i="8"/>
  <c r="AB1470" i="8"/>
  <c r="AB1471" i="8"/>
  <c r="AB1472" i="8"/>
  <c r="AB1473" i="8"/>
  <c r="AB1474" i="8"/>
  <c r="AB1475" i="8"/>
  <c r="AB1476" i="8"/>
  <c r="AB1477" i="8"/>
  <c r="AB1478" i="8"/>
  <c r="AB1479" i="8"/>
  <c r="AB1480" i="8"/>
  <c r="AB1481" i="8"/>
  <c r="AB1482" i="8"/>
  <c r="AB1483" i="8"/>
  <c r="AB1484" i="8"/>
  <c r="AB1485" i="8"/>
  <c r="AB1486" i="8"/>
  <c r="AB1487" i="8"/>
  <c r="AB1488" i="8"/>
  <c r="AB1489" i="8"/>
  <c r="AB1490" i="8"/>
  <c r="AB1491" i="8"/>
  <c r="AB1492" i="8"/>
  <c r="AB1493" i="8"/>
  <c r="AB1494" i="8"/>
  <c r="AB1495" i="8"/>
  <c r="AB1496" i="8"/>
  <c r="AB1497" i="8"/>
  <c r="AB1498" i="8"/>
  <c r="AB1499" i="8"/>
  <c r="AB1500" i="8"/>
  <c r="AB1501" i="8"/>
  <c r="AB1502" i="8"/>
  <c r="AB1503" i="8"/>
  <c r="AB1504" i="8"/>
  <c r="AB1505" i="8"/>
  <c r="AB1506" i="8"/>
  <c r="AB1507" i="8"/>
  <c r="AB1508" i="8"/>
  <c r="AB1509" i="8"/>
  <c r="AB1510" i="8"/>
  <c r="AB1511" i="8"/>
  <c r="AB1512" i="8"/>
  <c r="AB1513" i="8"/>
  <c r="AB1514" i="8"/>
  <c r="AB1515" i="8"/>
  <c r="AB1516" i="8"/>
  <c r="AB1517" i="8"/>
  <c r="AB1518" i="8"/>
  <c r="AB1519" i="8"/>
  <c r="AB1520" i="8"/>
  <c r="AB1521" i="8"/>
  <c r="AB1522" i="8"/>
  <c r="AB1523" i="8"/>
  <c r="AB1524" i="8"/>
  <c r="AB1525" i="8"/>
  <c r="AB1526" i="8"/>
  <c r="AB1527" i="8"/>
  <c r="AB1528" i="8"/>
  <c r="AB1529" i="8"/>
  <c r="AB1530" i="8"/>
  <c r="AB1531" i="8"/>
  <c r="AB1532" i="8"/>
  <c r="AB1533" i="8"/>
  <c r="AB1534" i="8"/>
  <c r="AB1535" i="8"/>
  <c r="AB1536" i="8"/>
  <c r="AB1537" i="8"/>
  <c r="AB1538" i="8"/>
  <c r="AB1539" i="8"/>
  <c r="AB1540" i="8"/>
  <c r="AB1541" i="8"/>
  <c r="AB1542" i="8"/>
  <c r="AB1543" i="8"/>
  <c r="AB1544" i="8"/>
  <c r="AB1545" i="8"/>
  <c r="AB1546" i="8"/>
  <c r="AB1547" i="8"/>
  <c r="AB1548" i="8"/>
  <c r="AB1549" i="8"/>
  <c r="AB1550" i="8"/>
  <c r="AB1551" i="8"/>
  <c r="AB1552" i="8"/>
  <c r="AB1553" i="8"/>
  <c r="AB1554" i="8"/>
  <c r="AB1555" i="8"/>
  <c r="AB1556" i="8"/>
  <c r="AB1557" i="8"/>
  <c r="AB1558" i="8"/>
  <c r="AB1559" i="8"/>
  <c r="AB1560" i="8"/>
  <c r="AB1561" i="8"/>
  <c r="AB1562" i="8"/>
  <c r="AB1563" i="8"/>
  <c r="AB1564" i="8"/>
  <c r="AB1565" i="8"/>
  <c r="AB1566" i="8"/>
  <c r="AB1567" i="8"/>
  <c r="AB1568" i="8"/>
  <c r="AB1569" i="8"/>
  <c r="AB1570" i="8"/>
  <c r="AB1571" i="8"/>
  <c r="AB1572" i="8"/>
  <c r="AB1573" i="8"/>
  <c r="AB1574" i="8"/>
  <c r="AB1575" i="8"/>
  <c r="AB1576" i="8"/>
  <c r="AB1577" i="8"/>
  <c r="AB1578" i="8"/>
  <c r="AB1579" i="8"/>
  <c r="AB1580" i="8"/>
  <c r="AB1581" i="8"/>
  <c r="AB1582" i="8"/>
  <c r="AB1583" i="8"/>
  <c r="AB1584" i="8"/>
  <c r="AB1585" i="8"/>
  <c r="AB1586" i="8"/>
  <c r="AB1587" i="8"/>
  <c r="AB1588" i="8"/>
  <c r="AB1589" i="8"/>
  <c r="AB1590" i="8"/>
  <c r="AB1591" i="8"/>
  <c r="AB1592" i="8"/>
  <c r="AB1593" i="8"/>
  <c r="AB1594" i="8"/>
  <c r="AB1595" i="8"/>
  <c r="AB1596" i="8"/>
  <c r="AB1597" i="8"/>
  <c r="AB1598" i="8"/>
  <c r="AB1599" i="8"/>
  <c r="AB1600" i="8"/>
  <c r="AB1601" i="8"/>
  <c r="AB1602" i="8"/>
  <c r="AB1603" i="8"/>
  <c r="AB1604" i="8"/>
  <c r="AB1605" i="8"/>
  <c r="AB1606" i="8"/>
  <c r="AB1607" i="8"/>
  <c r="AB1608" i="8"/>
  <c r="AB1609" i="8"/>
  <c r="AB1610" i="8"/>
  <c r="AB1611" i="8"/>
  <c r="AB1612" i="8"/>
  <c r="AB1613" i="8"/>
  <c r="AB1614" i="8"/>
  <c r="AB1615" i="8"/>
  <c r="AB1616" i="8"/>
  <c r="AB1617" i="8"/>
  <c r="AB1618" i="8"/>
  <c r="AB1619" i="8"/>
  <c r="AB1620" i="8"/>
  <c r="AB1621" i="8"/>
  <c r="AB1622" i="8"/>
  <c r="AB1623" i="8"/>
  <c r="AB1624" i="8"/>
  <c r="AB1625" i="8"/>
  <c r="AB1626" i="8"/>
  <c r="AB1627" i="8"/>
  <c r="AB1628" i="8"/>
  <c r="AB1629" i="8"/>
  <c r="AB1630" i="8"/>
  <c r="AB1631" i="8"/>
  <c r="AB1632" i="8"/>
  <c r="AB1633" i="8"/>
  <c r="AB1634" i="8"/>
  <c r="AB1635" i="8"/>
  <c r="AB1636" i="8"/>
  <c r="AB1637" i="8"/>
  <c r="AB1638" i="8"/>
  <c r="AB1639" i="8"/>
  <c r="AB1640" i="8"/>
  <c r="AB1641" i="8"/>
  <c r="AB1642" i="8"/>
  <c r="AB1643" i="8"/>
  <c r="AB1644" i="8"/>
  <c r="AB1645" i="8"/>
  <c r="AB1646" i="8"/>
  <c r="AB1647" i="8"/>
  <c r="AB1648" i="8"/>
  <c r="AB1649" i="8"/>
  <c r="AB1650" i="8"/>
  <c r="AB1651" i="8"/>
  <c r="AB1652" i="8"/>
  <c r="AB1653" i="8"/>
  <c r="AB1654" i="8"/>
  <c r="AB1655" i="8"/>
  <c r="AB1656" i="8"/>
  <c r="AB1657" i="8"/>
  <c r="AB1658" i="8"/>
  <c r="AB1659" i="8"/>
  <c r="AB1660" i="8"/>
  <c r="AB1661" i="8"/>
  <c r="AB1662" i="8"/>
  <c r="AB1663" i="8"/>
  <c r="AB1664" i="8"/>
  <c r="AB1665" i="8"/>
  <c r="AB1666" i="8"/>
  <c r="AB1667" i="8"/>
  <c r="AB1668" i="8"/>
  <c r="AB1669" i="8"/>
  <c r="AB1670" i="8"/>
  <c r="AB1671" i="8"/>
  <c r="AB1672" i="8"/>
  <c r="AB1673" i="8"/>
  <c r="AB1674" i="8"/>
  <c r="AB1675" i="8"/>
  <c r="AB1676" i="8"/>
  <c r="AB1677" i="8"/>
  <c r="AB1678" i="8"/>
  <c r="AB1679" i="8"/>
  <c r="AB1680" i="8"/>
  <c r="AB1681" i="8"/>
  <c r="AB1682" i="8"/>
  <c r="AB1683" i="8"/>
  <c r="AB1684" i="8"/>
  <c r="AB1685" i="8"/>
  <c r="AB1686" i="8"/>
  <c r="AB1687" i="8"/>
  <c r="AB1688" i="8"/>
  <c r="AB1689" i="8"/>
  <c r="AB1690" i="8"/>
  <c r="AB1691" i="8"/>
  <c r="AB1692" i="8"/>
  <c r="AB1693" i="8"/>
  <c r="AB1694" i="8"/>
  <c r="AB1695" i="8"/>
  <c r="AB1696" i="8"/>
  <c r="AB1697" i="8"/>
  <c r="AB1698" i="8"/>
  <c r="AB1699" i="8"/>
  <c r="AB1700" i="8"/>
  <c r="AB1701" i="8"/>
  <c r="AB1702" i="8"/>
  <c r="AB1703" i="8"/>
  <c r="AB1704" i="8"/>
  <c r="AB1705" i="8"/>
  <c r="AB1706" i="8"/>
  <c r="AB1707" i="8"/>
  <c r="AB1708" i="8"/>
  <c r="AB1709" i="8"/>
  <c r="AB1710" i="8"/>
  <c r="AB1711" i="8"/>
  <c r="AB1712" i="8"/>
  <c r="AB1713" i="8"/>
  <c r="AB1714" i="8"/>
  <c r="AB1715" i="8"/>
  <c r="AB1716" i="8"/>
  <c r="AB1717" i="8"/>
  <c r="AB1718" i="8"/>
  <c r="AB1719" i="8"/>
  <c r="AB1720" i="8"/>
  <c r="AB1721" i="8"/>
  <c r="AB1722" i="8"/>
  <c r="AB1723" i="8"/>
  <c r="AB1724" i="8"/>
  <c r="AB1725" i="8"/>
  <c r="AB1726" i="8"/>
  <c r="AB1727" i="8"/>
  <c r="AB1728" i="8"/>
  <c r="AB1729" i="8"/>
  <c r="AB1730" i="8"/>
  <c r="AB1731" i="8"/>
  <c r="AB1732" i="8"/>
  <c r="AB1733" i="8"/>
  <c r="AB1734" i="8"/>
  <c r="AB1735" i="8"/>
  <c r="AB1736" i="8"/>
  <c r="AB1737" i="8"/>
  <c r="AB1738" i="8"/>
  <c r="AB1739" i="8"/>
  <c r="AB1740" i="8"/>
  <c r="AB1741" i="8"/>
  <c r="AB1742" i="8"/>
  <c r="AB1743" i="8"/>
  <c r="AB1744" i="8"/>
  <c r="AB1745" i="8"/>
  <c r="AB1746" i="8"/>
  <c r="AB1747" i="8"/>
  <c r="AB1748" i="8"/>
  <c r="AB1749" i="8"/>
  <c r="AB1750" i="8"/>
  <c r="AB1751" i="8"/>
  <c r="AB1752" i="8"/>
  <c r="AB1753" i="8"/>
  <c r="AB1754" i="8"/>
  <c r="AB1755" i="8"/>
  <c r="AB1756" i="8"/>
  <c r="AB1757" i="8"/>
  <c r="AB1758" i="8"/>
  <c r="AB1759" i="8"/>
  <c r="AB1760" i="8"/>
  <c r="AB1761" i="8"/>
  <c r="AB1762" i="8"/>
  <c r="AB1763" i="8"/>
  <c r="AB1764" i="8"/>
  <c r="AB1765" i="8"/>
  <c r="AB1766" i="8"/>
  <c r="AB1767" i="8"/>
  <c r="AB1768" i="8"/>
  <c r="AB1769" i="8"/>
  <c r="AB1770" i="8"/>
  <c r="AB1771" i="8"/>
  <c r="AB1772" i="8"/>
  <c r="AB1773" i="8"/>
  <c r="AB1774" i="8"/>
  <c r="AB1775" i="8"/>
  <c r="AB1776" i="8"/>
  <c r="AB1777" i="8"/>
  <c r="AB1778" i="8"/>
  <c r="AB1779" i="8"/>
  <c r="AB1780" i="8"/>
  <c r="AB1781" i="8"/>
  <c r="AB1782" i="8"/>
  <c r="AB1783" i="8"/>
  <c r="AB1784" i="8"/>
  <c r="AB1785" i="8"/>
  <c r="AB1786" i="8"/>
  <c r="AB1787" i="8"/>
  <c r="AB1788" i="8"/>
  <c r="AB1789" i="8"/>
  <c r="AB1790" i="8"/>
  <c r="AB1791" i="8"/>
  <c r="AB1792" i="8"/>
  <c r="AB1793" i="8"/>
  <c r="AB1794" i="8"/>
  <c r="AB1795" i="8"/>
  <c r="AB1796" i="8"/>
  <c r="AB1797" i="8"/>
  <c r="AB1798" i="8"/>
  <c r="AB1799" i="8"/>
  <c r="AB1800" i="8"/>
  <c r="AB1801" i="8"/>
  <c r="AB1802" i="8"/>
  <c r="AB1803" i="8"/>
  <c r="AB1804" i="8"/>
  <c r="AB1805" i="8"/>
  <c r="AB1806" i="8"/>
  <c r="AB1807" i="8"/>
  <c r="AB1808" i="8"/>
  <c r="AB1809" i="8"/>
  <c r="AB1810" i="8"/>
  <c r="AB1811" i="8"/>
  <c r="AB1812" i="8"/>
  <c r="AB1813" i="8"/>
  <c r="AB1814" i="8"/>
  <c r="AB1815" i="8"/>
  <c r="AB1816" i="8"/>
  <c r="AB1817" i="8"/>
  <c r="AB1818" i="8"/>
  <c r="AB1819" i="8"/>
  <c r="AB1820" i="8"/>
  <c r="AB1821" i="8"/>
  <c r="AB1822" i="8"/>
  <c r="AB1823" i="8"/>
  <c r="AB1824" i="8"/>
  <c r="AB1825" i="8"/>
  <c r="AB1826" i="8"/>
  <c r="AB1827" i="8"/>
  <c r="AB1828" i="8"/>
  <c r="AB1829" i="8"/>
  <c r="AB1830" i="8"/>
  <c r="AB1831" i="8"/>
  <c r="AB1832" i="8"/>
  <c r="AB1833" i="8"/>
  <c r="AB1834" i="8"/>
  <c r="AB1835" i="8"/>
  <c r="AB1836" i="8"/>
  <c r="AB1837" i="8"/>
  <c r="AB1838" i="8"/>
  <c r="AB1839" i="8"/>
  <c r="AB1840" i="8"/>
  <c r="AB1841" i="8"/>
  <c r="AB1842" i="8"/>
  <c r="AB1843" i="8"/>
  <c r="AB1844" i="8"/>
  <c r="AB1845" i="8"/>
  <c r="AB1846" i="8"/>
  <c r="AB1847" i="8"/>
  <c r="AB1848" i="8"/>
  <c r="AB1849" i="8"/>
  <c r="AB1850" i="8"/>
  <c r="AB1851" i="8"/>
  <c r="AB1852" i="8"/>
  <c r="AB1853" i="8"/>
  <c r="AB1854" i="8"/>
  <c r="AB1855" i="8"/>
  <c r="AB1856" i="8"/>
  <c r="AB1857" i="8"/>
  <c r="AB1858" i="8"/>
  <c r="AB1859" i="8"/>
  <c r="AB1860" i="8"/>
  <c r="AB1861" i="8"/>
  <c r="AB1862" i="8"/>
  <c r="AB1863" i="8"/>
  <c r="AB1864" i="8"/>
  <c r="AB1865" i="8"/>
  <c r="AB1866" i="8"/>
  <c r="AB1867" i="8"/>
  <c r="AB1868" i="8"/>
  <c r="AB1869" i="8"/>
  <c r="AB1870" i="8"/>
  <c r="AB1871" i="8"/>
  <c r="AB1872" i="8"/>
  <c r="AB1873" i="8"/>
  <c r="AB1874" i="8"/>
  <c r="AB1875" i="8"/>
  <c r="AB1876" i="8"/>
  <c r="AB1877" i="8"/>
  <c r="AB1878" i="8"/>
  <c r="AB1879" i="8"/>
  <c r="AB1880" i="8"/>
  <c r="AB1881" i="8"/>
  <c r="AB1882" i="8"/>
  <c r="AB1883" i="8"/>
  <c r="AB1884" i="8"/>
  <c r="AB1885" i="8"/>
  <c r="AB1886" i="8"/>
  <c r="AB1887" i="8"/>
  <c r="AB1888" i="8"/>
  <c r="AB1889" i="8"/>
  <c r="AB1890" i="8"/>
  <c r="AB1891" i="8"/>
  <c r="AB1892" i="8"/>
  <c r="AB1893" i="8"/>
  <c r="AB1894" i="8"/>
  <c r="AB1895" i="8"/>
  <c r="AB1896" i="8"/>
  <c r="AB1897" i="8"/>
  <c r="AB1898" i="8"/>
  <c r="AB1899" i="8"/>
  <c r="AB1900" i="8"/>
  <c r="AB1901" i="8"/>
  <c r="AB1902" i="8"/>
  <c r="AB1903" i="8"/>
  <c r="AB1904" i="8"/>
  <c r="AB1905" i="8"/>
  <c r="AB1906" i="8"/>
  <c r="AB1907" i="8"/>
  <c r="AB1908" i="8"/>
  <c r="AB1909" i="8"/>
  <c r="AB1910" i="8"/>
  <c r="AB1911" i="8"/>
  <c r="AB1912" i="8"/>
  <c r="AB1913" i="8"/>
  <c r="AB1914" i="8"/>
  <c r="AB1915" i="8"/>
  <c r="AB1916" i="8"/>
  <c r="AB1917" i="8"/>
  <c r="AB1918" i="8"/>
  <c r="AB1919" i="8"/>
  <c r="AB1920" i="8"/>
  <c r="AB1921" i="8"/>
  <c r="AB1922" i="8"/>
  <c r="AB1923" i="8"/>
  <c r="AB1924" i="8"/>
  <c r="AB1925" i="8"/>
  <c r="AB1926" i="8"/>
  <c r="AB1927" i="8"/>
  <c r="AB1928" i="8"/>
  <c r="AB1929" i="8"/>
  <c r="AB1930" i="8"/>
  <c r="AB1931" i="8"/>
  <c r="AB1932" i="8"/>
  <c r="AB1933" i="8"/>
  <c r="AB1934" i="8"/>
  <c r="AB1935" i="8"/>
  <c r="AB1936" i="8"/>
  <c r="AB1937" i="8"/>
  <c r="AB1938" i="8"/>
  <c r="AB1939" i="8"/>
  <c r="AB1940" i="8"/>
  <c r="AB1941" i="8"/>
  <c r="AB1942" i="8"/>
  <c r="AB1943" i="8"/>
  <c r="AB1944" i="8"/>
  <c r="AB1945" i="8"/>
  <c r="AB1946" i="8"/>
  <c r="AB1947" i="8"/>
  <c r="AB1948" i="8"/>
  <c r="AB1949" i="8"/>
  <c r="AB1950" i="8"/>
  <c r="AB1951" i="8"/>
  <c r="AB1952" i="8"/>
  <c r="AB1953" i="8"/>
  <c r="AB1954" i="8"/>
  <c r="AB1955" i="8"/>
  <c r="AB1956" i="8"/>
  <c r="AB1957" i="8"/>
  <c r="AB1958" i="8"/>
  <c r="AB1959" i="8"/>
  <c r="AB1960" i="8"/>
  <c r="AB1961" i="8"/>
  <c r="AB1962" i="8"/>
  <c r="AB1963" i="8"/>
  <c r="AB1964" i="8"/>
  <c r="AB1965" i="8"/>
  <c r="AB1966" i="8"/>
  <c r="AB1967" i="8"/>
  <c r="AB1968" i="8"/>
  <c r="AB1969" i="8"/>
  <c r="AB1970" i="8"/>
  <c r="AB1971" i="8"/>
  <c r="AB1972" i="8"/>
  <c r="AB1973" i="8"/>
  <c r="AB1974" i="8"/>
  <c r="AB1975" i="8"/>
  <c r="AB1976" i="8"/>
  <c r="AB1977" i="8"/>
  <c r="AB1978" i="8"/>
  <c r="AB1979" i="8"/>
  <c r="AB1980" i="8"/>
  <c r="AB1981" i="8"/>
  <c r="AB1982" i="8"/>
  <c r="AB1983" i="8"/>
  <c r="AB1984" i="8"/>
  <c r="AB1985" i="8"/>
  <c r="AB1986" i="8"/>
  <c r="AB1987" i="8"/>
  <c r="AB1988" i="8"/>
  <c r="AB1989" i="8"/>
  <c r="AB1990" i="8"/>
  <c r="AB1991" i="8"/>
  <c r="AB1992" i="8"/>
  <c r="AB1993" i="8"/>
  <c r="AB1994" i="8"/>
  <c r="AB1995" i="8"/>
  <c r="AB1996" i="8"/>
  <c r="AB1997" i="8"/>
  <c r="AB1998" i="8"/>
  <c r="AB1999" i="8"/>
  <c r="AB2000" i="8"/>
  <c r="AB2001" i="8"/>
  <c r="AB2002" i="8"/>
  <c r="AB2003" i="8"/>
  <c r="AB2004" i="8"/>
  <c r="AB2005" i="8"/>
  <c r="AB2006" i="8"/>
  <c r="AB2007" i="8"/>
  <c r="AB2008" i="8"/>
  <c r="AB2009" i="8"/>
  <c r="AB2010" i="8"/>
  <c r="AB2011" i="8"/>
  <c r="AB2012" i="8"/>
  <c r="AB2013" i="8"/>
  <c r="AB2014" i="8"/>
  <c r="AB2015" i="8"/>
  <c r="AB2016" i="8"/>
  <c r="AB2017" i="8"/>
  <c r="AB2018" i="8"/>
  <c r="AB2019" i="8"/>
  <c r="AB2020" i="8"/>
  <c r="AB2021" i="8"/>
  <c r="AB2022" i="8"/>
  <c r="AB2023" i="8"/>
  <c r="AB2024" i="8"/>
  <c r="AB2025" i="8"/>
  <c r="AB2026" i="8"/>
  <c r="AB2027" i="8"/>
  <c r="AB2028" i="8"/>
  <c r="AB2029" i="8"/>
  <c r="AB2030" i="8"/>
  <c r="AB2031" i="8"/>
  <c r="AB2032" i="8"/>
  <c r="AB2033" i="8"/>
  <c r="AB2034" i="8"/>
  <c r="AB2035" i="8"/>
  <c r="AB2036" i="8"/>
  <c r="AB2037" i="8"/>
  <c r="AB2038" i="8"/>
  <c r="AB2039" i="8"/>
  <c r="AB2040" i="8"/>
  <c r="AB2041" i="8"/>
  <c r="AB2042" i="8"/>
  <c r="AB2043" i="8"/>
  <c r="AB2044" i="8"/>
  <c r="AB2045" i="8"/>
  <c r="AB2046" i="8"/>
  <c r="AB2047" i="8"/>
  <c r="AB2048" i="8"/>
  <c r="AB2049" i="8"/>
  <c r="AB2050" i="8"/>
  <c r="AB2051" i="8"/>
  <c r="AB2052" i="8"/>
  <c r="AB2053" i="8"/>
  <c r="AB2054" i="8"/>
  <c r="AB2055" i="8"/>
  <c r="AB2056" i="8"/>
  <c r="AB2057" i="8"/>
  <c r="AB2058" i="8"/>
  <c r="AB2059" i="8"/>
  <c r="AB2060" i="8"/>
  <c r="AB2061" i="8"/>
  <c r="AB2062" i="8"/>
  <c r="AB2063" i="8"/>
  <c r="AB2064" i="8"/>
  <c r="AB2065" i="8"/>
  <c r="AB2066" i="8"/>
  <c r="AB2067" i="8"/>
  <c r="AB2068" i="8"/>
  <c r="AB2069" i="8"/>
  <c r="AB2070" i="8"/>
  <c r="AB2071" i="8"/>
  <c r="AB2072" i="8"/>
  <c r="AB2073" i="8"/>
  <c r="AB2074" i="8"/>
  <c r="AB2075" i="8"/>
  <c r="AB2076" i="8"/>
  <c r="AB2077" i="8"/>
  <c r="AB2078" i="8"/>
  <c r="AB2079" i="8"/>
  <c r="AB2080" i="8"/>
  <c r="AB2081" i="8"/>
  <c r="AB2082" i="8"/>
  <c r="AB2083" i="8"/>
  <c r="AB2084" i="8"/>
  <c r="AB2085" i="8"/>
  <c r="AB2086" i="8"/>
  <c r="AB2087" i="8"/>
  <c r="AB2088" i="8"/>
  <c r="AB2089" i="8"/>
  <c r="AB2090" i="8"/>
  <c r="AB2091" i="8"/>
  <c r="AB2092" i="8"/>
  <c r="AB2093" i="8"/>
  <c r="AB2094" i="8"/>
  <c r="AB2095" i="8"/>
  <c r="AB2096" i="8"/>
  <c r="AB2097" i="8"/>
  <c r="AB2098" i="8"/>
  <c r="AB2099" i="8"/>
  <c r="AB2100" i="8"/>
  <c r="AB2101" i="8"/>
  <c r="AB2102" i="8"/>
  <c r="AB2103" i="8"/>
  <c r="AB2104" i="8"/>
  <c r="AB2105" i="8"/>
  <c r="AB2106" i="8"/>
  <c r="AB2107" i="8"/>
  <c r="AB2108" i="8"/>
  <c r="AB2109" i="8"/>
  <c r="AB2110" i="8"/>
  <c r="AB2111" i="8"/>
  <c r="AB2112" i="8"/>
  <c r="AB2113" i="8"/>
  <c r="AB2114" i="8"/>
  <c r="AB2115" i="8"/>
  <c r="AB2116" i="8"/>
  <c r="AB2117" i="8"/>
  <c r="AB2118" i="8"/>
  <c r="AB2119" i="8"/>
  <c r="AB2120" i="8"/>
  <c r="AB2121" i="8"/>
  <c r="AB2122" i="8"/>
  <c r="AB2123" i="8"/>
  <c r="AB2124" i="8"/>
  <c r="AB2125" i="8"/>
  <c r="AB2126" i="8"/>
  <c r="AB2127" i="8"/>
  <c r="AB2128" i="8"/>
  <c r="AB2129" i="8"/>
  <c r="AB2130" i="8"/>
  <c r="AB2131" i="8"/>
  <c r="AB2132" i="8"/>
  <c r="AB2133" i="8"/>
  <c r="AB2134" i="8"/>
  <c r="AB2135" i="8"/>
  <c r="AB2136" i="8"/>
  <c r="AB2137" i="8"/>
  <c r="AB2138" i="8"/>
  <c r="AB2139" i="8"/>
  <c r="AB2140" i="8"/>
  <c r="AB2141" i="8"/>
  <c r="AB2142" i="8"/>
  <c r="AB2143" i="8"/>
  <c r="AB2144" i="8"/>
  <c r="AB2145" i="8"/>
  <c r="AB2146" i="8"/>
  <c r="AB2147" i="8"/>
  <c r="AB2148" i="8"/>
  <c r="AB2149" i="8"/>
  <c r="AB2150" i="8"/>
  <c r="AB2151" i="8"/>
  <c r="AB2152" i="8"/>
  <c r="AB2153" i="8"/>
  <c r="AB2154" i="8"/>
  <c r="AB2155" i="8"/>
  <c r="AB2156" i="8"/>
  <c r="AB2157" i="8"/>
  <c r="AB2158" i="8"/>
  <c r="AB2159" i="8"/>
  <c r="AB2160" i="8"/>
  <c r="AB2161" i="8"/>
  <c r="AB2162" i="8"/>
  <c r="AB2163" i="8"/>
  <c r="AB2164" i="8"/>
  <c r="AB2165" i="8"/>
  <c r="AB2166" i="8"/>
  <c r="AB2167" i="8"/>
  <c r="AB2168" i="8"/>
  <c r="AB2169" i="8"/>
  <c r="AB2170" i="8"/>
  <c r="AB2171" i="8"/>
  <c r="AB2172" i="8"/>
  <c r="AB2173" i="8"/>
  <c r="AB2174" i="8"/>
  <c r="AB2175" i="8"/>
  <c r="AB2176" i="8"/>
  <c r="AB2177" i="8"/>
  <c r="AB2178" i="8"/>
  <c r="AB2179" i="8"/>
  <c r="AB2180" i="8"/>
  <c r="AB2181" i="8"/>
  <c r="AB2182" i="8"/>
  <c r="AB2183" i="8"/>
  <c r="AB2184" i="8"/>
  <c r="AB2185" i="8"/>
  <c r="AB2186" i="8"/>
  <c r="AB2187" i="8"/>
  <c r="AB2188" i="8"/>
  <c r="AB2189" i="8"/>
  <c r="AB2190" i="8"/>
  <c r="AB2191" i="8"/>
  <c r="AB2192" i="8"/>
  <c r="AB2193" i="8"/>
  <c r="AB2194" i="8"/>
  <c r="AB2195" i="8"/>
  <c r="AB2196" i="8"/>
  <c r="AB2197" i="8"/>
  <c r="AB2198" i="8"/>
  <c r="AB2199" i="8"/>
  <c r="AB2200" i="8"/>
  <c r="AB2201" i="8"/>
  <c r="AB2202" i="8"/>
  <c r="AB2203" i="8"/>
  <c r="AB2204" i="8"/>
  <c r="AB2205" i="8"/>
  <c r="AB2206" i="8"/>
  <c r="AB2207" i="8"/>
  <c r="AB2208" i="8"/>
  <c r="AB2209" i="8"/>
  <c r="AB2210" i="8"/>
  <c r="AB2211" i="8"/>
  <c r="AB2212" i="8"/>
  <c r="AB2213" i="8"/>
  <c r="AB2214" i="8"/>
  <c r="AB2215" i="8"/>
  <c r="AB2216" i="8"/>
  <c r="AB2217" i="8"/>
  <c r="AB2218" i="8"/>
  <c r="AB2219" i="8"/>
  <c r="AB2220" i="8"/>
  <c r="AB2221" i="8"/>
  <c r="AB2222" i="8"/>
  <c r="AB2223" i="8"/>
  <c r="AB2224" i="8"/>
  <c r="AB2225" i="8"/>
  <c r="AB2226" i="8"/>
  <c r="AB2227" i="8"/>
  <c r="AB2228" i="8"/>
  <c r="AB2229" i="8"/>
  <c r="AB2230" i="8"/>
  <c r="AB2231" i="8"/>
  <c r="AB2232" i="8"/>
  <c r="AB2233" i="8"/>
  <c r="AB2234" i="8"/>
  <c r="AB2235" i="8"/>
  <c r="AB2236" i="8"/>
  <c r="AB2237" i="8"/>
  <c r="AB2238" i="8"/>
  <c r="AB2239" i="8"/>
  <c r="AB2240" i="8"/>
  <c r="AB2241" i="8"/>
  <c r="AB2242" i="8"/>
  <c r="AB2243" i="8"/>
  <c r="AB2244" i="8"/>
  <c r="AB2245" i="8"/>
  <c r="AB2246" i="8"/>
  <c r="AB2247" i="8"/>
  <c r="AB2248" i="8"/>
  <c r="AB2249" i="8"/>
  <c r="AB2250" i="8"/>
  <c r="AB2251" i="8"/>
  <c r="AB2252" i="8"/>
  <c r="AB2253" i="8"/>
  <c r="AB2254" i="8"/>
  <c r="AB2255" i="8"/>
  <c r="AB2256" i="8"/>
  <c r="AB2257" i="8"/>
  <c r="AB2258" i="8"/>
  <c r="AB2259" i="8"/>
  <c r="AB2260" i="8"/>
  <c r="AB2261" i="8"/>
  <c r="AB2262" i="8"/>
  <c r="AB2263" i="8"/>
  <c r="AB2264" i="8"/>
  <c r="AB2265" i="8"/>
  <c r="AB2266" i="8"/>
  <c r="AB2267" i="8"/>
  <c r="AB2268" i="8"/>
  <c r="AB2269" i="8"/>
  <c r="AB2270" i="8"/>
  <c r="AB2271" i="8"/>
  <c r="AB2272" i="8"/>
  <c r="AB2273" i="8"/>
  <c r="AB2274" i="8"/>
  <c r="AB2275" i="8"/>
  <c r="AB2276" i="8"/>
  <c r="AB2277" i="8"/>
  <c r="AB2278" i="8"/>
  <c r="AB2279" i="8"/>
  <c r="AB2280" i="8"/>
  <c r="AB2281" i="8"/>
  <c r="AB2282" i="8"/>
  <c r="AB2283" i="8"/>
  <c r="AB2284" i="8"/>
  <c r="AB2285" i="8"/>
  <c r="AB2286" i="8"/>
  <c r="AB2287" i="8"/>
  <c r="AB2288" i="8"/>
  <c r="AB2289" i="8"/>
  <c r="AB2290" i="8"/>
  <c r="AB2291" i="8"/>
  <c r="AB2292" i="8"/>
  <c r="AB2293" i="8"/>
  <c r="AB2294" i="8"/>
  <c r="AB2295" i="8"/>
  <c r="AB2296" i="8"/>
  <c r="AB2297" i="8"/>
  <c r="AB2298" i="8"/>
  <c r="AB2299" i="8"/>
  <c r="AB2300" i="8"/>
  <c r="AB2301" i="8"/>
  <c r="AB2302" i="8"/>
  <c r="AB2303" i="8"/>
  <c r="AB2304" i="8"/>
  <c r="AB2305" i="8"/>
  <c r="AB2306" i="8"/>
  <c r="AB2307" i="8"/>
  <c r="AB2308" i="8"/>
  <c r="AB2309" i="8"/>
  <c r="AB2310" i="8"/>
  <c r="AB2311" i="8"/>
  <c r="AB2312" i="8"/>
  <c r="AB2313" i="8"/>
  <c r="AB2314" i="8"/>
  <c r="AB2315" i="8"/>
  <c r="AB2316" i="8"/>
  <c r="AB2317" i="8"/>
  <c r="AB2318" i="8"/>
  <c r="AB2319" i="8"/>
  <c r="AB2320" i="8"/>
  <c r="AB2321" i="8"/>
  <c r="AB2322" i="8"/>
  <c r="AB2323" i="8"/>
  <c r="AB2324" i="8"/>
  <c r="AB2325" i="8"/>
  <c r="AB2326" i="8"/>
  <c r="AB2327" i="8"/>
  <c r="AB2328" i="8"/>
  <c r="AB2329" i="8"/>
  <c r="AB2330" i="8"/>
  <c r="AB2331" i="8"/>
  <c r="AB2332" i="8"/>
  <c r="AB2333" i="8"/>
  <c r="AB2334" i="8"/>
  <c r="AB2335" i="8"/>
  <c r="AB2336" i="8"/>
  <c r="AB2337" i="8"/>
  <c r="AB2338" i="8"/>
  <c r="AB2339" i="8"/>
  <c r="AB2340" i="8"/>
  <c r="AB2341" i="8"/>
  <c r="AB2342" i="8"/>
  <c r="AB2343" i="8"/>
  <c r="AB2344" i="8"/>
  <c r="AB2345" i="8"/>
  <c r="AB2346" i="8"/>
  <c r="AB2347" i="8"/>
  <c r="AB2348" i="8"/>
  <c r="AB2349" i="8"/>
  <c r="AB2350" i="8"/>
  <c r="AB2351" i="8"/>
  <c r="AB2352" i="8"/>
  <c r="AB2353" i="8"/>
  <c r="AB2354" i="8"/>
  <c r="AB2355" i="8"/>
  <c r="AB2356" i="8"/>
  <c r="AB2357" i="8"/>
  <c r="AB2358" i="8"/>
  <c r="AB2359" i="8"/>
  <c r="AB2360" i="8"/>
  <c r="AB2361" i="8"/>
  <c r="AB2362" i="8"/>
  <c r="AB2363" i="8"/>
  <c r="AB2364" i="8"/>
  <c r="AB2365" i="8"/>
  <c r="AB2366" i="8"/>
  <c r="AB2367" i="8"/>
  <c r="AB2368" i="8"/>
  <c r="AB2369" i="8"/>
  <c r="AB2370" i="8"/>
  <c r="AB2371" i="8"/>
  <c r="AB2372" i="8"/>
  <c r="AB2373" i="8"/>
  <c r="AB2374" i="8"/>
  <c r="AB2375" i="8"/>
  <c r="AB2376" i="8"/>
  <c r="AB2377" i="8"/>
  <c r="AB2378" i="8"/>
  <c r="AB2379" i="8"/>
  <c r="AB2380" i="8"/>
  <c r="AB2381" i="8"/>
  <c r="AB2382" i="8"/>
  <c r="AB2383" i="8"/>
  <c r="AB2384" i="8"/>
  <c r="AB2385" i="8"/>
  <c r="AB2386" i="8"/>
  <c r="AB2387" i="8"/>
  <c r="AB2388" i="8"/>
  <c r="AB2389" i="8"/>
  <c r="AB2390" i="8"/>
  <c r="AB2391" i="8"/>
  <c r="AB2392" i="8"/>
  <c r="AB2393" i="8"/>
  <c r="AB2394" i="8"/>
  <c r="AB2395" i="8"/>
  <c r="AB2396" i="8"/>
  <c r="AB2397" i="8"/>
  <c r="AB2398" i="8"/>
  <c r="AB2399" i="8"/>
  <c r="AB2400" i="8"/>
  <c r="AB2401" i="8"/>
  <c r="AB2402" i="8"/>
  <c r="AB2403" i="8"/>
  <c r="AB2404" i="8"/>
  <c r="AB2405" i="8"/>
  <c r="AB2406" i="8"/>
  <c r="AB2407" i="8"/>
  <c r="AB2408" i="8"/>
  <c r="AB2409" i="8"/>
  <c r="AB2410" i="8"/>
  <c r="AB2411" i="8"/>
  <c r="AB2412" i="8"/>
  <c r="AB2413" i="8"/>
  <c r="AB2414" i="8"/>
  <c r="AB2415" i="8"/>
  <c r="AB2416" i="8"/>
  <c r="AB2417" i="8"/>
  <c r="AB2418" i="8"/>
  <c r="AB2419" i="8"/>
  <c r="AB2420" i="8"/>
  <c r="AB2421" i="8"/>
  <c r="AB2422" i="8"/>
  <c r="AB2423" i="8"/>
  <c r="AB2424" i="8"/>
  <c r="AB2425" i="8"/>
  <c r="AB2426" i="8"/>
  <c r="AB2427" i="8"/>
  <c r="AB2428" i="8"/>
  <c r="AB2429" i="8"/>
  <c r="AB2430" i="8"/>
  <c r="AB2431" i="8"/>
  <c r="AB2432" i="8"/>
  <c r="AB2433" i="8"/>
  <c r="AB2434" i="8"/>
  <c r="AB2435" i="8"/>
  <c r="AB2436" i="8"/>
  <c r="AB2437" i="8"/>
  <c r="AB2438" i="8"/>
  <c r="AB2439" i="8"/>
  <c r="AB2440" i="8"/>
  <c r="AB2441" i="8"/>
  <c r="AB2442" i="8"/>
  <c r="AB2443" i="8"/>
  <c r="AB2444" i="8"/>
  <c r="AB2445" i="8"/>
  <c r="AB2446" i="8"/>
  <c r="AB2447" i="8"/>
  <c r="AB2448" i="8"/>
  <c r="AB2449" i="8"/>
  <c r="AB2450" i="8"/>
  <c r="AB2451" i="8"/>
  <c r="AB2452" i="8"/>
  <c r="AB2453" i="8"/>
  <c r="AB2454" i="8"/>
  <c r="AB2455" i="8"/>
  <c r="AB2456" i="8"/>
  <c r="AB2457" i="8"/>
  <c r="AB2458" i="8"/>
  <c r="AB2459" i="8"/>
  <c r="AB2460" i="8"/>
  <c r="AB2461" i="8"/>
  <c r="AB2462" i="8"/>
  <c r="AB2463" i="8"/>
  <c r="AB2464" i="8"/>
  <c r="AB2465" i="8"/>
  <c r="AB2466" i="8"/>
  <c r="AB2467" i="8"/>
  <c r="AB2468" i="8"/>
  <c r="AB2469" i="8"/>
  <c r="AB2470" i="8"/>
  <c r="AB2471" i="8"/>
  <c r="AB2472" i="8"/>
  <c r="AB2473" i="8"/>
  <c r="AB2474" i="8"/>
  <c r="AB2475" i="8"/>
  <c r="AB2476" i="8"/>
  <c r="AB2477" i="8"/>
  <c r="AB2478" i="8"/>
  <c r="AB2479" i="8"/>
  <c r="AB2480" i="8"/>
  <c r="AB2481" i="8"/>
  <c r="AB2482" i="8"/>
  <c r="AB2483" i="8"/>
  <c r="AB2484" i="8"/>
  <c r="AB2485" i="8"/>
  <c r="AB2486" i="8"/>
  <c r="AB2487" i="8"/>
  <c r="AB2488" i="8"/>
  <c r="AB2489" i="8"/>
  <c r="AB2490" i="8"/>
  <c r="AB2491" i="8"/>
  <c r="AB2492" i="8"/>
  <c r="AB2493" i="8"/>
  <c r="AB2494" i="8"/>
  <c r="AB2495" i="8"/>
  <c r="AB2496" i="8"/>
  <c r="AB2497" i="8"/>
  <c r="AB2498" i="8"/>
  <c r="AB2499" i="8"/>
  <c r="AB2500" i="8"/>
  <c r="AB2501" i="8"/>
  <c r="AB2502" i="8"/>
  <c r="AB2503" i="8"/>
  <c r="AB2504" i="8"/>
  <c r="AB2505" i="8"/>
  <c r="AB2506" i="8"/>
  <c r="AB2507" i="8"/>
  <c r="AB2508" i="8"/>
  <c r="AB2509" i="8"/>
  <c r="AB2510" i="8"/>
  <c r="AB2511" i="8"/>
  <c r="AB2512" i="8"/>
  <c r="AB2513" i="8"/>
  <c r="AB2514" i="8"/>
  <c r="AB2515" i="8"/>
  <c r="AB2516" i="8"/>
  <c r="AB2517" i="8"/>
  <c r="AB2518" i="8"/>
  <c r="AB2519" i="8"/>
  <c r="AB2520" i="8"/>
  <c r="AB2521" i="8"/>
  <c r="AB2522" i="8"/>
  <c r="AB2523" i="8"/>
  <c r="AB2524" i="8"/>
  <c r="AB2525" i="8"/>
  <c r="AB2526" i="8"/>
  <c r="AB2527" i="8"/>
  <c r="AB2528" i="8"/>
  <c r="AB2529" i="8"/>
  <c r="AB2530" i="8"/>
  <c r="AB2531" i="8"/>
  <c r="AB2532" i="8"/>
  <c r="AB2533" i="8"/>
  <c r="AB2534" i="8"/>
  <c r="AB2535" i="8"/>
  <c r="AB2536" i="8"/>
  <c r="AB2537" i="8"/>
  <c r="AB2538" i="8"/>
  <c r="AB2539" i="8"/>
  <c r="AB2540" i="8"/>
  <c r="AB2541" i="8"/>
  <c r="AB2542" i="8"/>
  <c r="AB2543" i="8"/>
  <c r="AB2544" i="8"/>
  <c r="AB2545" i="8"/>
  <c r="AB2546" i="8"/>
  <c r="AB2547" i="8"/>
  <c r="AB2548" i="8"/>
  <c r="AB2549" i="8"/>
  <c r="AB2550" i="8"/>
  <c r="AB2551" i="8"/>
  <c r="AB2552" i="8"/>
  <c r="AB2553" i="8"/>
  <c r="AB2554" i="8"/>
  <c r="AB2555" i="8"/>
  <c r="AB2556" i="8"/>
  <c r="AB2557" i="8"/>
  <c r="AB2558" i="8"/>
  <c r="AB2559" i="8"/>
  <c r="AB2560" i="8"/>
  <c r="AB2561" i="8"/>
  <c r="AB2562" i="8"/>
  <c r="AB2563" i="8"/>
  <c r="AB2564" i="8"/>
  <c r="AB2565" i="8"/>
  <c r="AB2566" i="8"/>
  <c r="AB2567" i="8"/>
  <c r="AB2568" i="8"/>
  <c r="AB2569" i="8"/>
  <c r="AB2570" i="8"/>
  <c r="AB2571" i="8"/>
  <c r="AB2572" i="8"/>
  <c r="AB2573" i="8"/>
  <c r="AB2574" i="8"/>
  <c r="AB2575" i="8"/>
  <c r="AB2576" i="8"/>
  <c r="AB2577" i="8"/>
  <c r="AB2578" i="8"/>
  <c r="AB2579" i="8"/>
  <c r="AB2580" i="8"/>
  <c r="AB2581" i="8"/>
  <c r="AB2582" i="8"/>
  <c r="AB2583" i="8"/>
  <c r="AB2584" i="8"/>
  <c r="AB2585" i="8"/>
  <c r="AB2586" i="8"/>
  <c r="AB2587" i="8"/>
  <c r="AB2588" i="8"/>
  <c r="AB2589" i="8"/>
  <c r="AB2590" i="8"/>
  <c r="AB2591" i="8"/>
  <c r="AB2592" i="8"/>
  <c r="AB2593" i="8"/>
  <c r="AB2594" i="8"/>
  <c r="AB2595" i="8"/>
  <c r="AB2596" i="8"/>
  <c r="AB2597" i="8"/>
  <c r="AB2598" i="8"/>
  <c r="AB2599" i="8"/>
  <c r="AB2600" i="8"/>
  <c r="AB2601" i="8"/>
  <c r="AB2602" i="8"/>
  <c r="AB2603" i="8"/>
  <c r="AB2604" i="8"/>
  <c r="AB2605" i="8"/>
  <c r="AB2606" i="8"/>
  <c r="AB2607" i="8"/>
  <c r="AB2608" i="8"/>
  <c r="AB2609" i="8"/>
  <c r="AB2610" i="8"/>
  <c r="AB2611" i="8"/>
  <c r="AB2612" i="8"/>
  <c r="AB2613" i="8"/>
  <c r="AB2614" i="8"/>
  <c r="AB2615" i="8"/>
  <c r="AB2616" i="8"/>
  <c r="AB2617" i="8"/>
  <c r="AB2618" i="8"/>
  <c r="AB2619" i="8"/>
  <c r="AB2620" i="8"/>
  <c r="AB2621" i="8"/>
  <c r="AB2622" i="8"/>
  <c r="AB2623" i="8"/>
  <c r="AB2624" i="8"/>
  <c r="AB2625" i="8"/>
  <c r="AB2626" i="8"/>
  <c r="AB2627" i="8"/>
  <c r="AB2628" i="8"/>
  <c r="AB2629" i="8"/>
  <c r="AB2630" i="8"/>
  <c r="AB2631" i="8"/>
  <c r="AB2632" i="8"/>
  <c r="AB2633" i="8"/>
  <c r="AB2634" i="8"/>
  <c r="AB2635" i="8"/>
  <c r="AB2636" i="8"/>
  <c r="AB2637" i="8"/>
  <c r="AB2638" i="8"/>
  <c r="AB2639" i="8"/>
  <c r="AB2640" i="8"/>
  <c r="AB2641" i="8"/>
  <c r="AB2642" i="8"/>
  <c r="AB2643" i="8"/>
  <c r="AB2644" i="8"/>
  <c r="AB2645" i="8"/>
  <c r="AB2646" i="8"/>
  <c r="AB2647" i="8"/>
  <c r="AB2648" i="8"/>
  <c r="AB2649" i="8"/>
  <c r="AB2650" i="8"/>
  <c r="AB2651" i="8"/>
  <c r="AB2652" i="8"/>
  <c r="AB2653" i="8"/>
  <c r="AB2654" i="8"/>
  <c r="AB2655" i="8"/>
  <c r="AB2656" i="8"/>
  <c r="AB2657" i="8"/>
  <c r="AB2658" i="8"/>
  <c r="AB2659" i="8"/>
  <c r="AB2660" i="8"/>
  <c r="AB2661" i="8"/>
  <c r="AB2662" i="8"/>
  <c r="AB2663" i="8"/>
  <c r="AB2664" i="8"/>
  <c r="AB2665" i="8"/>
  <c r="AB2666" i="8"/>
  <c r="AB2667" i="8"/>
  <c r="AB2668" i="8"/>
  <c r="AB2669" i="8"/>
  <c r="AB2670" i="8"/>
  <c r="AB2671" i="8"/>
  <c r="AB2672" i="8"/>
  <c r="AB2673" i="8"/>
  <c r="AB2674" i="8"/>
  <c r="AB2675" i="8"/>
  <c r="AB2676" i="8"/>
  <c r="AB2677" i="8"/>
  <c r="AB2678" i="8"/>
  <c r="AB2679" i="8"/>
  <c r="AB2680" i="8"/>
  <c r="AB2681" i="8"/>
  <c r="AB2682" i="8"/>
  <c r="AB2683" i="8"/>
  <c r="AB2684" i="8"/>
  <c r="AB2685" i="8"/>
  <c r="AB2686" i="8"/>
  <c r="AB2687" i="8"/>
  <c r="AB2688" i="8"/>
  <c r="AB2689" i="8"/>
  <c r="AB2690" i="8"/>
  <c r="AB2691" i="8"/>
  <c r="AB2692" i="8"/>
  <c r="AB2693" i="8"/>
  <c r="AB2694" i="8"/>
  <c r="AB2695" i="8"/>
  <c r="AB2696" i="8"/>
  <c r="AB2697" i="8"/>
  <c r="AB2698" i="8"/>
  <c r="AB2699" i="8"/>
  <c r="AB2700" i="8"/>
  <c r="AB2701" i="8"/>
  <c r="AB2702" i="8"/>
  <c r="AB2703" i="8"/>
  <c r="AB2704" i="8"/>
  <c r="AB2705" i="8"/>
  <c r="AB2706" i="8"/>
  <c r="AB2707" i="8"/>
  <c r="AB2708" i="8"/>
  <c r="AB2709" i="8"/>
  <c r="AB2710" i="8"/>
  <c r="AB2711" i="8"/>
  <c r="AB2712" i="8"/>
  <c r="AB2713" i="8"/>
  <c r="AB2714" i="8"/>
  <c r="AB2715" i="8"/>
  <c r="AB2716" i="8"/>
  <c r="AB2717" i="8"/>
  <c r="AB2718" i="8"/>
  <c r="AB2719" i="8"/>
  <c r="AB2720" i="8"/>
  <c r="AB2721" i="8"/>
  <c r="AB2722" i="8"/>
  <c r="AB2723" i="8"/>
  <c r="AB2724" i="8"/>
  <c r="AB2725" i="8"/>
  <c r="AB2726" i="8"/>
  <c r="AB2727" i="8"/>
  <c r="AB2728" i="8"/>
  <c r="AB2729" i="8"/>
  <c r="AB2730" i="8"/>
  <c r="AB2731" i="8"/>
  <c r="AB2732" i="8"/>
  <c r="AB2733" i="8"/>
  <c r="AB2734" i="8"/>
  <c r="AB2735" i="8"/>
  <c r="AB2736" i="8"/>
  <c r="AB2737" i="8"/>
  <c r="AB2738" i="8"/>
  <c r="AB2739" i="8"/>
  <c r="AB2740" i="8"/>
  <c r="AB2741" i="8"/>
  <c r="AB2742" i="8"/>
  <c r="AB2743" i="8"/>
  <c r="AB2744" i="8"/>
  <c r="AB2745" i="8"/>
  <c r="AB2746" i="8"/>
  <c r="AB2747" i="8"/>
  <c r="AB2748" i="8"/>
  <c r="AB2749" i="8"/>
  <c r="AB2750" i="8"/>
  <c r="AB2751" i="8"/>
  <c r="AB2752" i="8"/>
  <c r="AB2753" i="8"/>
  <c r="AB2754" i="8"/>
  <c r="AB2755" i="8"/>
  <c r="AB2756" i="8"/>
  <c r="AB2757" i="8"/>
  <c r="AB2758" i="8"/>
  <c r="AB2759" i="8"/>
  <c r="AB2760" i="8"/>
  <c r="AB2761" i="8"/>
  <c r="AB2762" i="8"/>
  <c r="AB2763" i="8"/>
  <c r="AB2764" i="8"/>
  <c r="AB2765" i="8"/>
  <c r="AB2766" i="8"/>
  <c r="AB2767" i="8"/>
  <c r="AB2768" i="8"/>
  <c r="AB2769" i="8"/>
  <c r="AB2770" i="8"/>
  <c r="AB2771" i="8"/>
  <c r="AB2772" i="8"/>
  <c r="AB2773" i="8"/>
  <c r="AB2774" i="8"/>
  <c r="AB2775" i="8"/>
  <c r="AB2776" i="8"/>
  <c r="AB2777" i="8"/>
  <c r="AB2778" i="8"/>
  <c r="AB2779" i="8"/>
  <c r="AB2780" i="8"/>
  <c r="AB2781" i="8"/>
  <c r="AB2782" i="8"/>
  <c r="AB2783" i="8"/>
  <c r="AB2784" i="8"/>
  <c r="AB2785" i="8"/>
  <c r="AB2786" i="8"/>
  <c r="AB2787" i="8"/>
  <c r="AB2788" i="8"/>
  <c r="AB2789" i="8"/>
  <c r="AB2790" i="8"/>
  <c r="AB2791" i="8"/>
  <c r="AB2792" i="8"/>
  <c r="AB2793" i="8"/>
  <c r="AB2794" i="8"/>
  <c r="AB2795" i="8"/>
  <c r="AB2796" i="8"/>
  <c r="AB2797" i="8"/>
  <c r="AB2798" i="8"/>
  <c r="AB2799" i="8"/>
  <c r="AB2800" i="8"/>
  <c r="AB2801" i="8"/>
  <c r="AB2802" i="8"/>
  <c r="AB2803" i="8"/>
  <c r="AB2804" i="8"/>
  <c r="AB2805" i="8"/>
  <c r="AB2806" i="8"/>
  <c r="AB2807" i="8"/>
  <c r="AB2808" i="8"/>
  <c r="AB2809" i="8"/>
  <c r="AB2810" i="8"/>
  <c r="AB2811" i="8"/>
  <c r="AB2812" i="8"/>
  <c r="AB2813" i="8"/>
  <c r="AB2814" i="8"/>
  <c r="AB2815" i="8"/>
  <c r="AB2816" i="8"/>
  <c r="AB2817" i="8"/>
  <c r="AB2818" i="8"/>
  <c r="AB2819" i="8"/>
  <c r="AB2820" i="8"/>
  <c r="AB2821" i="8"/>
  <c r="AB2822" i="8"/>
  <c r="AB2823" i="8"/>
  <c r="AB2824" i="8"/>
  <c r="AB2825" i="8"/>
  <c r="AB2826" i="8"/>
  <c r="AB2827" i="8"/>
  <c r="AB2828" i="8"/>
  <c r="AB2829" i="8"/>
  <c r="AB2830" i="8"/>
  <c r="AB2831" i="8"/>
  <c r="AB2832" i="8"/>
  <c r="AB2833" i="8"/>
  <c r="AB2834" i="8"/>
  <c r="AB2835" i="8"/>
  <c r="AB2836" i="8"/>
  <c r="AB2837" i="8"/>
  <c r="AB2838" i="8"/>
  <c r="AB2839" i="8"/>
  <c r="AB2840" i="8"/>
  <c r="AB2841" i="8"/>
  <c r="AB2842" i="8"/>
  <c r="AB2843" i="8"/>
  <c r="AB2844" i="8"/>
  <c r="AB2845" i="8"/>
  <c r="AB2846" i="8"/>
  <c r="AB2847" i="8"/>
  <c r="AB2848" i="8"/>
  <c r="AB2849" i="8"/>
  <c r="AB2850" i="8"/>
  <c r="AB2851" i="8"/>
  <c r="AB2852" i="8"/>
  <c r="AB2853" i="8"/>
  <c r="AB2854" i="8"/>
  <c r="AB2855" i="8"/>
  <c r="AB2856" i="8"/>
  <c r="AB2857" i="8"/>
  <c r="AB2858" i="8"/>
  <c r="AB2859" i="8"/>
  <c r="AB2860" i="8"/>
  <c r="AB2861" i="8"/>
  <c r="AB2862" i="8"/>
  <c r="AB2863" i="8"/>
  <c r="AB2864" i="8"/>
  <c r="AB2865" i="8"/>
  <c r="AB2866" i="8"/>
  <c r="AB2867" i="8"/>
  <c r="AB2868" i="8"/>
  <c r="AB2869" i="8"/>
  <c r="AB2870" i="8"/>
  <c r="AB2871" i="8"/>
  <c r="AB2872" i="8"/>
  <c r="AB2873" i="8"/>
  <c r="AB2874" i="8"/>
  <c r="AB2875" i="8"/>
  <c r="AB2876" i="8"/>
  <c r="AB2877" i="8"/>
  <c r="AB2878" i="8"/>
  <c r="AB2879" i="8"/>
  <c r="AB2880" i="8"/>
  <c r="AB2881" i="8"/>
  <c r="AB2882" i="8"/>
  <c r="AB2883" i="8"/>
  <c r="AB2884" i="8"/>
  <c r="AB2885" i="8"/>
  <c r="AB2886" i="8"/>
  <c r="AB2887" i="8"/>
  <c r="AB2888" i="8"/>
  <c r="AB2889" i="8"/>
  <c r="AB2890" i="8"/>
  <c r="AB2891" i="8"/>
  <c r="AB2892" i="8"/>
  <c r="AB2893" i="8"/>
  <c r="AB2894" i="8"/>
  <c r="AB2895" i="8"/>
  <c r="AB2896" i="8"/>
  <c r="AB2897" i="8"/>
  <c r="AB2898" i="8"/>
  <c r="AB2899" i="8"/>
  <c r="AB2900" i="8"/>
  <c r="AB2901" i="8"/>
  <c r="AB2902" i="8"/>
  <c r="AB2903" i="8"/>
  <c r="AB2904" i="8"/>
  <c r="AB2905" i="8"/>
  <c r="AB2906" i="8"/>
  <c r="AB2907" i="8"/>
  <c r="AB2908" i="8"/>
  <c r="AB2909" i="8"/>
  <c r="AB2910" i="8"/>
  <c r="AB2911" i="8"/>
  <c r="AB2912" i="8"/>
  <c r="AB2913" i="8"/>
  <c r="AB2914" i="8"/>
  <c r="AB2915" i="8"/>
  <c r="AB2916" i="8"/>
  <c r="AB2917" i="8"/>
  <c r="AB2918" i="8"/>
  <c r="AB2919" i="8"/>
  <c r="AB2920" i="8"/>
  <c r="AB2921" i="8"/>
  <c r="AB2922" i="8"/>
  <c r="AB2923" i="8"/>
  <c r="AB2924" i="8"/>
  <c r="AB2925" i="8"/>
  <c r="AB2926" i="8"/>
  <c r="AB2927" i="8"/>
  <c r="AB2928" i="8"/>
  <c r="AB2929" i="8"/>
  <c r="AB2930" i="8"/>
  <c r="AB2931" i="8"/>
  <c r="AB2932" i="8"/>
  <c r="AB2933" i="8"/>
  <c r="AB2934" i="8"/>
  <c r="AB2935" i="8"/>
  <c r="AB2936" i="8"/>
  <c r="AB2937" i="8"/>
  <c r="AB2938" i="8"/>
  <c r="AB2939" i="8"/>
  <c r="AB2940" i="8"/>
  <c r="AB2941" i="8"/>
  <c r="AB2942" i="8"/>
  <c r="AB2943" i="8"/>
  <c r="AB2944" i="8"/>
  <c r="AB2945" i="8"/>
  <c r="AB2946" i="8"/>
  <c r="AB2947" i="8"/>
  <c r="AB2948" i="8"/>
  <c r="AB2949" i="8"/>
  <c r="AB2950" i="8"/>
  <c r="AB2951" i="8"/>
  <c r="AB2952" i="8"/>
  <c r="AB2953" i="8"/>
  <c r="AB2954" i="8"/>
  <c r="AB2955" i="8"/>
  <c r="AB2956" i="8"/>
  <c r="AB2957" i="8"/>
  <c r="AB2958" i="8"/>
  <c r="AB2959" i="8"/>
  <c r="AB2960" i="8"/>
  <c r="AB2961" i="8"/>
  <c r="AB2962" i="8"/>
  <c r="AB2963" i="8"/>
  <c r="AB2964" i="8"/>
  <c r="AB2965" i="8"/>
  <c r="AB2966" i="8"/>
  <c r="AB2967" i="8"/>
  <c r="AB2968" i="8"/>
  <c r="AB2969" i="8"/>
  <c r="AB2970" i="8"/>
  <c r="AB2971" i="8"/>
  <c r="AB2972" i="8"/>
  <c r="AB2973" i="8"/>
  <c r="AB2974" i="8"/>
  <c r="AB2975" i="8"/>
  <c r="AB2976" i="8"/>
  <c r="AB2977" i="8"/>
  <c r="AB2978" i="8"/>
  <c r="AB2979" i="8"/>
  <c r="AB2980" i="8"/>
  <c r="AB2981" i="8"/>
  <c r="AB2982" i="8"/>
  <c r="AB2983" i="8"/>
  <c r="AB2984" i="8"/>
  <c r="AB2985" i="8"/>
  <c r="AB2986" i="8"/>
  <c r="AB2987" i="8"/>
  <c r="AB2988" i="8"/>
  <c r="AB2989" i="8"/>
  <c r="AB2990" i="8"/>
  <c r="AB2991" i="8"/>
  <c r="AB2992" i="8"/>
  <c r="AB2993" i="8"/>
  <c r="AB2994" i="8"/>
  <c r="AB2995" i="8"/>
  <c r="AB2996" i="8"/>
  <c r="AB2997" i="8"/>
  <c r="AB2998" i="8"/>
  <c r="AB2999" i="8"/>
  <c r="AB3000" i="8"/>
  <c r="AB3001" i="8"/>
  <c r="AB3002" i="8"/>
  <c r="AB3003" i="8"/>
  <c r="AB3004" i="8"/>
  <c r="AB3005" i="8"/>
  <c r="AB3006" i="8"/>
  <c r="AB3007" i="8"/>
  <c r="AB3008" i="8"/>
  <c r="AB3009" i="8"/>
  <c r="AB3010" i="8"/>
  <c r="AB3011" i="8"/>
  <c r="AB3012" i="8"/>
  <c r="AB3013" i="8"/>
  <c r="AB3014" i="8"/>
  <c r="AB3015" i="8"/>
  <c r="AB3016" i="8"/>
  <c r="AB3017" i="8"/>
  <c r="AB3018" i="8"/>
  <c r="AB3019" i="8"/>
  <c r="AB3020" i="8"/>
  <c r="AB3021" i="8"/>
  <c r="AB3022" i="8"/>
  <c r="AB3023" i="8"/>
  <c r="AB3024" i="8"/>
  <c r="AB3025" i="8"/>
  <c r="AB3026" i="8"/>
  <c r="AB3027" i="8"/>
  <c r="AB3028" i="8"/>
  <c r="AB3029" i="8"/>
  <c r="AB3030" i="8"/>
  <c r="AB3031" i="8"/>
  <c r="AB3032" i="8"/>
  <c r="AB3033" i="8"/>
  <c r="AB3034" i="8"/>
  <c r="AB3035" i="8"/>
  <c r="AB3036" i="8"/>
  <c r="AB3037" i="8"/>
  <c r="AB3038" i="8"/>
  <c r="AB3039" i="8"/>
  <c r="AB3040" i="8"/>
  <c r="AB3041" i="8"/>
  <c r="AB3042" i="8"/>
  <c r="AB3043" i="8"/>
  <c r="AB3044" i="8"/>
  <c r="AB3045" i="8"/>
  <c r="AB3046" i="8"/>
  <c r="AB3047" i="8"/>
  <c r="AB3048" i="8"/>
  <c r="AB3049" i="8"/>
  <c r="AB3050" i="8"/>
  <c r="AB3051" i="8"/>
  <c r="AB3052" i="8"/>
  <c r="AB3053" i="8"/>
  <c r="AB3054" i="8"/>
  <c r="AB3055" i="8"/>
  <c r="AB3056" i="8"/>
  <c r="AB3057" i="8"/>
  <c r="AB3058" i="8"/>
  <c r="AB3059" i="8"/>
  <c r="AB3060" i="8"/>
  <c r="AB3061" i="8"/>
  <c r="AB3062" i="8"/>
  <c r="AB3063" i="8"/>
  <c r="AB3064" i="8"/>
  <c r="AB3065" i="8"/>
  <c r="AB3066" i="8"/>
  <c r="AB3067" i="8"/>
  <c r="AB3068" i="8"/>
  <c r="AB3069" i="8"/>
  <c r="AB3070" i="8"/>
  <c r="AB3071" i="8"/>
  <c r="AB3072" i="8"/>
  <c r="AB3073" i="8"/>
  <c r="AB3074" i="8"/>
  <c r="AB3075" i="8"/>
  <c r="AB3076" i="8"/>
  <c r="AB3077" i="8"/>
  <c r="AB3078" i="8"/>
  <c r="AB3079" i="8"/>
  <c r="AB3080" i="8"/>
  <c r="AB3081" i="8"/>
  <c r="AB3082" i="8"/>
  <c r="AB3083" i="8"/>
  <c r="AB3084" i="8"/>
  <c r="AB3085" i="8"/>
  <c r="AB3086" i="8"/>
  <c r="AB3087" i="8"/>
  <c r="AB3088" i="8"/>
  <c r="AB3089" i="8"/>
  <c r="AB3090" i="8"/>
  <c r="AB3091" i="8"/>
  <c r="AB3092" i="8"/>
  <c r="AB3093" i="8"/>
  <c r="AB3094" i="8"/>
  <c r="AB3095" i="8"/>
  <c r="AB3096" i="8"/>
  <c r="AB3097" i="8"/>
  <c r="AB3098" i="8"/>
  <c r="AB3099" i="8"/>
  <c r="AB3100" i="8"/>
  <c r="AB3101" i="8"/>
  <c r="AB3102" i="8"/>
  <c r="AB3103" i="8"/>
  <c r="AB3104" i="8"/>
  <c r="AB3105" i="8"/>
  <c r="AB3106" i="8"/>
  <c r="AB3107" i="8"/>
  <c r="AB3108" i="8"/>
  <c r="AB3109" i="8"/>
  <c r="AB3110" i="8"/>
  <c r="AB3111" i="8"/>
  <c r="AB3112" i="8"/>
  <c r="AB3113" i="8"/>
  <c r="AB3114" i="8"/>
  <c r="AB3115" i="8"/>
  <c r="AB3116" i="8"/>
  <c r="AB3117" i="8"/>
  <c r="AB3118" i="8"/>
  <c r="AB3119" i="8"/>
  <c r="AB3120" i="8"/>
  <c r="AB3121" i="8"/>
  <c r="AB3122" i="8"/>
  <c r="AB3123" i="8"/>
  <c r="AB3124" i="8"/>
  <c r="AB3125" i="8"/>
  <c r="AB3126" i="8"/>
  <c r="AB3127" i="8"/>
  <c r="AB3128" i="8"/>
  <c r="AB3129" i="8"/>
  <c r="AB3130" i="8"/>
  <c r="AB3131" i="8"/>
  <c r="AB3132" i="8"/>
  <c r="AB3133" i="8"/>
  <c r="AB3134" i="8"/>
  <c r="AB3135" i="8"/>
  <c r="AB3136" i="8"/>
  <c r="AB3137" i="8"/>
  <c r="AB3138" i="8"/>
  <c r="AB3139" i="8"/>
  <c r="AB3140" i="8"/>
  <c r="AB3141" i="8"/>
  <c r="AB3142" i="8"/>
  <c r="AB3143" i="8"/>
  <c r="AB3144" i="8"/>
  <c r="AB3145" i="8"/>
  <c r="AB3146" i="8"/>
  <c r="AB3147" i="8"/>
  <c r="AB3148" i="8"/>
  <c r="AB3149" i="8"/>
  <c r="AB3150" i="8"/>
  <c r="AB3151" i="8"/>
  <c r="AB3152" i="8"/>
  <c r="AB3153" i="8"/>
  <c r="AB3154" i="8"/>
  <c r="AB3155" i="8"/>
  <c r="AB3156" i="8"/>
  <c r="AB3157" i="8"/>
  <c r="AB3158" i="8"/>
  <c r="AB3159" i="8"/>
  <c r="AB3160" i="8"/>
  <c r="AB3161" i="8"/>
  <c r="AB3162" i="8"/>
  <c r="AB3163" i="8"/>
  <c r="AB3164" i="8"/>
  <c r="AB3165" i="8"/>
  <c r="AB3166" i="8"/>
  <c r="AB3167" i="8"/>
  <c r="AB3168" i="8"/>
  <c r="AB3169" i="8"/>
  <c r="AB3170" i="8"/>
  <c r="AB3171" i="8"/>
  <c r="AB3172" i="8"/>
  <c r="AB3173" i="8"/>
  <c r="AB3174" i="8"/>
  <c r="AB3175" i="8"/>
  <c r="AB3176" i="8"/>
  <c r="AB3177" i="8"/>
  <c r="AB3178" i="8"/>
  <c r="AB3179" i="8"/>
  <c r="AB3180" i="8"/>
  <c r="AB3181" i="8"/>
  <c r="AB3182" i="8"/>
  <c r="AB3183" i="8"/>
  <c r="AB3184" i="8"/>
  <c r="AB3185" i="8"/>
  <c r="AB3186" i="8"/>
  <c r="AB3187" i="8"/>
  <c r="AB3188" i="8"/>
  <c r="AB3189" i="8"/>
  <c r="AB3190" i="8"/>
  <c r="AB3191" i="8"/>
  <c r="AB3192" i="8"/>
  <c r="AB3193" i="8"/>
  <c r="AB3194" i="8"/>
  <c r="AB3195" i="8"/>
  <c r="AB3196" i="8"/>
  <c r="AB3197" i="8"/>
  <c r="AB3198" i="8"/>
  <c r="AB3199" i="8"/>
  <c r="AB3200" i="8"/>
  <c r="AB3201" i="8"/>
  <c r="AB3202" i="8"/>
  <c r="AB3203" i="8"/>
  <c r="AB3204" i="8"/>
  <c r="AB3205" i="8"/>
  <c r="AB3206" i="8"/>
  <c r="AB3207" i="8"/>
  <c r="AB3208" i="8"/>
  <c r="AB3209" i="8"/>
  <c r="AB3210" i="8"/>
  <c r="AB3211" i="8"/>
  <c r="AB3212" i="8"/>
  <c r="AB3213" i="8"/>
  <c r="AB3214" i="8"/>
  <c r="AB3215" i="8"/>
  <c r="AB3216" i="8"/>
  <c r="AB3217" i="8"/>
  <c r="AB3218" i="8"/>
  <c r="AB3219" i="8"/>
  <c r="AB3220" i="8"/>
  <c r="AB3221" i="8"/>
  <c r="AB3222" i="8"/>
  <c r="AB3223" i="8"/>
  <c r="AB3224" i="8"/>
  <c r="AB3225" i="8"/>
  <c r="AB3226" i="8"/>
  <c r="AB3227" i="8"/>
  <c r="AB3228" i="8"/>
  <c r="AB3229" i="8"/>
  <c r="AB3230" i="8"/>
  <c r="AB3231" i="8"/>
  <c r="AB3232" i="8"/>
  <c r="AB3233" i="8"/>
  <c r="AB3234" i="8"/>
  <c r="AB3235" i="8"/>
  <c r="AB3236" i="8"/>
  <c r="AB3237" i="8"/>
  <c r="AB3238" i="8"/>
  <c r="AB3239" i="8"/>
  <c r="AB3240" i="8"/>
  <c r="AB3241" i="8"/>
  <c r="AB3242" i="8"/>
  <c r="AB3243" i="8"/>
  <c r="AB3244" i="8"/>
  <c r="AB3245" i="8"/>
  <c r="AB3246" i="8"/>
  <c r="AB3247" i="8"/>
  <c r="AB3248" i="8"/>
  <c r="AB3249" i="8"/>
  <c r="AB3250" i="8"/>
  <c r="AB3251" i="8"/>
  <c r="AB3252" i="8"/>
  <c r="AB3253" i="8"/>
  <c r="AB3254" i="8"/>
  <c r="AB3255" i="8"/>
  <c r="AB3256" i="8"/>
  <c r="AB3257" i="8"/>
  <c r="AB3258" i="8"/>
  <c r="AB3259" i="8"/>
  <c r="AB3260" i="8"/>
  <c r="AB3261" i="8"/>
  <c r="AB3262" i="8"/>
  <c r="AB3263" i="8"/>
  <c r="AB3264" i="8"/>
  <c r="AB3265" i="8"/>
  <c r="AB3266" i="8"/>
  <c r="AB3267" i="8"/>
  <c r="AB3268" i="8"/>
  <c r="AB3269" i="8"/>
  <c r="AB3270" i="8"/>
  <c r="AB3271" i="8"/>
  <c r="AB3272" i="8"/>
  <c r="AB3273" i="8"/>
  <c r="AB3274" i="8"/>
  <c r="AB3275" i="8"/>
  <c r="AB3276" i="8"/>
  <c r="AB3277" i="8"/>
  <c r="AB3278" i="8"/>
  <c r="AB3279" i="8"/>
  <c r="AB3280" i="8"/>
  <c r="AB3281" i="8"/>
  <c r="AB3282" i="8"/>
  <c r="AB3283" i="8"/>
  <c r="AB3284" i="8"/>
  <c r="AB3285" i="8"/>
  <c r="AB3286" i="8"/>
  <c r="AB3287" i="8"/>
  <c r="AB3288" i="8"/>
  <c r="AB3289" i="8"/>
  <c r="AB3290" i="8"/>
  <c r="AB3291" i="8"/>
  <c r="AB3292" i="8"/>
  <c r="AB3293" i="8"/>
  <c r="AB3294" i="8"/>
  <c r="AB3295" i="8"/>
  <c r="AB3296" i="8"/>
  <c r="AB3297" i="8"/>
  <c r="AB3298" i="8"/>
  <c r="AB3299" i="8"/>
  <c r="AB3300" i="8"/>
  <c r="AB3301" i="8"/>
  <c r="AB3302" i="8"/>
  <c r="AB3303" i="8"/>
  <c r="AB3304" i="8"/>
  <c r="AB3305" i="8"/>
  <c r="AB3306" i="8"/>
  <c r="AB3307" i="8"/>
  <c r="AB3308" i="8"/>
  <c r="AB3309" i="8"/>
  <c r="AB3310" i="8"/>
  <c r="AB3311" i="8"/>
  <c r="AB3312" i="8"/>
  <c r="AB3313" i="8"/>
  <c r="AB3314" i="8"/>
  <c r="AB3315" i="8"/>
  <c r="AB3316" i="8"/>
  <c r="AB3317" i="8"/>
  <c r="AB3318" i="8"/>
  <c r="AB3319" i="8"/>
  <c r="AB3320" i="8"/>
  <c r="AB3321" i="8"/>
  <c r="AB3322" i="8"/>
  <c r="AB3323" i="8"/>
  <c r="AB3324" i="8"/>
  <c r="AB3325" i="8"/>
  <c r="AB3326" i="8"/>
  <c r="AB3327" i="8"/>
  <c r="AB3328" i="8"/>
  <c r="AB3329" i="8"/>
  <c r="AB3330" i="8"/>
  <c r="AB3331" i="8"/>
  <c r="AB3332" i="8"/>
  <c r="AB3333" i="8"/>
  <c r="AB3334" i="8"/>
  <c r="AB3335" i="8"/>
  <c r="AB3336" i="8"/>
  <c r="AB3337" i="8"/>
  <c r="AB3338" i="8"/>
  <c r="AB3339" i="8"/>
  <c r="AB3340" i="8"/>
  <c r="AB3341" i="8"/>
  <c r="AB3342" i="8"/>
  <c r="AB3343" i="8"/>
  <c r="AB3344" i="8"/>
  <c r="AB3345" i="8"/>
  <c r="AB3346" i="8"/>
  <c r="AB3347" i="8"/>
  <c r="AB3348" i="8"/>
  <c r="AB3349" i="8"/>
  <c r="AB3350" i="8"/>
  <c r="AB3351" i="8"/>
  <c r="AB3352" i="8"/>
  <c r="AB3353" i="8"/>
  <c r="AB3354" i="8"/>
  <c r="AB3355" i="8"/>
  <c r="AB3356" i="8"/>
  <c r="AB3357" i="8"/>
  <c r="AB3358" i="8"/>
  <c r="AB3359" i="8"/>
  <c r="AB3360" i="8"/>
  <c r="AB3361" i="8"/>
  <c r="AB3362" i="8"/>
  <c r="AB3363" i="8"/>
  <c r="AB3364" i="8"/>
  <c r="AB3365" i="8"/>
  <c r="AB3366" i="8"/>
  <c r="AB3367" i="8"/>
  <c r="AB3368" i="8"/>
  <c r="AB3369" i="8"/>
  <c r="AB3370" i="8"/>
  <c r="AB3371" i="8"/>
  <c r="AB3372" i="8"/>
  <c r="AB3373" i="8"/>
  <c r="AB3374" i="8"/>
  <c r="AB3375" i="8"/>
  <c r="AB3376" i="8"/>
  <c r="AB3377" i="8"/>
  <c r="AB3378" i="8"/>
  <c r="AB3379" i="8"/>
  <c r="AB3380" i="8"/>
  <c r="AB3381" i="8"/>
  <c r="AB3382" i="8"/>
  <c r="AB3383" i="8"/>
  <c r="AB3384" i="8"/>
  <c r="AB3385" i="8"/>
  <c r="AB3386" i="8"/>
  <c r="AB3387" i="8"/>
  <c r="AB3388" i="8"/>
  <c r="AB3389" i="8"/>
  <c r="AB3390" i="8"/>
  <c r="AB3391" i="8"/>
  <c r="AB3392" i="8"/>
  <c r="AB3393" i="8"/>
  <c r="AB3394" i="8"/>
  <c r="AB3395" i="8"/>
  <c r="AB3396" i="8"/>
  <c r="AB3397" i="8"/>
  <c r="AB3398" i="8"/>
  <c r="AB3399" i="8"/>
  <c r="AB3400" i="8"/>
  <c r="AB3401" i="8"/>
  <c r="AB3402" i="8"/>
  <c r="AB3403" i="8"/>
  <c r="AB3404" i="8"/>
  <c r="AB3405" i="8"/>
  <c r="AB3406" i="8"/>
  <c r="AB3407" i="8"/>
  <c r="AB3408" i="8"/>
  <c r="AB3409" i="8"/>
  <c r="AB3410" i="8"/>
  <c r="AB3411" i="8"/>
  <c r="AB3412" i="8"/>
  <c r="AB3413" i="8"/>
  <c r="AB3414" i="8"/>
  <c r="AB3415" i="8"/>
  <c r="AB3416" i="8"/>
  <c r="AB3417" i="8"/>
  <c r="AB3418" i="8"/>
  <c r="AB3419" i="8"/>
  <c r="AB3420" i="8"/>
  <c r="AB3421" i="8"/>
  <c r="AB3422" i="8"/>
  <c r="AB3423" i="8"/>
  <c r="AB3424" i="8"/>
  <c r="AB3425" i="8"/>
  <c r="AB3426" i="8"/>
  <c r="AB3427" i="8"/>
  <c r="AB3428" i="8"/>
  <c r="AB3429" i="8"/>
  <c r="AB3430" i="8"/>
  <c r="AB3431" i="8"/>
  <c r="AB3432" i="8"/>
  <c r="AB3433" i="8"/>
  <c r="AB3434" i="8"/>
  <c r="AB3435" i="8"/>
  <c r="AB3436" i="8"/>
  <c r="AB3437" i="8"/>
  <c r="AB3438" i="8"/>
  <c r="AB3439" i="8"/>
  <c r="AB3440" i="8"/>
  <c r="AB3441" i="8"/>
  <c r="AB3442" i="8"/>
  <c r="AB3443" i="8"/>
  <c r="AB3444" i="8"/>
  <c r="AB3445" i="8"/>
  <c r="AB3446" i="8"/>
  <c r="AB3447" i="8"/>
  <c r="AB3448" i="8"/>
  <c r="AB3449" i="8"/>
  <c r="AB3450" i="8"/>
  <c r="AB3451" i="8"/>
  <c r="AB3452" i="8"/>
  <c r="AB3453" i="8"/>
  <c r="AB3454" i="8"/>
  <c r="AB3455" i="8"/>
  <c r="AB3456" i="8"/>
  <c r="AB3457" i="8"/>
  <c r="AB3458" i="8"/>
  <c r="AB3459" i="8"/>
  <c r="AB3460" i="8"/>
  <c r="AB3461" i="8"/>
  <c r="AB3462" i="8"/>
  <c r="AB3463" i="8"/>
  <c r="AB3464" i="8"/>
  <c r="AB3465" i="8"/>
  <c r="AB3466" i="8"/>
  <c r="AB3467" i="8"/>
  <c r="AB3468" i="8"/>
  <c r="AB3469" i="8"/>
  <c r="AB3470" i="8"/>
  <c r="AB3471" i="8"/>
  <c r="AB3472" i="8"/>
  <c r="AB3473" i="8"/>
  <c r="AB3474" i="8"/>
  <c r="AB3475" i="8"/>
  <c r="AB3476" i="8"/>
  <c r="AB3477" i="8"/>
  <c r="AB3478" i="8"/>
  <c r="AB3479" i="8"/>
  <c r="AB3480" i="8"/>
  <c r="AB3481" i="8"/>
  <c r="AB3482" i="8"/>
  <c r="AB3483" i="8"/>
  <c r="AB3484" i="8"/>
  <c r="AB3485" i="8"/>
  <c r="AB3486" i="8"/>
  <c r="AB3487" i="8"/>
  <c r="AB3488" i="8"/>
  <c r="AB3489" i="8"/>
  <c r="AB3490" i="8"/>
  <c r="AB3491" i="8"/>
  <c r="AB3492" i="8"/>
  <c r="AB3493" i="8"/>
  <c r="AB3494" i="8"/>
  <c r="AB3495" i="8"/>
  <c r="AB3496" i="8"/>
  <c r="AB3497" i="8"/>
  <c r="AB3498" i="8"/>
  <c r="AB3499" i="8"/>
  <c r="AB3500" i="8"/>
  <c r="AB3501" i="8"/>
  <c r="AB3502" i="8"/>
  <c r="AB3503" i="8"/>
  <c r="AB3504" i="8"/>
  <c r="AB3505" i="8"/>
  <c r="AB3506" i="8"/>
  <c r="AB3507" i="8"/>
  <c r="AB3508" i="8"/>
  <c r="AB3509" i="8"/>
  <c r="AB3510" i="8"/>
  <c r="AB3511" i="8"/>
  <c r="AB3512" i="8"/>
  <c r="AB3513" i="8"/>
  <c r="AB3514" i="8"/>
  <c r="AB3515" i="8"/>
  <c r="AB3516" i="8"/>
  <c r="AB3517" i="8"/>
  <c r="AB3518" i="8"/>
  <c r="AB3519" i="8"/>
  <c r="AB3520" i="8"/>
  <c r="AB3521" i="8"/>
  <c r="AB3522" i="8"/>
  <c r="AB3523" i="8"/>
  <c r="AB3524" i="8"/>
  <c r="AB3525" i="8"/>
  <c r="AB3526" i="8"/>
  <c r="AB3527" i="8"/>
  <c r="AB3528" i="8"/>
  <c r="AB3529" i="8"/>
  <c r="AB3530" i="8"/>
  <c r="AB3531" i="8"/>
  <c r="AB3532" i="8"/>
  <c r="AB3533" i="8"/>
  <c r="AB3534" i="8"/>
  <c r="AB3535" i="8"/>
  <c r="AB3536" i="8"/>
  <c r="AB3537" i="8"/>
  <c r="AB3538" i="8"/>
  <c r="AB3539" i="8"/>
  <c r="AB3540" i="8"/>
  <c r="AB3541" i="8"/>
  <c r="AB3542" i="8"/>
  <c r="AB3543" i="8"/>
  <c r="AB3544" i="8"/>
  <c r="AB3545" i="8"/>
  <c r="AB3546" i="8"/>
  <c r="AB3547" i="8"/>
  <c r="AB3548" i="8"/>
  <c r="AB3549" i="8"/>
  <c r="AB3550" i="8"/>
  <c r="AB3551" i="8"/>
  <c r="AB3552" i="8"/>
  <c r="AB3553" i="8"/>
  <c r="AB3554" i="8"/>
  <c r="AB3555" i="8"/>
  <c r="AB3556" i="8"/>
  <c r="AB3557" i="8"/>
  <c r="AB3558" i="8"/>
  <c r="AB3559" i="8"/>
  <c r="AB3560" i="8"/>
  <c r="AB3561" i="8"/>
  <c r="AB3562" i="8"/>
  <c r="AB3563" i="8"/>
  <c r="AB3564" i="8"/>
  <c r="AB3565" i="8"/>
  <c r="AB3566" i="8"/>
  <c r="AB3567" i="8"/>
  <c r="AB3568" i="8"/>
  <c r="AB3569" i="8"/>
  <c r="AB3570" i="8"/>
  <c r="AB3571" i="8"/>
  <c r="AB3572" i="8"/>
  <c r="AB3573" i="8"/>
  <c r="AB3574" i="8"/>
  <c r="AB3575" i="8"/>
  <c r="AB3576" i="8"/>
  <c r="AB3577" i="8"/>
  <c r="AB3578" i="8"/>
  <c r="AB3579" i="8"/>
  <c r="AB3580" i="8"/>
  <c r="AB3581" i="8"/>
  <c r="AB3582" i="8"/>
  <c r="AB3583" i="8"/>
  <c r="AB3584" i="8"/>
  <c r="AB3585" i="8"/>
  <c r="AB3586" i="8"/>
  <c r="AB3587" i="8"/>
  <c r="AB3588" i="8"/>
  <c r="AB3589" i="8"/>
  <c r="AB3590" i="8"/>
  <c r="AB3591" i="8"/>
  <c r="AB3592" i="8"/>
  <c r="AB3593" i="8"/>
  <c r="AB3594" i="8"/>
  <c r="AB3595" i="8"/>
  <c r="AB3596" i="8"/>
  <c r="AB3597" i="8"/>
  <c r="AB3598" i="8"/>
  <c r="AB3599" i="8"/>
  <c r="AB3600" i="8"/>
  <c r="AB3601" i="8"/>
  <c r="AB3602" i="8"/>
  <c r="AB3603" i="8"/>
  <c r="AB3604" i="8"/>
  <c r="AB3605" i="8"/>
  <c r="AB3606" i="8"/>
  <c r="AB3607" i="8"/>
  <c r="AB3608" i="8"/>
  <c r="AB3609" i="8"/>
  <c r="AB3610" i="8"/>
  <c r="AB3611" i="8"/>
  <c r="AB3612" i="8"/>
  <c r="AB3613" i="8"/>
  <c r="AB3614" i="8"/>
  <c r="AB3615" i="8"/>
  <c r="AB3616" i="8"/>
  <c r="AB3617" i="8"/>
  <c r="AB3618" i="8"/>
  <c r="AB3619" i="8"/>
  <c r="AB3620" i="8"/>
  <c r="AB3621" i="8"/>
  <c r="AB3622" i="8"/>
  <c r="AB3623" i="8"/>
  <c r="AB3624" i="8"/>
  <c r="AB3625" i="8"/>
  <c r="AB3626" i="8"/>
  <c r="AB3627" i="8"/>
  <c r="AB3628" i="8"/>
  <c r="AB3629" i="8"/>
  <c r="AB3630" i="8"/>
  <c r="AB3631" i="8"/>
  <c r="AB3632" i="8"/>
  <c r="AB3633" i="8"/>
  <c r="AB3634" i="8"/>
  <c r="AB3635" i="8"/>
  <c r="AB3636" i="8"/>
  <c r="AB3637" i="8"/>
  <c r="AB3638" i="8"/>
  <c r="AB3639" i="8"/>
  <c r="AB3640" i="8"/>
  <c r="AB3641" i="8"/>
  <c r="AB3642" i="8"/>
  <c r="AB3643" i="8"/>
  <c r="AB3644" i="8"/>
  <c r="AB3645" i="8"/>
  <c r="AB3646" i="8"/>
  <c r="AB3647" i="8"/>
  <c r="AB3648" i="8"/>
  <c r="AB3649" i="8"/>
  <c r="AB3650" i="8"/>
  <c r="AB3651" i="8"/>
  <c r="AB3652" i="8"/>
  <c r="AB3653" i="8"/>
  <c r="AB3654" i="8"/>
  <c r="AB3655" i="8"/>
  <c r="AB3656" i="8"/>
  <c r="AB3657" i="8"/>
  <c r="AB3658" i="8"/>
  <c r="AB3659" i="8"/>
  <c r="AB3660" i="8"/>
  <c r="AB3661" i="8"/>
  <c r="AB3662" i="8"/>
  <c r="AB3663" i="8"/>
  <c r="AB3664" i="8"/>
  <c r="AB3665" i="8"/>
  <c r="AB3666" i="8"/>
  <c r="AB3667" i="8"/>
  <c r="AB3668" i="8"/>
  <c r="AB3669" i="8"/>
  <c r="AB3670" i="8"/>
  <c r="AB3671" i="8"/>
  <c r="AB3672" i="8"/>
  <c r="AB3673" i="8"/>
  <c r="AB3674" i="8"/>
  <c r="AB3675" i="8"/>
  <c r="AB3676" i="8"/>
  <c r="AB3677" i="8"/>
  <c r="AB3678" i="8"/>
  <c r="AB3679" i="8"/>
  <c r="AB3680" i="8"/>
  <c r="AB3681" i="8"/>
  <c r="AB3682" i="8"/>
  <c r="AB3683" i="8"/>
  <c r="AB3684" i="8"/>
  <c r="AB3685" i="8"/>
  <c r="AB3686" i="8"/>
  <c r="AB3687" i="8"/>
  <c r="AB3688" i="8"/>
  <c r="AB3689" i="8"/>
  <c r="AB3690" i="8"/>
  <c r="AB3691" i="8"/>
  <c r="AB3692" i="8"/>
  <c r="AB3693" i="8"/>
  <c r="AB3694" i="8"/>
  <c r="AB3695" i="8"/>
  <c r="AB3696" i="8"/>
  <c r="AB3697" i="8"/>
  <c r="AB3698" i="8"/>
  <c r="AB3699" i="8"/>
  <c r="AB3700" i="8"/>
  <c r="AB3701" i="8"/>
  <c r="AB3702" i="8"/>
  <c r="AB3703" i="8"/>
  <c r="AB3704" i="8"/>
  <c r="AB3705" i="8"/>
  <c r="AB3706" i="8"/>
  <c r="AB3707" i="8"/>
  <c r="AB3708" i="8"/>
  <c r="AB3709" i="8"/>
  <c r="AB3710" i="8"/>
  <c r="AB3711" i="8"/>
  <c r="AB3712" i="8"/>
  <c r="AB3713" i="8"/>
  <c r="AB3714" i="8"/>
  <c r="AB3715" i="8"/>
  <c r="AB3716" i="8"/>
  <c r="AB3717" i="8"/>
  <c r="AB3718" i="8"/>
  <c r="AB3719" i="8"/>
  <c r="AB3720" i="8"/>
  <c r="AB3721" i="8"/>
  <c r="AB3722" i="8"/>
  <c r="AB3723" i="8"/>
  <c r="AB3724" i="8"/>
  <c r="AB3725" i="8"/>
  <c r="AB3726" i="8"/>
  <c r="AB3727" i="8"/>
  <c r="AB3728" i="8"/>
  <c r="AB3729" i="8"/>
  <c r="AB3730" i="8"/>
  <c r="AB3731" i="8"/>
  <c r="AB3732" i="8"/>
  <c r="AB3733" i="8"/>
  <c r="AB3734" i="8"/>
  <c r="AB3735" i="8"/>
  <c r="AB3736" i="8"/>
  <c r="AB3737" i="8"/>
  <c r="AB3738" i="8"/>
  <c r="AB3739" i="8"/>
  <c r="AB3740" i="8"/>
  <c r="AB3741" i="8"/>
  <c r="AB3742" i="8"/>
  <c r="AB3743" i="8"/>
  <c r="AB3744" i="8"/>
  <c r="AB3745" i="8"/>
  <c r="AB3746" i="8"/>
  <c r="AB3747" i="8"/>
  <c r="AB3748" i="8"/>
  <c r="AB3749" i="8"/>
  <c r="AB3750" i="8"/>
  <c r="AB3751" i="8"/>
  <c r="AB3752" i="8"/>
  <c r="AB3753" i="8"/>
  <c r="AB3754" i="8"/>
  <c r="AB3755" i="8"/>
  <c r="AB3756" i="8"/>
  <c r="AB3757" i="8"/>
  <c r="AB3758" i="8"/>
  <c r="AB3759" i="8"/>
  <c r="AB3760" i="8"/>
  <c r="AB3761" i="8"/>
  <c r="AB3762" i="8"/>
  <c r="AB3763" i="8"/>
  <c r="AB3764" i="8"/>
  <c r="AB3765" i="8"/>
  <c r="AB3766" i="8"/>
  <c r="AB3767" i="8"/>
  <c r="AB3768" i="8"/>
  <c r="AB3769" i="8"/>
  <c r="AB3770" i="8"/>
  <c r="AB3771" i="8"/>
  <c r="AB3772" i="8"/>
  <c r="AB3773" i="8"/>
  <c r="AB3774" i="8"/>
  <c r="AB3775" i="8"/>
  <c r="AB3776" i="8"/>
  <c r="AB3777" i="8"/>
  <c r="AB3778" i="8"/>
  <c r="AB3779" i="8"/>
  <c r="AB3780" i="8"/>
  <c r="AB3781" i="8"/>
  <c r="AB3782" i="8"/>
  <c r="AB3783" i="8"/>
  <c r="AB3784" i="8"/>
  <c r="AB3785" i="8"/>
  <c r="AB3786" i="8"/>
  <c r="AB3787" i="8"/>
  <c r="AB3788" i="8"/>
  <c r="AB3789" i="8"/>
  <c r="AB3790" i="8"/>
  <c r="AB3791" i="8"/>
  <c r="AB3792" i="8"/>
  <c r="AB3793" i="8"/>
  <c r="AB3794" i="8"/>
  <c r="AB3795" i="8"/>
  <c r="AB3796" i="8"/>
  <c r="AB3797" i="8"/>
  <c r="AB3798" i="8"/>
  <c r="AB3799" i="8"/>
  <c r="AB3800" i="8"/>
  <c r="AB3801" i="8"/>
  <c r="AB3802" i="8"/>
  <c r="AB3803" i="8"/>
  <c r="AB3804" i="8"/>
  <c r="AB3805" i="8"/>
  <c r="AB3806" i="8"/>
  <c r="AB3807" i="8"/>
  <c r="AB3808" i="8"/>
  <c r="AB3809" i="8"/>
  <c r="AB3810" i="8"/>
  <c r="AB3811" i="8"/>
  <c r="AB3812" i="8"/>
  <c r="AB3813" i="8"/>
  <c r="AB3814" i="8"/>
  <c r="AB3815" i="8"/>
  <c r="AB3816" i="8"/>
  <c r="AB3817" i="8"/>
  <c r="AB3818" i="8"/>
  <c r="AB3819" i="8"/>
  <c r="AB3820" i="8"/>
  <c r="AB3821" i="8"/>
  <c r="AB3822" i="8"/>
  <c r="AB3823" i="8"/>
  <c r="AB3824" i="8"/>
  <c r="AB3825" i="8"/>
  <c r="AB3826" i="8"/>
  <c r="AB3827" i="8"/>
  <c r="AB3828" i="8"/>
  <c r="AB3829" i="8"/>
  <c r="AB3830" i="8"/>
  <c r="AB3831" i="8"/>
  <c r="AB3832" i="8"/>
  <c r="AB3833" i="8"/>
  <c r="AB3834" i="8"/>
  <c r="AB3835" i="8"/>
  <c r="AB3836" i="8"/>
  <c r="AB3837" i="8"/>
  <c r="AB3838" i="8"/>
  <c r="AB3839" i="8"/>
  <c r="AB3840" i="8"/>
  <c r="AB3841" i="8"/>
  <c r="AB3842" i="8"/>
  <c r="AB3843" i="8"/>
  <c r="AB3844" i="8"/>
  <c r="AB3845" i="8"/>
  <c r="AB3846" i="8"/>
  <c r="AB3847" i="8"/>
  <c r="AB3848" i="8"/>
  <c r="AB3849" i="8"/>
  <c r="AB3850" i="8"/>
  <c r="AB3851" i="8"/>
  <c r="AB3852" i="8"/>
  <c r="AB3853" i="8"/>
  <c r="AB3854" i="8"/>
  <c r="AB3855" i="8"/>
  <c r="AB3856" i="8"/>
  <c r="AB3857" i="8"/>
  <c r="AB3858" i="8"/>
  <c r="AB3859" i="8"/>
  <c r="AB3860" i="8"/>
  <c r="AB3861" i="8"/>
  <c r="AB3862" i="8"/>
  <c r="AB3863" i="8"/>
  <c r="AB3864" i="8"/>
  <c r="AB3865" i="8"/>
  <c r="AB3866" i="8"/>
  <c r="AB3867" i="8"/>
  <c r="AB3868" i="8"/>
  <c r="AB3869" i="8"/>
  <c r="AB3870" i="8"/>
  <c r="AB3871" i="8"/>
  <c r="AB3872" i="8"/>
  <c r="AB3873" i="8"/>
  <c r="AB3874" i="8"/>
  <c r="AB3875" i="8"/>
  <c r="AB3876" i="8"/>
  <c r="AB3877" i="8"/>
  <c r="AB3878" i="8"/>
  <c r="AB3879" i="8"/>
  <c r="AB3880" i="8"/>
  <c r="AB3881" i="8"/>
  <c r="AB3882" i="8"/>
  <c r="AB3883" i="8"/>
  <c r="AB3884" i="8"/>
  <c r="AB3885" i="8"/>
  <c r="AB3886" i="8"/>
  <c r="AB3887" i="8"/>
  <c r="AB3888" i="8"/>
  <c r="AB3889" i="8"/>
  <c r="AB3890" i="8"/>
  <c r="AB3891" i="8"/>
  <c r="AB3892" i="8"/>
  <c r="AB3893" i="8"/>
  <c r="AB3894" i="8"/>
  <c r="AB3895" i="8"/>
  <c r="AB3896" i="8"/>
  <c r="AB3897" i="8"/>
  <c r="AB3898" i="8"/>
  <c r="AB3899" i="8"/>
  <c r="AB3900" i="8"/>
  <c r="AB3901" i="8"/>
  <c r="AB3902" i="8"/>
  <c r="AB3903" i="8"/>
  <c r="AB3904" i="8"/>
  <c r="AB3905" i="8"/>
  <c r="AB3906" i="8"/>
  <c r="AB3907" i="8"/>
  <c r="AB3908" i="8"/>
  <c r="AB3909" i="8"/>
  <c r="AB3910" i="8"/>
  <c r="AB3911" i="8"/>
  <c r="AB3912" i="8"/>
  <c r="AB3913" i="8"/>
  <c r="AB3914" i="8"/>
  <c r="AB3915" i="8"/>
  <c r="AB3916" i="8"/>
  <c r="AB3917" i="8"/>
  <c r="AB3918" i="8"/>
  <c r="AB3919" i="8"/>
  <c r="AB3920" i="8"/>
  <c r="AB3921" i="8"/>
  <c r="AB3922" i="8"/>
  <c r="AB3923" i="8"/>
  <c r="AB3924" i="8"/>
  <c r="AB3925" i="8"/>
  <c r="AB3926" i="8"/>
  <c r="AB3927" i="8"/>
  <c r="AB3928" i="8"/>
  <c r="AB3929" i="8"/>
  <c r="AB3930" i="8"/>
  <c r="AB3931" i="8"/>
  <c r="AB3932" i="8"/>
  <c r="AB3933" i="8"/>
  <c r="AB3934" i="8"/>
  <c r="AB3935" i="8"/>
  <c r="AB3936" i="8"/>
  <c r="AB3937" i="8"/>
  <c r="AB3938" i="8"/>
  <c r="AB3939" i="8"/>
  <c r="AB3940" i="8"/>
  <c r="AB3941" i="8"/>
  <c r="AB3942" i="8"/>
  <c r="AB3943" i="8"/>
  <c r="AB3944" i="8"/>
  <c r="AB3945" i="8"/>
  <c r="AB3946" i="8"/>
  <c r="AB3947" i="8"/>
  <c r="AB3948" i="8"/>
  <c r="AB3949" i="8"/>
  <c r="AB3950" i="8"/>
  <c r="AB3951" i="8"/>
  <c r="AB3952" i="8"/>
  <c r="AB3953" i="8"/>
  <c r="AB3954" i="8"/>
  <c r="AB3955" i="8"/>
  <c r="AB3956" i="8"/>
  <c r="AB3957" i="8"/>
  <c r="AB3958" i="8"/>
  <c r="AB3959" i="8"/>
  <c r="AB3960" i="8"/>
  <c r="AB3961" i="8"/>
  <c r="AB3962" i="8"/>
  <c r="AB3963" i="8"/>
  <c r="AB3964" i="8"/>
  <c r="AB3965" i="8"/>
  <c r="AB3966" i="8"/>
  <c r="AB3967" i="8"/>
  <c r="AB3968" i="8"/>
  <c r="AB3969" i="8"/>
  <c r="AB3970" i="8"/>
  <c r="AB3971" i="8"/>
  <c r="AB3972" i="8"/>
  <c r="AB3973" i="8"/>
  <c r="AB3974" i="8"/>
  <c r="AB3975" i="8"/>
  <c r="AB3976" i="8"/>
  <c r="AB3977" i="8"/>
  <c r="AB3978" i="8"/>
  <c r="AB3979" i="8"/>
  <c r="AB3980" i="8"/>
  <c r="AB3981" i="8"/>
  <c r="AB3982" i="8"/>
  <c r="AB3983" i="8"/>
  <c r="AB3984" i="8"/>
  <c r="AB3985" i="8"/>
  <c r="AB3986" i="8"/>
  <c r="AB3987" i="8"/>
  <c r="AB3988" i="8"/>
  <c r="AB3989" i="8"/>
  <c r="AB3990" i="8"/>
  <c r="AB3991" i="8"/>
  <c r="AB3992" i="8"/>
  <c r="AB3993" i="8"/>
  <c r="AB3994" i="8"/>
  <c r="AB3995" i="8"/>
  <c r="AB3996" i="8"/>
  <c r="AB3997" i="8"/>
  <c r="AB3998" i="8"/>
  <c r="AB3999" i="8"/>
  <c r="AB4000" i="8"/>
  <c r="AB4001" i="8"/>
  <c r="AB4002" i="8"/>
  <c r="AB4003" i="8"/>
  <c r="AB4004" i="8"/>
  <c r="AB4005" i="8"/>
  <c r="AB4006" i="8"/>
  <c r="AB4007" i="8"/>
  <c r="AB4008" i="8"/>
  <c r="AB4009" i="8"/>
  <c r="AB4010" i="8"/>
  <c r="AB4011" i="8"/>
  <c r="AB4012" i="8"/>
  <c r="AB4013" i="8"/>
  <c r="AB4014" i="8"/>
  <c r="AB4015" i="8"/>
  <c r="AB4016" i="8"/>
  <c r="AB4017" i="8"/>
  <c r="AB4018" i="8"/>
  <c r="AB4019" i="8"/>
  <c r="AB4020" i="8"/>
  <c r="AB4021" i="8"/>
  <c r="AB4022" i="8"/>
  <c r="AB4023" i="8"/>
  <c r="AB4024" i="8"/>
  <c r="AB4025" i="8"/>
  <c r="AB4026" i="8"/>
  <c r="AB4027" i="8"/>
  <c r="AB4028" i="8"/>
  <c r="AB4029" i="8"/>
  <c r="AB4030" i="8"/>
  <c r="AB4031" i="8"/>
  <c r="AB4032" i="8"/>
  <c r="AB4033" i="8"/>
  <c r="AB4034" i="8"/>
  <c r="AB4035" i="8"/>
  <c r="AB4036" i="8"/>
  <c r="AB4037" i="8"/>
  <c r="AB4038" i="8"/>
  <c r="AB4039" i="8"/>
  <c r="AB4040" i="8"/>
  <c r="AB4041" i="8"/>
  <c r="AB4042" i="8"/>
  <c r="AB4043" i="8"/>
  <c r="AB4044" i="8"/>
  <c r="AB4045" i="8"/>
  <c r="AB4046" i="8"/>
  <c r="AB4047" i="8"/>
  <c r="AB4048" i="8"/>
  <c r="AB4049" i="8"/>
  <c r="AB4050" i="8"/>
  <c r="AB4051" i="8"/>
  <c r="AB4052" i="8"/>
  <c r="AB4053" i="8"/>
  <c r="AB4054" i="8"/>
  <c r="AB4055" i="8"/>
  <c r="AB4056" i="8"/>
  <c r="AB4057" i="8"/>
  <c r="AB4058" i="8"/>
  <c r="AB4059" i="8"/>
  <c r="AB4060" i="8"/>
  <c r="AB4061" i="8"/>
  <c r="AB4062" i="8"/>
  <c r="AB4063" i="8"/>
  <c r="AB4064" i="8"/>
  <c r="AB4065" i="8"/>
  <c r="AB4066" i="8"/>
  <c r="AB4067" i="8"/>
  <c r="AB4068" i="8"/>
  <c r="AB4069" i="8"/>
  <c r="AB4070" i="8"/>
  <c r="AB4071" i="8"/>
  <c r="AB4072" i="8"/>
  <c r="AB4073" i="8"/>
  <c r="AB4074" i="8"/>
  <c r="AB4075" i="8"/>
  <c r="AB4076" i="8"/>
  <c r="AB4077" i="8"/>
  <c r="AB4078" i="8"/>
  <c r="AB4079" i="8"/>
  <c r="AB4080" i="8"/>
  <c r="AB4081" i="8"/>
  <c r="AB4082" i="8"/>
  <c r="AB4083" i="8"/>
  <c r="AB20" i="8"/>
  <c r="AB3" i="8"/>
  <c r="AB4" i="8"/>
  <c r="AB5" i="8"/>
  <c r="AB6" i="8"/>
  <c r="AB7" i="8"/>
  <c r="AB8" i="8"/>
  <c r="AB9" i="8"/>
  <c r="AB10" i="8"/>
  <c r="AB11" i="8"/>
  <c r="AB12" i="8"/>
  <c r="AB13" i="8"/>
  <c r="AB14" i="8"/>
  <c r="AB15" i="8"/>
  <c r="AB16" i="8"/>
  <c r="AB17" i="8"/>
  <c r="AB18" i="8"/>
  <c r="AB19" i="8"/>
  <c r="T3" i="8"/>
  <c r="T4" i="8"/>
  <c r="T5" i="8"/>
  <c r="T6" i="8"/>
  <c r="T7" i="8"/>
  <c r="T8" i="8"/>
  <c r="T9" i="8"/>
  <c r="T10" i="8"/>
  <c r="T11" i="8"/>
  <c r="T12" i="8"/>
  <c r="T13" i="8"/>
  <c r="T14" i="8"/>
  <c r="T15" i="8"/>
  <c r="T16" i="8"/>
  <c r="T17" i="8"/>
  <c r="T18" i="8"/>
  <c r="T19" i="8"/>
  <c r="T20" i="8"/>
  <c r="T21" i="8"/>
  <c r="T2" i="8"/>
  <c r="T22"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T143" i="8"/>
  <c r="T144" i="8"/>
  <c r="T145"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5" i="8"/>
  <c r="T226" i="8"/>
  <c r="T227" i="8"/>
  <c r="T228" i="8"/>
  <c r="T229" i="8"/>
  <c r="T230" i="8"/>
  <c r="T231" i="8"/>
  <c r="T232" i="8"/>
  <c r="T233" i="8"/>
  <c r="T234" i="8"/>
  <c r="T235" i="8"/>
  <c r="T236" i="8"/>
  <c r="T237" i="8"/>
  <c r="T238" i="8"/>
  <c r="T239" i="8"/>
  <c r="T240" i="8"/>
  <c r="T241" i="8"/>
  <c r="T242" i="8"/>
  <c r="T243" i="8"/>
  <c r="T244" i="8"/>
  <c r="T245" i="8"/>
  <c r="T246" i="8"/>
  <c r="T247" i="8"/>
  <c r="T248" i="8"/>
  <c r="T249" i="8"/>
  <c r="T250" i="8"/>
  <c r="T251" i="8"/>
  <c r="T252" i="8"/>
  <c r="T253" i="8"/>
  <c r="T254" i="8"/>
  <c r="T255" i="8"/>
  <c r="T256" i="8"/>
  <c r="T257" i="8"/>
  <c r="T258" i="8"/>
  <c r="T259" i="8"/>
  <c r="T260" i="8"/>
  <c r="T261" i="8"/>
  <c r="T262" i="8"/>
  <c r="T263" i="8"/>
  <c r="T264" i="8"/>
  <c r="T265" i="8"/>
  <c r="T266" i="8"/>
  <c r="T267" i="8"/>
  <c r="T268" i="8"/>
  <c r="T269" i="8"/>
  <c r="T270" i="8"/>
  <c r="T271" i="8"/>
  <c r="T272" i="8"/>
  <c r="T273" i="8"/>
  <c r="T274" i="8"/>
  <c r="T275" i="8"/>
  <c r="T276" i="8"/>
  <c r="T277" i="8"/>
  <c r="T278" i="8"/>
  <c r="T279" i="8"/>
  <c r="T280" i="8"/>
  <c r="T281" i="8"/>
  <c r="T282" i="8"/>
  <c r="T283" i="8"/>
  <c r="T284" i="8"/>
  <c r="T285" i="8"/>
  <c r="T286" i="8"/>
  <c r="T287" i="8"/>
  <c r="T288" i="8"/>
  <c r="T289" i="8"/>
  <c r="T290" i="8"/>
  <c r="T291" i="8"/>
  <c r="T292" i="8"/>
  <c r="T293" i="8"/>
  <c r="T294" i="8"/>
  <c r="T295" i="8"/>
  <c r="T296" i="8"/>
  <c r="T297" i="8"/>
  <c r="T298" i="8"/>
  <c r="T299" i="8"/>
  <c r="T300" i="8"/>
  <c r="T301" i="8"/>
  <c r="T302" i="8"/>
  <c r="T303" i="8"/>
  <c r="T304" i="8"/>
  <c r="T305" i="8"/>
  <c r="T306" i="8"/>
  <c r="T307" i="8"/>
  <c r="T308" i="8"/>
  <c r="T309" i="8"/>
  <c r="T310" i="8"/>
  <c r="T311" i="8"/>
  <c r="T312" i="8"/>
  <c r="T313" i="8"/>
  <c r="T314" i="8"/>
  <c r="T315" i="8"/>
  <c r="T316" i="8"/>
  <c r="T317" i="8"/>
  <c r="T318" i="8"/>
  <c r="T319" i="8"/>
  <c r="T320" i="8"/>
  <c r="T321" i="8"/>
  <c r="T322" i="8"/>
  <c r="T323" i="8"/>
  <c r="T324" i="8"/>
  <c r="T325" i="8"/>
  <c r="T326" i="8"/>
  <c r="T327" i="8"/>
  <c r="T328" i="8"/>
  <c r="T329" i="8"/>
  <c r="T330" i="8"/>
  <c r="T331" i="8"/>
  <c r="T332" i="8"/>
  <c r="T333" i="8"/>
  <c r="T334" i="8"/>
  <c r="T335" i="8"/>
  <c r="T336" i="8"/>
  <c r="T337" i="8"/>
  <c r="T338" i="8"/>
  <c r="T339" i="8"/>
  <c r="T340" i="8"/>
  <c r="T341" i="8"/>
  <c r="T342" i="8"/>
  <c r="T343" i="8"/>
  <c r="T344" i="8"/>
  <c r="T345" i="8"/>
  <c r="T346" i="8"/>
  <c r="T347" i="8"/>
  <c r="T348" i="8"/>
  <c r="T349" i="8"/>
  <c r="T350" i="8"/>
  <c r="T351" i="8"/>
  <c r="T352" i="8"/>
  <c r="T353" i="8"/>
  <c r="T354" i="8"/>
  <c r="T355" i="8"/>
  <c r="T356" i="8"/>
  <c r="T357" i="8"/>
  <c r="T358" i="8"/>
  <c r="T359" i="8"/>
  <c r="T360" i="8"/>
  <c r="T361" i="8"/>
  <c r="T362" i="8"/>
  <c r="T363" i="8"/>
  <c r="T364" i="8"/>
  <c r="T365" i="8"/>
  <c r="T366" i="8"/>
  <c r="T367" i="8"/>
  <c r="T368" i="8"/>
  <c r="T369" i="8"/>
  <c r="T370" i="8"/>
  <c r="T371" i="8"/>
  <c r="T372" i="8"/>
  <c r="T373" i="8"/>
  <c r="T374" i="8"/>
  <c r="T375" i="8"/>
  <c r="T376" i="8"/>
  <c r="T377" i="8"/>
  <c r="T378" i="8"/>
  <c r="T379" i="8"/>
  <c r="T380" i="8"/>
  <c r="T381" i="8"/>
  <c r="T382" i="8"/>
  <c r="T383" i="8"/>
  <c r="T384" i="8"/>
  <c r="T385" i="8"/>
  <c r="T386" i="8"/>
  <c r="T387" i="8"/>
  <c r="T388" i="8"/>
  <c r="T389" i="8"/>
  <c r="T390" i="8"/>
  <c r="T391" i="8"/>
  <c r="T392" i="8"/>
  <c r="T393" i="8"/>
  <c r="T394" i="8"/>
  <c r="T395" i="8"/>
  <c r="T396" i="8"/>
  <c r="T397" i="8"/>
  <c r="T398" i="8"/>
  <c r="T399" i="8"/>
  <c r="T400" i="8"/>
  <c r="T401" i="8"/>
  <c r="T402" i="8"/>
  <c r="T403" i="8"/>
  <c r="T404" i="8"/>
  <c r="T405" i="8"/>
  <c r="T406" i="8"/>
  <c r="T407" i="8"/>
  <c r="T408" i="8"/>
  <c r="T409" i="8"/>
  <c r="T410" i="8"/>
  <c r="T411" i="8"/>
  <c r="T412" i="8"/>
  <c r="T413" i="8"/>
  <c r="T414" i="8"/>
  <c r="T415" i="8"/>
  <c r="T416" i="8"/>
  <c r="T417" i="8"/>
  <c r="T418" i="8"/>
  <c r="T419" i="8"/>
  <c r="T420" i="8"/>
  <c r="T421" i="8"/>
  <c r="T422" i="8"/>
  <c r="T423" i="8"/>
  <c r="T424" i="8"/>
  <c r="T425" i="8"/>
  <c r="T426" i="8"/>
  <c r="T427" i="8"/>
  <c r="T428" i="8"/>
  <c r="T429" i="8"/>
  <c r="T430" i="8"/>
  <c r="T431" i="8"/>
  <c r="T432" i="8"/>
  <c r="T433" i="8"/>
  <c r="T434" i="8"/>
  <c r="T435" i="8"/>
  <c r="T436" i="8"/>
  <c r="T437" i="8"/>
  <c r="T438" i="8"/>
  <c r="T439" i="8"/>
  <c r="T440" i="8"/>
  <c r="T441" i="8"/>
  <c r="T442" i="8"/>
  <c r="T443" i="8"/>
  <c r="T444" i="8"/>
  <c r="T445" i="8"/>
  <c r="T446" i="8"/>
  <c r="T447" i="8"/>
  <c r="T448" i="8"/>
  <c r="T449" i="8"/>
  <c r="T450" i="8"/>
  <c r="T451" i="8"/>
  <c r="T452" i="8"/>
  <c r="T453" i="8"/>
  <c r="T454" i="8"/>
  <c r="T455" i="8"/>
  <c r="T456" i="8"/>
  <c r="T457" i="8"/>
  <c r="T458" i="8"/>
  <c r="T459" i="8"/>
  <c r="T460" i="8"/>
  <c r="T461" i="8"/>
  <c r="T462" i="8"/>
  <c r="T463" i="8"/>
  <c r="T464" i="8"/>
  <c r="T465" i="8"/>
  <c r="T466" i="8"/>
  <c r="T467" i="8"/>
  <c r="T468" i="8"/>
  <c r="T469" i="8"/>
  <c r="T470" i="8"/>
  <c r="T471" i="8"/>
  <c r="T472" i="8"/>
  <c r="T473" i="8"/>
  <c r="T474" i="8"/>
  <c r="T475" i="8"/>
  <c r="T476" i="8"/>
  <c r="T477" i="8"/>
  <c r="T478" i="8"/>
  <c r="T479" i="8"/>
  <c r="T480" i="8"/>
  <c r="T481" i="8"/>
  <c r="T482" i="8"/>
  <c r="T483" i="8"/>
  <c r="T484" i="8"/>
  <c r="T485" i="8"/>
  <c r="T486" i="8"/>
  <c r="T487" i="8"/>
  <c r="T488" i="8"/>
  <c r="T489" i="8"/>
  <c r="T490" i="8"/>
  <c r="T491" i="8"/>
  <c r="T492" i="8"/>
  <c r="T493" i="8"/>
  <c r="T494" i="8"/>
  <c r="T495" i="8"/>
  <c r="T496" i="8"/>
  <c r="T497" i="8"/>
  <c r="T498" i="8"/>
  <c r="T499" i="8"/>
  <c r="T500" i="8"/>
  <c r="T501" i="8"/>
  <c r="T502" i="8"/>
  <c r="T503" i="8"/>
  <c r="T504" i="8"/>
  <c r="T505" i="8"/>
  <c r="T506" i="8"/>
  <c r="T507" i="8"/>
  <c r="T508" i="8"/>
  <c r="T509" i="8"/>
  <c r="T510" i="8"/>
  <c r="T511" i="8"/>
  <c r="T512" i="8"/>
  <c r="T513" i="8"/>
  <c r="T514" i="8"/>
  <c r="T515" i="8"/>
  <c r="T516" i="8"/>
  <c r="T517" i="8"/>
  <c r="T518" i="8"/>
  <c r="T519" i="8"/>
  <c r="T520" i="8"/>
  <c r="T521" i="8"/>
  <c r="T522" i="8"/>
  <c r="T523" i="8"/>
  <c r="T524" i="8"/>
  <c r="T525" i="8"/>
  <c r="T526" i="8"/>
  <c r="T527" i="8"/>
  <c r="T528" i="8"/>
  <c r="T529" i="8"/>
  <c r="T530" i="8"/>
  <c r="T531" i="8"/>
  <c r="T532" i="8"/>
  <c r="T533" i="8"/>
  <c r="T534" i="8"/>
  <c r="T535" i="8"/>
  <c r="T536" i="8"/>
  <c r="T537" i="8"/>
  <c r="T538" i="8"/>
  <c r="T539" i="8"/>
  <c r="T540" i="8"/>
  <c r="T541" i="8"/>
  <c r="T542" i="8"/>
  <c r="T543" i="8"/>
  <c r="T544" i="8"/>
  <c r="T545" i="8"/>
  <c r="T546" i="8"/>
  <c r="T547" i="8"/>
  <c r="T548" i="8"/>
  <c r="T549" i="8"/>
  <c r="T550" i="8"/>
  <c r="T551" i="8"/>
  <c r="T552" i="8"/>
  <c r="T553" i="8"/>
  <c r="T554" i="8"/>
  <c r="T555" i="8"/>
  <c r="T556" i="8"/>
  <c r="T557" i="8"/>
  <c r="T558" i="8"/>
  <c r="T559" i="8"/>
  <c r="T560" i="8"/>
  <c r="T561" i="8"/>
  <c r="T562" i="8"/>
  <c r="T563" i="8"/>
  <c r="T564" i="8"/>
  <c r="T565" i="8"/>
  <c r="T566" i="8"/>
  <c r="T567" i="8"/>
  <c r="T568" i="8"/>
  <c r="T569" i="8"/>
  <c r="T570" i="8"/>
  <c r="T571" i="8"/>
  <c r="T572" i="8"/>
  <c r="T573" i="8"/>
  <c r="T574" i="8"/>
  <c r="T575" i="8"/>
  <c r="T576" i="8"/>
  <c r="T577" i="8"/>
  <c r="T578" i="8"/>
  <c r="T579" i="8"/>
  <c r="T580" i="8"/>
  <c r="T581" i="8"/>
  <c r="T582" i="8"/>
  <c r="T583" i="8"/>
  <c r="T584" i="8"/>
  <c r="T585" i="8"/>
  <c r="T586" i="8"/>
  <c r="T587" i="8"/>
  <c r="T588" i="8"/>
  <c r="T589" i="8"/>
  <c r="T590" i="8"/>
  <c r="T591" i="8"/>
  <c r="T592" i="8"/>
  <c r="T593" i="8"/>
  <c r="T594" i="8"/>
  <c r="T595" i="8"/>
  <c r="T596" i="8"/>
  <c r="T597" i="8"/>
  <c r="T598" i="8"/>
  <c r="T599" i="8"/>
  <c r="T600" i="8"/>
  <c r="T601" i="8"/>
  <c r="T602" i="8"/>
  <c r="T603" i="8"/>
  <c r="T604" i="8"/>
  <c r="T605" i="8"/>
  <c r="T606" i="8"/>
  <c r="T607" i="8"/>
  <c r="T608" i="8"/>
  <c r="T609" i="8"/>
  <c r="T610" i="8"/>
  <c r="T611" i="8"/>
  <c r="T612" i="8"/>
  <c r="T613" i="8"/>
  <c r="T614" i="8"/>
  <c r="T615" i="8"/>
  <c r="T616" i="8"/>
  <c r="T617" i="8"/>
  <c r="T618" i="8"/>
  <c r="T619" i="8"/>
  <c r="T620" i="8"/>
  <c r="T621" i="8"/>
  <c r="T622" i="8"/>
  <c r="T623" i="8"/>
  <c r="T624" i="8"/>
  <c r="T625" i="8"/>
  <c r="T626" i="8"/>
  <c r="T627" i="8"/>
  <c r="T628" i="8"/>
  <c r="T629" i="8"/>
  <c r="T630" i="8"/>
  <c r="T631" i="8"/>
  <c r="T632" i="8"/>
  <c r="T633" i="8"/>
  <c r="T634" i="8"/>
  <c r="T635" i="8"/>
  <c r="T636" i="8"/>
  <c r="T637" i="8"/>
  <c r="T638" i="8"/>
  <c r="T639" i="8"/>
  <c r="T640" i="8"/>
  <c r="T641" i="8"/>
  <c r="T642" i="8"/>
  <c r="T643" i="8"/>
  <c r="T644" i="8"/>
  <c r="T645" i="8"/>
  <c r="T646" i="8"/>
  <c r="T647" i="8"/>
  <c r="T648" i="8"/>
  <c r="T649" i="8"/>
  <c r="T650" i="8"/>
  <c r="T651" i="8"/>
  <c r="T652" i="8"/>
  <c r="T653" i="8"/>
  <c r="T654" i="8"/>
  <c r="T655" i="8"/>
  <c r="T656" i="8"/>
  <c r="T657" i="8"/>
  <c r="T658" i="8"/>
  <c r="T659" i="8"/>
  <c r="T660" i="8"/>
  <c r="T661" i="8"/>
  <c r="T662" i="8"/>
  <c r="T663" i="8"/>
  <c r="T664" i="8"/>
  <c r="T665" i="8"/>
  <c r="T666" i="8"/>
  <c r="T667" i="8"/>
  <c r="T668" i="8"/>
  <c r="T669" i="8"/>
  <c r="T670" i="8"/>
  <c r="T671" i="8"/>
  <c r="T672" i="8"/>
  <c r="T673" i="8"/>
  <c r="T674" i="8"/>
  <c r="T675" i="8"/>
  <c r="T676" i="8"/>
  <c r="T677" i="8"/>
  <c r="T678" i="8"/>
  <c r="T679" i="8"/>
  <c r="T680" i="8"/>
  <c r="T681" i="8"/>
  <c r="T682" i="8"/>
  <c r="T683" i="8"/>
  <c r="T684" i="8"/>
  <c r="T685" i="8"/>
  <c r="T686" i="8"/>
  <c r="T687" i="8"/>
  <c r="T688" i="8"/>
  <c r="T689" i="8"/>
  <c r="T690" i="8"/>
  <c r="T691" i="8"/>
  <c r="T692" i="8"/>
  <c r="T693" i="8"/>
  <c r="T694" i="8"/>
  <c r="T695" i="8"/>
  <c r="T696" i="8"/>
  <c r="T697" i="8"/>
  <c r="T698" i="8"/>
  <c r="T699" i="8"/>
  <c r="T700" i="8"/>
  <c r="T701" i="8"/>
  <c r="T702" i="8"/>
  <c r="T703" i="8"/>
  <c r="T704" i="8"/>
  <c r="T705" i="8"/>
  <c r="T706" i="8"/>
  <c r="T707" i="8"/>
  <c r="T708" i="8"/>
  <c r="T709" i="8"/>
  <c r="T710" i="8"/>
  <c r="T711" i="8"/>
  <c r="T712" i="8"/>
  <c r="T713" i="8"/>
  <c r="T714" i="8"/>
  <c r="T715" i="8"/>
  <c r="T716" i="8"/>
  <c r="T717" i="8"/>
  <c r="T718" i="8"/>
  <c r="T719" i="8"/>
  <c r="T720" i="8"/>
  <c r="T721" i="8"/>
  <c r="T722" i="8"/>
  <c r="T723" i="8"/>
  <c r="T724" i="8"/>
  <c r="T725" i="8"/>
  <c r="T726" i="8"/>
  <c r="T727" i="8"/>
  <c r="T728" i="8"/>
  <c r="T729" i="8"/>
  <c r="T730" i="8"/>
  <c r="T731" i="8"/>
  <c r="T732" i="8"/>
  <c r="T733" i="8"/>
  <c r="T734" i="8"/>
  <c r="T735" i="8"/>
  <c r="T736" i="8"/>
  <c r="T737" i="8"/>
  <c r="T738" i="8"/>
  <c r="T739" i="8"/>
  <c r="T740" i="8"/>
  <c r="T741" i="8"/>
  <c r="T742" i="8"/>
  <c r="T743" i="8"/>
  <c r="T744" i="8"/>
  <c r="T745" i="8"/>
  <c r="T746" i="8"/>
  <c r="T747" i="8"/>
  <c r="T748" i="8"/>
  <c r="T749" i="8"/>
  <c r="T750" i="8"/>
  <c r="T751" i="8"/>
  <c r="T752" i="8"/>
  <c r="T753" i="8"/>
  <c r="T754" i="8"/>
  <c r="T755" i="8"/>
  <c r="T756" i="8"/>
  <c r="T757" i="8"/>
  <c r="T758" i="8"/>
  <c r="T759" i="8"/>
  <c r="T760" i="8"/>
  <c r="T761" i="8"/>
  <c r="T762" i="8"/>
  <c r="T763" i="8"/>
  <c r="T764" i="8"/>
  <c r="T765" i="8"/>
  <c r="T766" i="8"/>
  <c r="T767" i="8"/>
  <c r="T768" i="8"/>
  <c r="T769" i="8"/>
  <c r="T770" i="8"/>
  <c r="T771" i="8"/>
  <c r="T772" i="8"/>
  <c r="T773" i="8"/>
  <c r="T774" i="8"/>
  <c r="T775" i="8"/>
  <c r="T776" i="8"/>
  <c r="T777" i="8"/>
  <c r="T778" i="8"/>
  <c r="T779" i="8"/>
  <c r="T780" i="8"/>
  <c r="T781" i="8"/>
  <c r="T782" i="8"/>
  <c r="T783" i="8"/>
  <c r="T784" i="8"/>
  <c r="T785" i="8"/>
  <c r="T786" i="8"/>
  <c r="T787" i="8"/>
  <c r="T788" i="8"/>
  <c r="T789" i="8"/>
  <c r="T790" i="8"/>
  <c r="T791" i="8"/>
  <c r="T792" i="8"/>
  <c r="T793" i="8"/>
  <c r="T794" i="8"/>
  <c r="T795" i="8"/>
  <c r="T796" i="8"/>
  <c r="T797" i="8"/>
  <c r="T798" i="8"/>
  <c r="T799" i="8"/>
  <c r="T800" i="8"/>
  <c r="T801" i="8"/>
  <c r="T802" i="8"/>
  <c r="T803" i="8"/>
  <c r="T804" i="8"/>
  <c r="T805" i="8"/>
  <c r="T806" i="8"/>
  <c r="T807" i="8"/>
  <c r="T808" i="8"/>
  <c r="T809" i="8"/>
  <c r="T810" i="8"/>
  <c r="T811" i="8"/>
  <c r="T812" i="8"/>
  <c r="T813" i="8"/>
  <c r="T814" i="8"/>
  <c r="T815" i="8"/>
  <c r="T816" i="8"/>
  <c r="T817" i="8"/>
  <c r="T818" i="8"/>
  <c r="T819" i="8"/>
  <c r="T820" i="8"/>
  <c r="T821" i="8"/>
  <c r="T822" i="8"/>
  <c r="T823" i="8"/>
  <c r="T824" i="8"/>
  <c r="T825" i="8"/>
  <c r="T826" i="8"/>
  <c r="T827" i="8"/>
  <c r="T828" i="8"/>
  <c r="T829" i="8"/>
  <c r="T830" i="8"/>
  <c r="T831" i="8"/>
  <c r="T832" i="8"/>
  <c r="T833" i="8"/>
  <c r="T834" i="8"/>
  <c r="T835" i="8"/>
  <c r="T836" i="8"/>
  <c r="T837" i="8"/>
  <c r="T838" i="8"/>
  <c r="T839" i="8"/>
  <c r="T840" i="8"/>
  <c r="T841" i="8"/>
  <c r="T842" i="8"/>
  <c r="T843" i="8"/>
  <c r="T844" i="8"/>
  <c r="T845" i="8"/>
  <c r="T846" i="8"/>
  <c r="T847" i="8"/>
  <c r="T848" i="8"/>
  <c r="T849" i="8"/>
  <c r="T850" i="8"/>
  <c r="T851" i="8"/>
  <c r="T852" i="8"/>
  <c r="T853" i="8"/>
  <c r="T854" i="8"/>
  <c r="T855" i="8"/>
  <c r="T856" i="8"/>
  <c r="T857" i="8"/>
  <c r="T858" i="8"/>
  <c r="T859" i="8"/>
  <c r="T860" i="8"/>
  <c r="T861" i="8"/>
  <c r="T862" i="8"/>
  <c r="T863" i="8"/>
  <c r="T864" i="8"/>
  <c r="T865" i="8"/>
  <c r="T866" i="8"/>
  <c r="T867" i="8"/>
  <c r="T868" i="8"/>
  <c r="T869" i="8"/>
  <c r="T870" i="8"/>
  <c r="T871" i="8"/>
  <c r="T872" i="8"/>
  <c r="T873" i="8"/>
  <c r="T874" i="8"/>
  <c r="T875" i="8"/>
  <c r="T876" i="8"/>
  <c r="T877" i="8"/>
  <c r="T878" i="8"/>
  <c r="T879" i="8"/>
  <c r="T880" i="8"/>
  <c r="T881" i="8"/>
  <c r="T882" i="8"/>
  <c r="T883" i="8"/>
  <c r="T884" i="8"/>
  <c r="T885" i="8"/>
  <c r="T886" i="8"/>
  <c r="T887" i="8"/>
  <c r="T888" i="8"/>
  <c r="T889" i="8"/>
  <c r="T890" i="8"/>
  <c r="T891" i="8"/>
  <c r="T892" i="8"/>
  <c r="T893" i="8"/>
  <c r="T894" i="8"/>
  <c r="T895" i="8"/>
  <c r="T896" i="8"/>
  <c r="T897" i="8"/>
  <c r="T898" i="8"/>
  <c r="T899" i="8"/>
  <c r="T900" i="8"/>
  <c r="T901" i="8"/>
  <c r="T902" i="8"/>
  <c r="T903" i="8"/>
  <c r="T904" i="8"/>
  <c r="T905" i="8"/>
  <c r="T906" i="8"/>
  <c r="T907" i="8"/>
  <c r="T908" i="8"/>
  <c r="T909" i="8"/>
  <c r="T910" i="8"/>
  <c r="T911" i="8"/>
  <c r="T912" i="8"/>
  <c r="T913" i="8"/>
  <c r="T914" i="8"/>
  <c r="T915" i="8"/>
  <c r="T916" i="8"/>
  <c r="T917" i="8"/>
  <c r="T918" i="8"/>
  <c r="T919" i="8"/>
  <c r="T920" i="8"/>
  <c r="T921" i="8"/>
  <c r="T922" i="8"/>
  <c r="T923" i="8"/>
  <c r="T924" i="8"/>
  <c r="T925" i="8"/>
  <c r="T926" i="8"/>
  <c r="T927" i="8"/>
  <c r="T928" i="8"/>
  <c r="T929" i="8"/>
  <c r="T930" i="8"/>
  <c r="T931" i="8"/>
  <c r="T932" i="8"/>
  <c r="T933" i="8"/>
  <c r="T934" i="8"/>
  <c r="T935" i="8"/>
  <c r="T936" i="8"/>
  <c r="T937" i="8"/>
  <c r="T938" i="8"/>
  <c r="T939" i="8"/>
  <c r="T940" i="8"/>
  <c r="T941" i="8"/>
  <c r="T942" i="8"/>
  <c r="T943" i="8"/>
  <c r="T944" i="8"/>
  <c r="T945" i="8"/>
  <c r="T946" i="8"/>
  <c r="T947" i="8"/>
  <c r="T948" i="8"/>
  <c r="T949" i="8"/>
  <c r="T950" i="8"/>
  <c r="T951" i="8"/>
  <c r="T952" i="8"/>
  <c r="T953" i="8"/>
  <c r="T954" i="8"/>
  <c r="T955" i="8"/>
  <c r="T956" i="8"/>
  <c r="T957" i="8"/>
  <c r="T958" i="8"/>
  <c r="T959" i="8"/>
  <c r="T960" i="8"/>
  <c r="T961" i="8"/>
  <c r="T962" i="8"/>
  <c r="T963" i="8"/>
  <c r="T964" i="8"/>
  <c r="T965" i="8"/>
  <c r="T966" i="8"/>
  <c r="T967" i="8"/>
  <c r="T968" i="8"/>
  <c r="T969" i="8"/>
  <c r="T970" i="8"/>
  <c r="T971" i="8"/>
  <c r="T972" i="8"/>
  <c r="T973" i="8"/>
  <c r="T974" i="8"/>
  <c r="T975" i="8"/>
  <c r="T976" i="8"/>
  <c r="T977" i="8"/>
  <c r="T978" i="8"/>
  <c r="T979" i="8"/>
  <c r="T980" i="8"/>
  <c r="T981" i="8"/>
  <c r="T982" i="8"/>
  <c r="T983" i="8"/>
  <c r="T984" i="8"/>
  <c r="T985" i="8"/>
  <c r="T986" i="8"/>
  <c r="T987" i="8"/>
  <c r="T988" i="8"/>
  <c r="T989" i="8"/>
  <c r="T990" i="8"/>
  <c r="T991" i="8"/>
  <c r="T992" i="8"/>
  <c r="T993" i="8"/>
  <c r="T994" i="8"/>
  <c r="T995" i="8"/>
  <c r="T996" i="8"/>
  <c r="T997" i="8"/>
  <c r="T998" i="8"/>
  <c r="T999" i="8"/>
  <c r="T1000" i="8"/>
  <c r="T1001" i="8"/>
  <c r="T1002" i="8"/>
  <c r="T1003" i="8"/>
  <c r="T1004" i="8"/>
  <c r="T1005" i="8"/>
  <c r="T1006" i="8"/>
  <c r="T1007" i="8"/>
  <c r="T1008" i="8"/>
  <c r="T1009" i="8"/>
  <c r="T1010" i="8"/>
  <c r="T1011" i="8"/>
  <c r="T1012" i="8"/>
  <c r="T1013" i="8"/>
  <c r="T1014" i="8"/>
  <c r="T1015" i="8"/>
  <c r="T1016" i="8"/>
  <c r="T1017" i="8"/>
  <c r="T1018" i="8"/>
  <c r="T1019" i="8"/>
  <c r="T1020" i="8"/>
  <c r="T1021" i="8"/>
  <c r="T1022" i="8"/>
  <c r="T1023" i="8"/>
  <c r="T1024" i="8"/>
  <c r="T1025" i="8"/>
  <c r="T1026" i="8"/>
  <c r="T1027" i="8"/>
  <c r="T1028" i="8"/>
  <c r="T1029" i="8"/>
  <c r="T1030" i="8"/>
  <c r="T1031" i="8"/>
  <c r="T1032" i="8"/>
  <c r="T1033" i="8"/>
  <c r="T1034" i="8"/>
  <c r="T1035" i="8"/>
  <c r="T1036" i="8"/>
  <c r="T1037" i="8"/>
  <c r="T1038" i="8"/>
  <c r="T1039" i="8"/>
  <c r="T1040" i="8"/>
  <c r="T1041" i="8"/>
  <c r="T1042" i="8"/>
  <c r="T1043" i="8"/>
  <c r="T1044" i="8"/>
  <c r="T1045" i="8"/>
  <c r="T1046" i="8"/>
  <c r="T1047" i="8"/>
  <c r="T1048" i="8"/>
  <c r="T1049" i="8"/>
  <c r="T1050" i="8"/>
  <c r="T1051" i="8"/>
  <c r="T1052" i="8"/>
  <c r="T1053" i="8"/>
  <c r="T1054" i="8"/>
  <c r="T1055" i="8"/>
  <c r="T1056" i="8"/>
  <c r="T1057" i="8"/>
  <c r="T1058" i="8"/>
  <c r="T1059" i="8"/>
  <c r="T1060" i="8"/>
  <c r="T1061" i="8"/>
  <c r="T1062" i="8"/>
  <c r="T1063" i="8"/>
  <c r="T1064" i="8"/>
  <c r="T1065" i="8"/>
  <c r="T1066" i="8"/>
  <c r="T1067" i="8"/>
  <c r="T1068" i="8"/>
  <c r="T1069" i="8"/>
  <c r="T1070" i="8"/>
  <c r="T1071" i="8"/>
  <c r="T1072" i="8"/>
  <c r="T1073" i="8"/>
  <c r="T1074" i="8"/>
  <c r="T1075" i="8"/>
  <c r="T1076" i="8"/>
  <c r="T1077" i="8"/>
  <c r="T1078" i="8"/>
  <c r="T1079" i="8"/>
  <c r="T1080" i="8"/>
  <c r="T1081" i="8"/>
  <c r="T1082" i="8"/>
  <c r="T1083" i="8"/>
  <c r="T1084" i="8"/>
  <c r="T1085" i="8"/>
  <c r="T1086" i="8"/>
  <c r="T1087" i="8"/>
  <c r="T1088" i="8"/>
  <c r="T1089" i="8"/>
  <c r="T1090" i="8"/>
  <c r="T1091" i="8"/>
  <c r="T1092" i="8"/>
  <c r="T1093" i="8"/>
  <c r="T1094" i="8"/>
  <c r="T1095" i="8"/>
  <c r="T1096" i="8"/>
  <c r="T1097" i="8"/>
  <c r="T1098" i="8"/>
  <c r="T1099" i="8"/>
  <c r="T1100" i="8"/>
  <c r="T1101" i="8"/>
  <c r="T1102" i="8"/>
  <c r="T1103" i="8"/>
  <c r="T1104" i="8"/>
  <c r="T1105" i="8"/>
  <c r="T1106" i="8"/>
  <c r="T1107" i="8"/>
  <c r="T1108" i="8"/>
  <c r="T1109" i="8"/>
  <c r="T1110" i="8"/>
  <c r="T1111" i="8"/>
  <c r="T1112" i="8"/>
  <c r="T1113" i="8"/>
  <c r="T1114" i="8"/>
  <c r="T1115" i="8"/>
  <c r="T1116" i="8"/>
  <c r="T1117" i="8"/>
  <c r="T1118" i="8"/>
  <c r="T1119" i="8"/>
  <c r="T1120" i="8"/>
  <c r="T1121" i="8"/>
  <c r="T1122" i="8"/>
  <c r="T1123" i="8"/>
  <c r="T1124" i="8"/>
  <c r="T1125" i="8"/>
  <c r="T1126" i="8"/>
  <c r="T1127" i="8"/>
  <c r="T1128" i="8"/>
  <c r="T1129" i="8"/>
  <c r="T1130" i="8"/>
  <c r="T1131" i="8"/>
  <c r="T1132" i="8"/>
  <c r="T1133" i="8"/>
  <c r="T1134" i="8"/>
  <c r="T1135" i="8"/>
  <c r="T1136" i="8"/>
  <c r="T1137" i="8"/>
  <c r="T1138" i="8"/>
  <c r="T1139" i="8"/>
  <c r="T1140" i="8"/>
  <c r="T1141" i="8"/>
  <c r="T1142" i="8"/>
  <c r="T1143" i="8"/>
  <c r="T1144" i="8"/>
  <c r="T1145" i="8"/>
  <c r="T1146" i="8"/>
  <c r="T1147" i="8"/>
  <c r="T1148" i="8"/>
  <c r="T1149" i="8"/>
  <c r="T1150" i="8"/>
  <c r="T1151" i="8"/>
  <c r="T1152" i="8"/>
  <c r="T1153" i="8"/>
  <c r="T1154" i="8"/>
  <c r="T1155" i="8"/>
  <c r="T1156" i="8"/>
  <c r="T1157" i="8"/>
  <c r="T1158" i="8"/>
  <c r="T1159" i="8"/>
  <c r="T1160" i="8"/>
  <c r="T1161" i="8"/>
  <c r="T1162" i="8"/>
  <c r="T1163" i="8"/>
  <c r="T1164" i="8"/>
  <c r="T1165" i="8"/>
  <c r="T1166" i="8"/>
  <c r="T1167" i="8"/>
  <c r="T1168" i="8"/>
  <c r="T1169" i="8"/>
  <c r="T1170" i="8"/>
  <c r="T1171" i="8"/>
  <c r="T1172" i="8"/>
  <c r="T1173" i="8"/>
  <c r="T1174" i="8"/>
  <c r="T1175" i="8"/>
  <c r="T1176" i="8"/>
  <c r="T1177" i="8"/>
  <c r="T1178" i="8"/>
  <c r="T1179" i="8"/>
  <c r="T1180" i="8"/>
  <c r="T1181" i="8"/>
  <c r="T1182" i="8"/>
  <c r="T1183" i="8"/>
  <c r="T1184" i="8"/>
  <c r="T1185" i="8"/>
  <c r="T1186" i="8"/>
  <c r="T1187" i="8"/>
  <c r="T1188" i="8"/>
  <c r="T1189" i="8"/>
  <c r="T1190" i="8"/>
  <c r="T1191" i="8"/>
  <c r="T1192" i="8"/>
  <c r="T1193" i="8"/>
  <c r="T1194" i="8"/>
  <c r="T1195" i="8"/>
  <c r="T1196" i="8"/>
  <c r="T1197" i="8"/>
  <c r="T1198" i="8"/>
  <c r="T1199" i="8"/>
  <c r="T1200" i="8"/>
  <c r="T1201" i="8"/>
  <c r="T1202" i="8"/>
  <c r="T1203" i="8"/>
  <c r="T1204" i="8"/>
  <c r="T1205" i="8"/>
  <c r="T1206" i="8"/>
  <c r="T1207" i="8"/>
  <c r="T1208" i="8"/>
  <c r="T1209" i="8"/>
  <c r="T1210" i="8"/>
  <c r="T1211" i="8"/>
  <c r="T1212" i="8"/>
  <c r="T1213" i="8"/>
  <c r="T1214" i="8"/>
  <c r="T1215" i="8"/>
  <c r="T1216" i="8"/>
  <c r="T1217" i="8"/>
  <c r="T1218" i="8"/>
  <c r="T1219" i="8"/>
  <c r="T1220" i="8"/>
  <c r="T1221" i="8"/>
  <c r="T1222" i="8"/>
  <c r="T1223" i="8"/>
  <c r="T1224" i="8"/>
  <c r="T1225" i="8"/>
  <c r="T1226" i="8"/>
  <c r="T1227" i="8"/>
  <c r="T1228" i="8"/>
  <c r="T1229" i="8"/>
  <c r="T1230" i="8"/>
  <c r="T1231" i="8"/>
  <c r="T1232" i="8"/>
  <c r="T1233" i="8"/>
  <c r="T1234" i="8"/>
  <c r="T1235" i="8"/>
  <c r="T1236" i="8"/>
  <c r="T1237" i="8"/>
  <c r="T1238" i="8"/>
  <c r="T1239" i="8"/>
  <c r="T1240" i="8"/>
  <c r="T1241" i="8"/>
  <c r="T1242" i="8"/>
  <c r="T1243" i="8"/>
  <c r="T1244" i="8"/>
  <c r="T1245" i="8"/>
  <c r="T1246" i="8"/>
  <c r="T1247" i="8"/>
  <c r="T1248" i="8"/>
  <c r="T1249" i="8"/>
  <c r="T1250" i="8"/>
  <c r="T1251" i="8"/>
  <c r="T1252" i="8"/>
  <c r="T1253" i="8"/>
  <c r="T1254" i="8"/>
  <c r="T1255" i="8"/>
  <c r="T1256" i="8"/>
  <c r="T1257" i="8"/>
  <c r="T1258" i="8"/>
  <c r="T1259" i="8"/>
  <c r="T1260" i="8"/>
  <c r="T1261" i="8"/>
  <c r="T1262" i="8"/>
  <c r="T1263" i="8"/>
  <c r="T1264" i="8"/>
  <c r="T1265" i="8"/>
  <c r="T1266" i="8"/>
  <c r="T1267" i="8"/>
  <c r="T1268" i="8"/>
  <c r="T1269" i="8"/>
  <c r="T1270" i="8"/>
  <c r="T1271" i="8"/>
  <c r="T1272" i="8"/>
  <c r="T1273" i="8"/>
  <c r="T1274" i="8"/>
  <c r="T1275" i="8"/>
  <c r="T1276" i="8"/>
  <c r="T1277" i="8"/>
  <c r="T1278" i="8"/>
  <c r="T1279" i="8"/>
  <c r="T1280" i="8"/>
  <c r="T1281" i="8"/>
  <c r="T1282" i="8"/>
  <c r="T1283" i="8"/>
  <c r="T1284" i="8"/>
  <c r="T1285" i="8"/>
  <c r="T1286" i="8"/>
  <c r="T1287" i="8"/>
  <c r="T1288" i="8"/>
  <c r="T1289" i="8"/>
  <c r="T1290" i="8"/>
  <c r="T1291" i="8"/>
  <c r="T1292" i="8"/>
  <c r="T1293" i="8"/>
  <c r="T1294" i="8"/>
  <c r="T1295" i="8"/>
  <c r="T1296" i="8"/>
  <c r="T1297" i="8"/>
  <c r="T1298" i="8"/>
  <c r="T1299" i="8"/>
  <c r="T1300" i="8"/>
  <c r="T1301" i="8"/>
  <c r="T1302" i="8"/>
  <c r="T1303" i="8"/>
  <c r="T1304" i="8"/>
  <c r="T1305" i="8"/>
  <c r="T1306" i="8"/>
  <c r="T1307" i="8"/>
  <c r="T1308" i="8"/>
  <c r="T1309" i="8"/>
  <c r="T1310" i="8"/>
  <c r="T1311" i="8"/>
  <c r="T1312" i="8"/>
  <c r="T1313" i="8"/>
  <c r="T1314" i="8"/>
  <c r="T1315" i="8"/>
  <c r="T1316" i="8"/>
  <c r="T1317" i="8"/>
  <c r="T1318" i="8"/>
  <c r="T1319" i="8"/>
  <c r="T1320" i="8"/>
  <c r="T1321" i="8"/>
  <c r="T1322" i="8"/>
  <c r="T1323" i="8"/>
  <c r="T1324" i="8"/>
  <c r="T1325" i="8"/>
  <c r="T1326" i="8"/>
  <c r="T1327" i="8"/>
  <c r="T1328" i="8"/>
  <c r="T1329" i="8"/>
  <c r="T1330" i="8"/>
  <c r="T1331" i="8"/>
  <c r="T1332" i="8"/>
  <c r="T1333" i="8"/>
  <c r="T1334" i="8"/>
  <c r="T1335" i="8"/>
  <c r="T1336" i="8"/>
  <c r="T1337" i="8"/>
  <c r="T1338" i="8"/>
  <c r="T1339" i="8"/>
  <c r="T1340" i="8"/>
  <c r="T1341" i="8"/>
  <c r="T1342" i="8"/>
  <c r="T1343" i="8"/>
  <c r="T1344" i="8"/>
  <c r="T1345" i="8"/>
  <c r="T1346" i="8"/>
  <c r="T1347" i="8"/>
  <c r="T1348" i="8"/>
  <c r="T1349" i="8"/>
  <c r="T1350" i="8"/>
  <c r="T1351" i="8"/>
  <c r="T1352" i="8"/>
  <c r="T1353" i="8"/>
  <c r="T1354" i="8"/>
  <c r="T1355" i="8"/>
  <c r="T1356" i="8"/>
  <c r="T1357" i="8"/>
  <c r="T1358" i="8"/>
  <c r="T1359" i="8"/>
  <c r="T1360" i="8"/>
  <c r="T1361" i="8"/>
  <c r="T1362" i="8"/>
  <c r="T1363" i="8"/>
  <c r="T1364" i="8"/>
  <c r="T1365" i="8"/>
  <c r="T1366" i="8"/>
  <c r="T1367" i="8"/>
  <c r="T1368" i="8"/>
  <c r="T1369" i="8"/>
  <c r="T1370" i="8"/>
  <c r="T1371" i="8"/>
  <c r="T1372" i="8"/>
  <c r="T1373" i="8"/>
  <c r="T1374" i="8"/>
  <c r="T1375" i="8"/>
  <c r="T1376" i="8"/>
  <c r="T1377" i="8"/>
  <c r="T1378" i="8"/>
  <c r="T1379" i="8"/>
  <c r="T1380" i="8"/>
  <c r="T1381" i="8"/>
  <c r="T1382" i="8"/>
  <c r="T1383" i="8"/>
  <c r="T1384" i="8"/>
  <c r="T1385" i="8"/>
  <c r="T1386" i="8"/>
  <c r="T1387" i="8"/>
  <c r="T1388" i="8"/>
  <c r="T1389" i="8"/>
  <c r="T1390" i="8"/>
  <c r="T1391" i="8"/>
  <c r="T1392" i="8"/>
  <c r="T1393" i="8"/>
  <c r="T1394" i="8"/>
  <c r="T1395" i="8"/>
  <c r="T1396" i="8"/>
  <c r="T1397" i="8"/>
  <c r="T1398" i="8"/>
  <c r="T1399" i="8"/>
  <c r="T1400" i="8"/>
  <c r="T1401" i="8"/>
  <c r="T1402" i="8"/>
  <c r="T1403" i="8"/>
  <c r="T1404" i="8"/>
  <c r="T1405" i="8"/>
  <c r="T1406" i="8"/>
  <c r="T1407" i="8"/>
  <c r="T1408" i="8"/>
  <c r="T1409" i="8"/>
  <c r="T1410" i="8"/>
  <c r="T1411" i="8"/>
  <c r="T1412" i="8"/>
  <c r="T1413" i="8"/>
  <c r="T1414" i="8"/>
  <c r="T1415" i="8"/>
  <c r="T1416" i="8"/>
  <c r="T1417" i="8"/>
  <c r="T1418" i="8"/>
  <c r="T1419" i="8"/>
  <c r="T1420" i="8"/>
  <c r="T1421" i="8"/>
  <c r="T1422" i="8"/>
  <c r="T1423" i="8"/>
  <c r="T1424" i="8"/>
  <c r="T1425" i="8"/>
  <c r="T1426" i="8"/>
  <c r="T1427" i="8"/>
  <c r="T1428" i="8"/>
  <c r="T1429" i="8"/>
  <c r="T1430" i="8"/>
  <c r="T1431" i="8"/>
  <c r="T1432" i="8"/>
  <c r="T1433" i="8"/>
  <c r="T1434" i="8"/>
  <c r="T1435" i="8"/>
  <c r="T1436" i="8"/>
  <c r="T1437" i="8"/>
  <c r="T1438" i="8"/>
  <c r="T1439" i="8"/>
  <c r="T1440" i="8"/>
  <c r="T1441" i="8"/>
  <c r="T1442" i="8"/>
  <c r="T1443" i="8"/>
  <c r="T1444" i="8"/>
  <c r="T1445" i="8"/>
  <c r="T1446" i="8"/>
  <c r="T1447" i="8"/>
  <c r="T1448" i="8"/>
  <c r="T1449" i="8"/>
  <c r="T1450" i="8"/>
  <c r="T1451" i="8"/>
  <c r="T1452" i="8"/>
  <c r="T1453" i="8"/>
  <c r="T1454" i="8"/>
  <c r="T1455" i="8"/>
  <c r="T1456" i="8"/>
  <c r="T1457" i="8"/>
  <c r="T1458" i="8"/>
  <c r="T1459" i="8"/>
  <c r="T1460" i="8"/>
  <c r="T1461" i="8"/>
  <c r="T1462" i="8"/>
  <c r="T1463" i="8"/>
  <c r="T1464" i="8"/>
  <c r="T1465" i="8"/>
  <c r="T1466" i="8"/>
  <c r="T1467" i="8"/>
  <c r="T1468" i="8"/>
  <c r="T1469" i="8"/>
  <c r="T1470" i="8"/>
  <c r="T1471" i="8"/>
  <c r="T1472" i="8"/>
  <c r="T1473" i="8"/>
  <c r="T1474" i="8"/>
  <c r="T1475" i="8"/>
  <c r="T1476" i="8"/>
  <c r="T1477" i="8"/>
  <c r="T1478" i="8"/>
  <c r="T1479" i="8"/>
  <c r="T1480" i="8"/>
  <c r="T1481" i="8"/>
  <c r="T1482" i="8"/>
  <c r="T1483" i="8"/>
  <c r="T1484" i="8"/>
  <c r="T1485" i="8"/>
  <c r="T1486" i="8"/>
  <c r="T1487" i="8"/>
  <c r="T1488" i="8"/>
  <c r="T1489" i="8"/>
  <c r="T1490" i="8"/>
  <c r="T1491" i="8"/>
  <c r="T1492" i="8"/>
  <c r="T1493" i="8"/>
  <c r="T1494" i="8"/>
  <c r="T1495" i="8"/>
  <c r="T1496" i="8"/>
  <c r="T1497" i="8"/>
  <c r="T1498" i="8"/>
  <c r="T1499" i="8"/>
  <c r="T1500" i="8"/>
  <c r="T1501" i="8"/>
  <c r="T1502" i="8"/>
  <c r="T1503" i="8"/>
  <c r="T1504" i="8"/>
  <c r="T1505" i="8"/>
  <c r="T1506" i="8"/>
  <c r="T1507" i="8"/>
  <c r="T1508" i="8"/>
  <c r="T1509" i="8"/>
  <c r="T1510" i="8"/>
  <c r="T1511" i="8"/>
  <c r="T1512" i="8"/>
  <c r="T1513" i="8"/>
  <c r="T1514" i="8"/>
  <c r="T1515" i="8"/>
  <c r="T1516" i="8"/>
  <c r="T1517" i="8"/>
  <c r="T1518" i="8"/>
  <c r="T1519" i="8"/>
  <c r="T1520" i="8"/>
  <c r="T1521" i="8"/>
  <c r="T1522" i="8"/>
  <c r="T1523" i="8"/>
  <c r="T1524" i="8"/>
  <c r="T1525" i="8"/>
  <c r="T1526" i="8"/>
  <c r="T1527" i="8"/>
  <c r="T1528" i="8"/>
  <c r="T1529" i="8"/>
  <c r="T1530" i="8"/>
  <c r="T1531" i="8"/>
  <c r="T1532" i="8"/>
  <c r="T1533" i="8"/>
  <c r="T1534" i="8"/>
  <c r="T1535" i="8"/>
  <c r="T1536" i="8"/>
  <c r="T1537" i="8"/>
  <c r="T1538" i="8"/>
  <c r="T1539" i="8"/>
  <c r="T1540" i="8"/>
  <c r="T1541" i="8"/>
  <c r="T1542" i="8"/>
  <c r="T1543" i="8"/>
  <c r="T1544" i="8"/>
  <c r="T1545" i="8"/>
  <c r="T1546" i="8"/>
  <c r="T1547" i="8"/>
  <c r="T1548" i="8"/>
  <c r="T1549" i="8"/>
  <c r="T1550" i="8"/>
  <c r="T1551" i="8"/>
  <c r="T1552" i="8"/>
  <c r="T1553" i="8"/>
  <c r="T1554" i="8"/>
  <c r="T1555" i="8"/>
  <c r="T1556" i="8"/>
  <c r="T1557" i="8"/>
  <c r="T1558" i="8"/>
  <c r="T1559" i="8"/>
  <c r="T1560" i="8"/>
  <c r="T1561" i="8"/>
  <c r="T1562" i="8"/>
  <c r="T1563" i="8"/>
  <c r="T1564" i="8"/>
  <c r="T1565" i="8"/>
  <c r="T1566" i="8"/>
  <c r="T1567" i="8"/>
  <c r="T1568" i="8"/>
  <c r="T1569" i="8"/>
  <c r="T1570" i="8"/>
  <c r="T1571" i="8"/>
  <c r="T1572" i="8"/>
  <c r="T1573" i="8"/>
  <c r="T1574" i="8"/>
  <c r="T1575" i="8"/>
  <c r="T1576" i="8"/>
  <c r="T1577" i="8"/>
  <c r="T1578" i="8"/>
  <c r="T1579" i="8"/>
  <c r="T1580" i="8"/>
  <c r="T1581" i="8"/>
  <c r="T1582" i="8"/>
  <c r="T1583" i="8"/>
  <c r="T1584" i="8"/>
  <c r="T1585" i="8"/>
  <c r="T1586" i="8"/>
  <c r="T1587" i="8"/>
  <c r="T1588" i="8"/>
  <c r="T1589" i="8"/>
  <c r="T1590" i="8"/>
  <c r="T1591" i="8"/>
  <c r="T1592" i="8"/>
  <c r="T1593" i="8"/>
  <c r="T1594" i="8"/>
  <c r="T1595" i="8"/>
  <c r="T1596" i="8"/>
  <c r="T1597" i="8"/>
  <c r="T1598" i="8"/>
  <c r="T1599" i="8"/>
  <c r="T1600" i="8"/>
  <c r="T1601" i="8"/>
  <c r="T1602" i="8"/>
  <c r="T1603" i="8"/>
  <c r="T1604" i="8"/>
  <c r="T1605" i="8"/>
  <c r="T1606" i="8"/>
  <c r="T1607" i="8"/>
  <c r="T1608" i="8"/>
  <c r="T1609" i="8"/>
  <c r="T1610" i="8"/>
  <c r="T1611" i="8"/>
  <c r="T1612" i="8"/>
  <c r="T1613" i="8"/>
  <c r="T1614" i="8"/>
  <c r="T1615" i="8"/>
  <c r="T1616" i="8"/>
  <c r="T1617" i="8"/>
  <c r="T1618" i="8"/>
  <c r="T1619" i="8"/>
  <c r="T1620" i="8"/>
  <c r="T1621" i="8"/>
  <c r="T1622" i="8"/>
  <c r="T1623" i="8"/>
  <c r="T1624" i="8"/>
  <c r="T1625" i="8"/>
  <c r="T1626" i="8"/>
  <c r="T1627" i="8"/>
  <c r="T1628" i="8"/>
  <c r="T1629" i="8"/>
  <c r="T1630" i="8"/>
  <c r="T1631" i="8"/>
  <c r="T1632" i="8"/>
  <c r="T1633" i="8"/>
  <c r="T1634" i="8"/>
  <c r="T1635" i="8"/>
  <c r="T1636" i="8"/>
  <c r="T1637" i="8"/>
  <c r="T1638" i="8"/>
  <c r="T1639" i="8"/>
  <c r="T1640" i="8"/>
  <c r="T1641" i="8"/>
  <c r="T1642" i="8"/>
  <c r="T1643" i="8"/>
  <c r="T1644" i="8"/>
  <c r="T1645" i="8"/>
  <c r="T1646" i="8"/>
  <c r="T1647" i="8"/>
  <c r="T1648" i="8"/>
  <c r="T1649" i="8"/>
  <c r="T1650" i="8"/>
  <c r="T1651" i="8"/>
  <c r="T1652" i="8"/>
  <c r="T1653" i="8"/>
  <c r="T1654" i="8"/>
  <c r="T1655" i="8"/>
  <c r="T1656" i="8"/>
  <c r="T1657" i="8"/>
  <c r="T1658" i="8"/>
  <c r="T1659" i="8"/>
  <c r="T1660" i="8"/>
  <c r="T1661" i="8"/>
  <c r="T1662" i="8"/>
  <c r="T1663" i="8"/>
  <c r="T1664" i="8"/>
  <c r="T1665" i="8"/>
  <c r="T1666" i="8"/>
  <c r="T1667" i="8"/>
  <c r="T1668" i="8"/>
  <c r="T1669" i="8"/>
  <c r="T1670" i="8"/>
  <c r="T1671" i="8"/>
  <c r="T1672" i="8"/>
  <c r="T1673" i="8"/>
  <c r="T1674" i="8"/>
  <c r="T1675" i="8"/>
  <c r="T1676" i="8"/>
  <c r="T1677" i="8"/>
  <c r="T1678" i="8"/>
  <c r="T1679" i="8"/>
  <c r="T1680" i="8"/>
  <c r="T1681" i="8"/>
  <c r="T1682" i="8"/>
  <c r="T1683" i="8"/>
  <c r="T1684" i="8"/>
  <c r="T1685" i="8"/>
  <c r="T1686" i="8"/>
  <c r="T1687" i="8"/>
  <c r="T1688" i="8"/>
  <c r="T1689" i="8"/>
  <c r="T1690" i="8"/>
  <c r="T1691" i="8"/>
  <c r="T1692" i="8"/>
  <c r="T1693" i="8"/>
  <c r="T1694" i="8"/>
  <c r="T1695" i="8"/>
  <c r="T1696" i="8"/>
  <c r="T1697" i="8"/>
  <c r="T1698" i="8"/>
  <c r="T1699" i="8"/>
  <c r="T1700" i="8"/>
  <c r="T1701" i="8"/>
  <c r="T1702" i="8"/>
  <c r="T1703" i="8"/>
  <c r="T1704" i="8"/>
  <c r="T1705" i="8"/>
  <c r="T1706" i="8"/>
  <c r="T1707" i="8"/>
  <c r="T1708" i="8"/>
  <c r="T1709" i="8"/>
  <c r="T1710" i="8"/>
  <c r="T1711" i="8"/>
  <c r="T1712" i="8"/>
  <c r="T1713" i="8"/>
  <c r="T1714" i="8"/>
  <c r="T1715" i="8"/>
  <c r="T1716" i="8"/>
  <c r="T1717" i="8"/>
  <c r="T1718" i="8"/>
  <c r="T1719" i="8"/>
  <c r="T1720" i="8"/>
  <c r="T1721" i="8"/>
  <c r="T1722" i="8"/>
  <c r="T1723" i="8"/>
  <c r="T1724" i="8"/>
  <c r="T1725" i="8"/>
  <c r="T1726" i="8"/>
  <c r="T1727" i="8"/>
  <c r="T1728" i="8"/>
  <c r="T1729" i="8"/>
  <c r="T1730" i="8"/>
  <c r="T1731" i="8"/>
  <c r="T1732" i="8"/>
  <c r="T1733" i="8"/>
  <c r="T1734" i="8"/>
  <c r="T1735" i="8"/>
  <c r="T1736" i="8"/>
  <c r="T1737" i="8"/>
  <c r="T1738" i="8"/>
  <c r="T1739" i="8"/>
  <c r="T1740" i="8"/>
  <c r="T1741" i="8"/>
  <c r="T1742" i="8"/>
  <c r="T1743" i="8"/>
  <c r="T1744" i="8"/>
  <c r="T1745" i="8"/>
  <c r="T1746" i="8"/>
  <c r="T1747" i="8"/>
  <c r="T1748" i="8"/>
  <c r="T1749" i="8"/>
  <c r="T1750" i="8"/>
  <c r="T1751" i="8"/>
  <c r="T1752" i="8"/>
  <c r="T1753" i="8"/>
  <c r="T1754" i="8"/>
  <c r="T1755" i="8"/>
  <c r="T1756" i="8"/>
  <c r="T1757" i="8"/>
  <c r="T1758" i="8"/>
  <c r="T1759" i="8"/>
  <c r="T1760" i="8"/>
  <c r="T1761" i="8"/>
  <c r="T1762" i="8"/>
  <c r="T1763" i="8"/>
  <c r="T1764" i="8"/>
  <c r="T1765" i="8"/>
  <c r="T1766" i="8"/>
  <c r="T1767" i="8"/>
  <c r="T1768" i="8"/>
  <c r="T1769" i="8"/>
  <c r="T1770" i="8"/>
  <c r="T1771" i="8"/>
  <c r="T1772" i="8"/>
  <c r="T1773" i="8"/>
  <c r="T1774" i="8"/>
  <c r="T1775" i="8"/>
  <c r="T1776" i="8"/>
  <c r="T1777" i="8"/>
  <c r="T1778" i="8"/>
  <c r="T1779" i="8"/>
  <c r="T1780" i="8"/>
  <c r="T1781" i="8"/>
  <c r="T1782" i="8"/>
  <c r="T1783" i="8"/>
  <c r="T1784" i="8"/>
  <c r="T1785" i="8"/>
  <c r="T1786" i="8"/>
  <c r="T1787" i="8"/>
  <c r="T1788" i="8"/>
  <c r="T1789" i="8"/>
  <c r="T1790" i="8"/>
  <c r="T1791" i="8"/>
  <c r="T1792" i="8"/>
  <c r="T1793" i="8"/>
  <c r="T1794" i="8"/>
  <c r="T1795" i="8"/>
  <c r="T1796" i="8"/>
  <c r="T1797" i="8"/>
  <c r="T1798" i="8"/>
  <c r="T1799" i="8"/>
  <c r="T1800" i="8"/>
  <c r="T1801" i="8"/>
  <c r="T1802" i="8"/>
  <c r="T1803" i="8"/>
  <c r="T1804" i="8"/>
  <c r="T1805" i="8"/>
  <c r="T1806" i="8"/>
  <c r="T1807" i="8"/>
  <c r="T1808" i="8"/>
  <c r="T1809" i="8"/>
  <c r="T1810" i="8"/>
  <c r="T1811" i="8"/>
  <c r="T1812" i="8"/>
  <c r="T1813" i="8"/>
  <c r="T1814" i="8"/>
  <c r="T1815" i="8"/>
  <c r="T1816" i="8"/>
  <c r="T1817" i="8"/>
  <c r="T1818" i="8"/>
  <c r="T1819" i="8"/>
  <c r="T1820" i="8"/>
  <c r="T1821" i="8"/>
  <c r="T1822" i="8"/>
  <c r="T1823" i="8"/>
  <c r="T1824" i="8"/>
  <c r="T1825" i="8"/>
  <c r="T1826" i="8"/>
  <c r="T1827" i="8"/>
  <c r="T1828" i="8"/>
  <c r="T1829" i="8"/>
  <c r="T1830" i="8"/>
  <c r="T1831" i="8"/>
  <c r="T1832" i="8"/>
  <c r="T1833" i="8"/>
  <c r="T1834" i="8"/>
  <c r="T1835" i="8"/>
  <c r="T1836" i="8"/>
  <c r="T1837" i="8"/>
  <c r="T1838" i="8"/>
  <c r="T1839" i="8"/>
  <c r="T1840" i="8"/>
  <c r="T1841" i="8"/>
  <c r="T1842" i="8"/>
  <c r="T1843" i="8"/>
  <c r="T1844" i="8"/>
  <c r="T1845" i="8"/>
  <c r="T1846" i="8"/>
  <c r="T1847" i="8"/>
  <c r="T1848" i="8"/>
  <c r="T1849" i="8"/>
  <c r="T1850" i="8"/>
  <c r="T1851" i="8"/>
  <c r="T1852" i="8"/>
  <c r="T1853" i="8"/>
  <c r="T1854" i="8"/>
  <c r="T1855" i="8"/>
  <c r="T1856" i="8"/>
  <c r="T1857" i="8"/>
  <c r="T1858" i="8"/>
  <c r="T1859" i="8"/>
  <c r="T1860" i="8"/>
  <c r="T1861" i="8"/>
  <c r="T1862" i="8"/>
  <c r="T1863" i="8"/>
  <c r="T1864" i="8"/>
  <c r="T1865" i="8"/>
  <c r="T1866" i="8"/>
  <c r="T1867" i="8"/>
  <c r="T1868" i="8"/>
  <c r="T1869" i="8"/>
  <c r="T1870" i="8"/>
  <c r="T1871" i="8"/>
  <c r="T1872" i="8"/>
  <c r="T1873" i="8"/>
  <c r="T1874" i="8"/>
  <c r="T1875" i="8"/>
  <c r="T1876" i="8"/>
  <c r="T1877" i="8"/>
  <c r="T1878" i="8"/>
  <c r="T1879" i="8"/>
  <c r="T1880" i="8"/>
  <c r="T1881" i="8"/>
  <c r="T1882" i="8"/>
  <c r="T1883" i="8"/>
  <c r="T1884" i="8"/>
  <c r="T1885" i="8"/>
  <c r="T1886" i="8"/>
  <c r="T1887" i="8"/>
  <c r="T1888" i="8"/>
  <c r="T1889" i="8"/>
  <c r="T1890" i="8"/>
  <c r="T1891" i="8"/>
  <c r="T1892" i="8"/>
  <c r="T1893" i="8"/>
  <c r="T1894" i="8"/>
  <c r="T1895" i="8"/>
  <c r="T1896" i="8"/>
  <c r="T1897" i="8"/>
  <c r="T1898" i="8"/>
  <c r="T1899" i="8"/>
  <c r="T1900" i="8"/>
  <c r="T1901" i="8"/>
  <c r="T1902" i="8"/>
  <c r="T1903" i="8"/>
  <c r="T1904" i="8"/>
  <c r="T1905" i="8"/>
  <c r="T1906" i="8"/>
  <c r="T1907" i="8"/>
  <c r="T1908" i="8"/>
  <c r="T1909" i="8"/>
  <c r="T1910" i="8"/>
  <c r="T1911" i="8"/>
  <c r="T1912" i="8"/>
  <c r="T1913" i="8"/>
  <c r="T1914" i="8"/>
  <c r="T1915" i="8"/>
  <c r="T1916" i="8"/>
  <c r="T1917" i="8"/>
  <c r="T1918" i="8"/>
  <c r="T1919" i="8"/>
  <c r="T1920" i="8"/>
  <c r="T1921" i="8"/>
  <c r="T1922" i="8"/>
  <c r="T1923" i="8"/>
  <c r="T1924" i="8"/>
  <c r="T1925" i="8"/>
  <c r="T1926" i="8"/>
  <c r="T1927" i="8"/>
  <c r="T1928" i="8"/>
  <c r="T1929" i="8"/>
  <c r="T1930" i="8"/>
  <c r="T1931" i="8"/>
  <c r="T1932" i="8"/>
  <c r="T1933" i="8"/>
  <c r="T1934" i="8"/>
  <c r="T1935" i="8"/>
  <c r="T1936" i="8"/>
  <c r="T1937" i="8"/>
  <c r="T1938" i="8"/>
  <c r="T1939" i="8"/>
  <c r="T1940" i="8"/>
  <c r="T1941" i="8"/>
  <c r="T1942" i="8"/>
  <c r="T1943" i="8"/>
  <c r="T1944" i="8"/>
  <c r="T1945" i="8"/>
  <c r="T1946" i="8"/>
  <c r="T1947" i="8"/>
  <c r="T1948" i="8"/>
  <c r="T1949" i="8"/>
  <c r="T1950" i="8"/>
  <c r="T1951" i="8"/>
  <c r="T1952" i="8"/>
  <c r="T1953" i="8"/>
  <c r="T1954" i="8"/>
  <c r="T1955" i="8"/>
  <c r="T1956" i="8"/>
  <c r="T1957" i="8"/>
  <c r="T1958" i="8"/>
  <c r="T1959" i="8"/>
  <c r="T1960" i="8"/>
  <c r="T1961" i="8"/>
  <c r="T1962" i="8"/>
  <c r="T1963" i="8"/>
  <c r="T1964" i="8"/>
  <c r="T1965" i="8"/>
  <c r="T1966" i="8"/>
  <c r="T1967" i="8"/>
  <c r="T1968" i="8"/>
  <c r="T1969" i="8"/>
  <c r="T1970" i="8"/>
  <c r="T1971" i="8"/>
  <c r="T1972" i="8"/>
  <c r="T1973" i="8"/>
  <c r="T1974" i="8"/>
  <c r="T1975" i="8"/>
  <c r="T1976" i="8"/>
  <c r="T1977" i="8"/>
  <c r="T1978" i="8"/>
  <c r="T1979" i="8"/>
  <c r="T1980" i="8"/>
  <c r="T1981" i="8"/>
  <c r="T1982" i="8"/>
  <c r="T1983" i="8"/>
  <c r="T1984" i="8"/>
  <c r="T1985" i="8"/>
  <c r="T1986" i="8"/>
  <c r="T1987" i="8"/>
  <c r="T1988" i="8"/>
  <c r="T1989" i="8"/>
  <c r="T1990" i="8"/>
  <c r="T1991" i="8"/>
  <c r="T1992" i="8"/>
  <c r="T1993" i="8"/>
  <c r="T1994" i="8"/>
  <c r="T1995" i="8"/>
  <c r="T1996" i="8"/>
  <c r="T1997" i="8"/>
  <c r="T1998" i="8"/>
  <c r="T1999" i="8"/>
  <c r="T2000" i="8"/>
  <c r="T2001" i="8"/>
  <c r="T2002" i="8"/>
  <c r="T2003" i="8"/>
  <c r="T2004" i="8"/>
  <c r="T2005" i="8"/>
  <c r="T2006" i="8"/>
  <c r="T2007" i="8"/>
  <c r="T2008" i="8"/>
  <c r="T2009" i="8"/>
  <c r="T2010" i="8"/>
  <c r="T2011" i="8"/>
  <c r="T2012" i="8"/>
  <c r="T2013" i="8"/>
  <c r="T2014" i="8"/>
  <c r="T2015" i="8"/>
  <c r="T2016" i="8"/>
  <c r="T2017" i="8"/>
  <c r="T2018" i="8"/>
  <c r="T2019" i="8"/>
  <c r="T2020" i="8"/>
  <c r="T2021" i="8"/>
  <c r="T2022" i="8"/>
  <c r="T2023" i="8"/>
  <c r="T2024" i="8"/>
  <c r="T2025" i="8"/>
  <c r="T2026" i="8"/>
  <c r="T2027" i="8"/>
  <c r="T2028" i="8"/>
  <c r="T2029" i="8"/>
  <c r="T2030" i="8"/>
  <c r="T2031" i="8"/>
  <c r="T2032" i="8"/>
  <c r="T2033" i="8"/>
  <c r="T2034" i="8"/>
  <c r="T2035" i="8"/>
  <c r="T2036" i="8"/>
  <c r="T2037" i="8"/>
  <c r="T2038" i="8"/>
  <c r="T2039" i="8"/>
  <c r="T2040" i="8"/>
  <c r="T2041" i="8"/>
  <c r="T2042" i="8"/>
  <c r="T2043" i="8"/>
  <c r="T2044" i="8"/>
  <c r="T2045" i="8"/>
  <c r="T2046" i="8"/>
  <c r="T2047" i="8"/>
  <c r="T2048" i="8"/>
  <c r="T2049" i="8"/>
  <c r="T2050" i="8"/>
  <c r="T2051" i="8"/>
  <c r="T2052" i="8"/>
  <c r="T2053" i="8"/>
  <c r="T2054" i="8"/>
  <c r="T2055" i="8"/>
  <c r="T2056" i="8"/>
  <c r="T2057" i="8"/>
  <c r="T2058" i="8"/>
  <c r="T2059" i="8"/>
  <c r="T2060" i="8"/>
  <c r="T2061" i="8"/>
  <c r="T2062" i="8"/>
  <c r="T2063" i="8"/>
  <c r="T2064" i="8"/>
  <c r="T2065" i="8"/>
  <c r="T2066" i="8"/>
  <c r="T2067" i="8"/>
  <c r="T2068" i="8"/>
  <c r="T2069" i="8"/>
  <c r="T2070" i="8"/>
  <c r="T2071" i="8"/>
  <c r="T2072" i="8"/>
  <c r="T2073" i="8"/>
  <c r="T2074" i="8"/>
  <c r="T2075" i="8"/>
  <c r="T2076" i="8"/>
  <c r="T2077" i="8"/>
  <c r="T2078" i="8"/>
  <c r="T2079" i="8"/>
  <c r="T2080" i="8"/>
  <c r="T2081" i="8"/>
  <c r="T2082" i="8"/>
  <c r="T2083" i="8"/>
  <c r="T2084" i="8"/>
  <c r="T2085" i="8"/>
  <c r="T2086" i="8"/>
  <c r="T2087" i="8"/>
  <c r="T2088" i="8"/>
  <c r="T2089" i="8"/>
  <c r="T2090" i="8"/>
  <c r="T2091" i="8"/>
  <c r="T2092" i="8"/>
  <c r="T2093" i="8"/>
  <c r="T2094" i="8"/>
  <c r="T2095" i="8"/>
  <c r="T2096" i="8"/>
  <c r="T2097" i="8"/>
  <c r="T2098" i="8"/>
  <c r="T2099" i="8"/>
  <c r="T2100" i="8"/>
  <c r="T2101" i="8"/>
  <c r="T2102" i="8"/>
  <c r="T2103" i="8"/>
  <c r="T2104" i="8"/>
  <c r="T2105" i="8"/>
  <c r="T2106" i="8"/>
  <c r="T2107" i="8"/>
  <c r="T2108" i="8"/>
  <c r="T2109" i="8"/>
  <c r="T2110" i="8"/>
  <c r="T2111" i="8"/>
  <c r="T2112" i="8"/>
  <c r="T2113" i="8"/>
  <c r="T2114" i="8"/>
  <c r="T2115" i="8"/>
  <c r="T2116" i="8"/>
  <c r="T2117" i="8"/>
  <c r="T2118" i="8"/>
  <c r="T2119" i="8"/>
  <c r="T2120" i="8"/>
  <c r="T2121" i="8"/>
  <c r="T2122" i="8"/>
  <c r="T2123" i="8"/>
  <c r="T2124" i="8"/>
  <c r="T2125" i="8"/>
  <c r="T2126" i="8"/>
  <c r="T2127" i="8"/>
  <c r="T2128" i="8"/>
  <c r="T2129" i="8"/>
  <c r="T2130" i="8"/>
  <c r="T2131" i="8"/>
  <c r="T2132" i="8"/>
  <c r="T2133" i="8"/>
  <c r="T2134" i="8"/>
  <c r="T2135" i="8"/>
  <c r="T2136" i="8"/>
  <c r="T2137" i="8"/>
  <c r="T2138" i="8"/>
  <c r="T2139" i="8"/>
  <c r="T2140" i="8"/>
  <c r="T2141" i="8"/>
  <c r="T2142" i="8"/>
  <c r="T2143" i="8"/>
  <c r="T2144" i="8"/>
  <c r="T2145" i="8"/>
  <c r="T2146" i="8"/>
  <c r="T2147" i="8"/>
  <c r="T2148" i="8"/>
  <c r="T2149" i="8"/>
  <c r="T2150" i="8"/>
  <c r="T2151" i="8"/>
  <c r="T2152" i="8"/>
  <c r="T2153" i="8"/>
  <c r="T2154" i="8"/>
  <c r="T2155" i="8"/>
  <c r="T2156" i="8"/>
  <c r="T2157" i="8"/>
  <c r="T2158" i="8"/>
  <c r="T2159" i="8"/>
  <c r="T2160" i="8"/>
  <c r="T2161" i="8"/>
  <c r="T2162" i="8"/>
  <c r="T2163" i="8"/>
  <c r="T2164" i="8"/>
  <c r="T2165" i="8"/>
  <c r="T2166" i="8"/>
  <c r="T2167" i="8"/>
  <c r="T2168" i="8"/>
  <c r="T2169" i="8"/>
  <c r="T2170" i="8"/>
  <c r="T2171" i="8"/>
  <c r="T2172" i="8"/>
  <c r="T2173" i="8"/>
  <c r="T2174" i="8"/>
  <c r="T2175" i="8"/>
  <c r="T2176" i="8"/>
  <c r="T2177" i="8"/>
  <c r="T2178" i="8"/>
  <c r="T2179" i="8"/>
  <c r="T2180" i="8"/>
  <c r="T2181" i="8"/>
  <c r="T2182" i="8"/>
  <c r="T2183" i="8"/>
  <c r="T2184" i="8"/>
  <c r="T2185" i="8"/>
  <c r="T2186" i="8"/>
  <c r="T2187" i="8"/>
  <c r="T2188" i="8"/>
  <c r="T2189" i="8"/>
  <c r="T2190" i="8"/>
  <c r="T2191" i="8"/>
  <c r="T2192" i="8"/>
  <c r="T2193" i="8"/>
  <c r="T2194" i="8"/>
  <c r="T2195" i="8"/>
  <c r="T2196" i="8"/>
  <c r="T2197" i="8"/>
  <c r="T2198" i="8"/>
  <c r="T2199" i="8"/>
  <c r="T2200" i="8"/>
  <c r="T2201" i="8"/>
  <c r="T2202" i="8"/>
  <c r="T2203" i="8"/>
  <c r="T2204" i="8"/>
  <c r="T2205" i="8"/>
  <c r="T2206" i="8"/>
  <c r="T2207" i="8"/>
  <c r="T2208" i="8"/>
  <c r="T2209" i="8"/>
  <c r="T2210" i="8"/>
  <c r="T2211" i="8"/>
  <c r="T2212" i="8"/>
  <c r="T2213" i="8"/>
  <c r="T2214" i="8"/>
  <c r="T2215" i="8"/>
  <c r="T2216" i="8"/>
  <c r="T2217" i="8"/>
  <c r="T2218" i="8"/>
  <c r="T2219" i="8"/>
  <c r="T2220" i="8"/>
  <c r="T2221" i="8"/>
  <c r="T2222" i="8"/>
  <c r="T2223" i="8"/>
  <c r="T2224" i="8"/>
  <c r="T2225" i="8"/>
  <c r="T2226" i="8"/>
  <c r="T2227" i="8"/>
  <c r="T2228" i="8"/>
  <c r="T2229" i="8"/>
  <c r="T2230" i="8"/>
  <c r="T2231" i="8"/>
  <c r="T2232" i="8"/>
  <c r="T2233" i="8"/>
  <c r="T2234" i="8"/>
  <c r="T2235" i="8"/>
  <c r="T2236" i="8"/>
  <c r="T2237" i="8"/>
  <c r="T2238" i="8"/>
  <c r="T2239" i="8"/>
  <c r="T2240" i="8"/>
  <c r="T2241" i="8"/>
  <c r="T2242" i="8"/>
  <c r="T2243" i="8"/>
  <c r="T2244" i="8"/>
  <c r="T2245" i="8"/>
  <c r="T2246" i="8"/>
  <c r="T2247" i="8"/>
  <c r="T2248" i="8"/>
  <c r="T2249" i="8"/>
  <c r="T2250" i="8"/>
  <c r="T2251" i="8"/>
  <c r="T2252" i="8"/>
  <c r="T2253" i="8"/>
  <c r="T2254" i="8"/>
  <c r="T2255" i="8"/>
  <c r="T2256" i="8"/>
  <c r="T2257" i="8"/>
  <c r="T2258" i="8"/>
  <c r="T2259" i="8"/>
  <c r="T2260" i="8"/>
  <c r="T2261" i="8"/>
  <c r="T2262" i="8"/>
  <c r="T2263" i="8"/>
  <c r="T2264" i="8"/>
  <c r="T2265" i="8"/>
  <c r="T2266" i="8"/>
  <c r="T2267" i="8"/>
  <c r="T2268" i="8"/>
  <c r="T2269" i="8"/>
  <c r="T2270" i="8"/>
  <c r="T2271" i="8"/>
  <c r="T2272" i="8"/>
  <c r="T2273" i="8"/>
  <c r="T2274" i="8"/>
  <c r="T2275" i="8"/>
  <c r="T2276" i="8"/>
  <c r="T2277" i="8"/>
  <c r="T2278" i="8"/>
  <c r="T2279" i="8"/>
  <c r="T2280" i="8"/>
  <c r="T2281" i="8"/>
  <c r="T2282" i="8"/>
  <c r="T2283" i="8"/>
  <c r="T2284" i="8"/>
  <c r="T2285" i="8"/>
  <c r="T2286" i="8"/>
  <c r="T2287" i="8"/>
  <c r="T2288" i="8"/>
  <c r="T2289" i="8"/>
  <c r="T2290" i="8"/>
  <c r="T2291" i="8"/>
  <c r="T2292" i="8"/>
  <c r="T2293" i="8"/>
  <c r="T2294" i="8"/>
  <c r="T2295" i="8"/>
  <c r="T2296" i="8"/>
  <c r="T2297" i="8"/>
  <c r="T2298" i="8"/>
  <c r="T2299" i="8"/>
  <c r="T2300" i="8"/>
  <c r="T2301" i="8"/>
  <c r="T2302" i="8"/>
  <c r="T2303" i="8"/>
  <c r="T2304" i="8"/>
  <c r="T2305" i="8"/>
  <c r="T2306" i="8"/>
  <c r="T2307" i="8"/>
  <c r="T2308" i="8"/>
  <c r="T2309" i="8"/>
  <c r="T2310" i="8"/>
  <c r="T2311" i="8"/>
  <c r="T2312" i="8"/>
  <c r="T2313" i="8"/>
  <c r="T2314" i="8"/>
  <c r="T2315" i="8"/>
  <c r="T2316" i="8"/>
  <c r="T2317" i="8"/>
  <c r="T2318" i="8"/>
  <c r="T2319" i="8"/>
  <c r="T2320" i="8"/>
  <c r="T2321" i="8"/>
  <c r="T2322" i="8"/>
  <c r="T2323" i="8"/>
  <c r="T2324" i="8"/>
  <c r="T2325" i="8"/>
  <c r="T2326" i="8"/>
  <c r="T2327" i="8"/>
  <c r="T2328" i="8"/>
  <c r="T2329" i="8"/>
  <c r="T2330" i="8"/>
  <c r="T2331" i="8"/>
  <c r="T2332" i="8"/>
  <c r="T2333" i="8"/>
  <c r="T2334" i="8"/>
  <c r="T2335" i="8"/>
  <c r="T2336" i="8"/>
  <c r="T2337" i="8"/>
  <c r="T2338" i="8"/>
  <c r="T2339" i="8"/>
  <c r="T2340" i="8"/>
  <c r="T2341" i="8"/>
  <c r="T2342" i="8"/>
  <c r="T2343" i="8"/>
  <c r="T2344" i="8"/>
  <c r="T2345" i="8"/>
  <c r="T2346" i="8"/>
  <c r="T2347" i="8"/>
  <c r="T2348" i="8"/>
  <c r="T2349" i="8"/>
  <c r="T2350" i="8"/>
  <c r="T2351" i="8"/>
  <c r="T2352" i="8"/>
  <c r="T2353" i="8"/>
  <c r="T2354" i="8"/>
  <c r="T2355" i="8"/>
  <c r="T2356" i="8"/>
  <c r="T2357" i="8"/>
  <c r="T2358" i="8"/>
  <c r="T2359" i="8"/>
  <c r="T2360" i="8"/>
  <c r="T2361" i="8"/>
  <c r="T2362" i="8"/>
  <c r="T2363" i="8"/>
  <c r="T2364" i="8"/>
  <c r="T2365" i="8"/>
  <c r="T2366" i="8"/>
  <c r="T2367" i="8"/>
  <c r="T2368" i="8"/>
  <c r="T2369" i="8"/>
  <c r="T2370" i="8"/>
  <c r="T2371" i="8"/>
  <c r="T2372" i="8"/>
  <c r="T2373" i="8"/>
  <c r="T2374" i="8"/>
  <c r="T2375" i="8"/>
  <c r="T2376" i="8"/>
  <c r="T2377" i="8"/>
  <c r="T2378" i="8"/>
  <c r="T2379" i="8"/>
  <c r="T2380" i="8"/>
  <c r="T2381" i="8"/>
  <c r="T2382" i="8"/>
  <c r="T2383" i="8"/>
  <c r="T2384" i="8"/>
  <c r="T2385" i="8"/>
  <c r="T2386" i="8"/>
  <c r="T2387" i="8"/>
  <c r="T2388" i="8"/>
  <c r="T2389" i="8"/>
  <c r="T2390" i="8"/>
  <c r="T2391" i="8"/>
  <c r="T2392" i="8"/>
  <c r="T2393" i="8"/>
  <c r="T2394" i="8"/>
  <c r="T2395" i="8"/>
  <c r="T2396" i="8"/>
  <c r="T2397" i="8"/>
  <c r="T2398" i="8"/>
  <c r="T2399" i="8"/>
  <c r="T2400" i="8"/>
  <c r="T2401" i="8"/>
  <c r="T2402" i="8"/>
  <c r="T2403" i="8"/>
  <c r="T2404" i="8"/>
  <c r="T2405" i="8"/>
  <c r="T2406" i="8"/>
  <c r="T2407" i="8"/>
  <c r="T2408" i="8"/>
  <c r="T2409" i="8"/>
  <c r="T2410" i="8"/>
  <c r="T2411" i="8"/>
  <c r="T2412" i="8"/>
  <c r="T2413" i="8"/>
  <c r="T2414" i="8"/>
  <c r="T2415" i="8"/>
  <c r="T2416" i="8"/>
  <c r="T2417" i="8"/>
  <c r="T2418" i="8"/>
  <c r="T2419" i="8"/>
  <c r="T2420" i="8"/>
  <c r="T2421" i="8"/>
  <c r="T2422" i="8"/>
  <c r="T2423" i="8"/>
  <c r="T2424" i="8"/>
  <c r="T2425" i="8"/>
  <c r="T2426" i="8"/>
  <c r="T2427" i="8"/>
  <c r="T2428" i="8"/>
  <c r="T2429" i="8"/>
  <c r="T2430" i="8"/>
  <c r="T2431" i="8"/>
  <c r="T2432" i="8"/>
  <c r="T2433" i="8"/>
  <c r="T2434" i="8"/>
  <c r="T2435" i="8"/>
  <c r="T2436" i="8"/>
  <c r="T2437" i="8"/>
  <c r="T2438" i="8"/>
  <c r="T2439" i="8"/>
  <c r="T2440" i="8"/>
  <c r="T2441" i="8"/>
  <c r="T2442" i="8"/>
  <c r="T2443" i="8"/>
  <c r="T2444" i="8"/>
  <c r="T2445" i="8"/>
  <c r="T2446" i="8"/>
  <c r="T2447" i="8"/>
  <c r="T2448" i="8"/>
  <c r="T2449" i="8"/>
  <c r="T2450" i="8"/>
  <c r="T2451" i="8"/>
  <c r="T2452" i="8"/>
  <c r="T2453" i="8"/>
  <c r="T2454" i="8"/>
  <c r="T2455" i="8"/>
  <c r="T2456" i="8"/>
  <c r="T2457" i="8"/>
  <c r="T2458" i="8"/>
  <c r="T2459" i="8"/>
  <c r="T2460" i="8"/>
  <c r="T2461" i="8"/>
  <c r="T2462" i="8"/>
  <c r="T2463" i="8"/>
  <c r="T2464" i="8"/>
  <c r="T2465" i="8"/>
  <c r="T2466" i="8"/>
  <c r="T2467" i="8"/>
  <c r="T2468" i="8"/>
  <c r="T2469" i="8"/>
  <c r="T2470" i="8"/>
  <c r="T2471" i="8"/>
  <c r="T2472" i="8"/>
  <c r="T2473" i="8"/>
  <c r="T2474" i="8"/>
  <c r="T2475" i="8"/>
  <c r="T2476" i="8"/>
  <c r="T2477" i="8"/>
  <c r="T2478" i="8"/>
  <c r="T2479" i="8"/>
  <c r="T2480" i="8"/>
  <c r="T2481" i="8"/>
  <c r="T2482" i="8"/>
  <c r="T2483" i="8"/>
  <c r="T2484" i="8"/>
  <c r="T2485" i="8"/>
  <c r="T2486" i="8"/>
  <c r="T2487" i="8"/>
  <c r="T2488" i="8"/>
  <c r="T2489" i="8"/>
  <c r="T2490" i="8"/>
  <c r="T2491" i="8"/>
  <c r="T2492" i="8"/>
  <c r="T2493" i="8"/>
  <c r="T2494" i="8"/>
  <c r="T2495" i="8"/>
  <c r="T2496" i="8"/>
  <c r="T2497" i="8"/>
  <c r="T2498" i="8"/>
  <c r="T2499" i="8"/>
  <c r="T2500" i="8"/>
  <c r="T2501" i="8"/>
  <c r="T2502" i="8"/>
  <c r="T2503" i="8"/>
  <c r="T2504" i="8"/>
  <c r="T2505" i="8"/>
  <c r="T2506" i="8"/>
  <c r="T2507" i="8"/>
  <c r="T2508" i="8"/>
  <c r="T2509" i="8"/>
  <c r="T2510" i="8"/>
  <c r="T2511" i="8"/>
  <c r="T2512" i="8"/>
  <c r="T2513" i="8"/>
  <c r="T2514" i="8"/>
  <c r="T2515" i="8"/>
  <c r="T2516" i="8"/>
  <c r="T2517" i="8"/>
  <c r="T2518" i="8"/>
  <c r="T2519" i="8"/>
  <c r="T2520" i="8"/>
  <c r="T2521" i="8"/>
  <c r="T2522" i="8"/>
  <c r="T2523" i="8"/>
  <c r="T2524" i="8"/>
  <c r="T2525" i="8"/>
  <c r="T2526" i="8"/>
  <c r="T2527" i="8"/>
  <c r="T2528" i="8"/>
  <c r="T2529" i="8"/>
  <c r="T2530" i="8"/>
  <c r="T2531" i="8"/>
  <c r="T2532" i="8"/>
  <c r="T2533" i="8"/>
  <c r="T2534" i="8"/>
  <c r="T2535" i="8"/>
  <c r="T2536" i="8"/>
  <c r="T2537" i="8"/>
  <c r="T2538" i="8"/>
  <c r="T2539" i="8"/>
  <c r="T2540" i="8"/>
  <c r="T2541" i="8"/>
  <c r="T2542" i="8"/>
  <c r="T2543" i="8"/>
  <c r="T2544" i="8"/>
  <c r="T2545" i="8"/>
  <c r="T2546" i="8"/>
  <c r="T2547" i="8"/>
  <c r="T2548" i="8"/>
  <c r="T2549" i="8"/>
  <c r="T2550" i="8"/>
  <c r="T2551" i="8"/>
  <c r="T2552" i="8"/>
  <c r="T2553" i="8"/>
  <c r="T2554" i="8"/>
  <c r="T2555" i="8"/>
  <c r="T2556" i="8"/>
  <c r="T2557" i="8"/>
  <c r="T2558" i="8"/>
  <c r="T2559" i="8"/>
  <c r="T2560" i="8"/>
  <c r="T2561" i="8"/>
  <c r="T2562" i="8"/>
  <c r="T2563" i="8"/>
  <c r="T2564" i="8"/>
  <c r="T2565" i="8"/>
  <c r="T2566" i="8"/>
  <c r="T2567" i="8"/>
  <c r="T2568" i="8"/>
  <c r="T2569" i="8"/>
  <c r="T2570" i="8"/>
  <c r="T2571" i="8"/>
  <c r="T2572" i="8"/>
  <c r="T2573" i="8"/>
  <c r="T2574" i="8"/>
  <c r="T2575" i="8"/>
  <c r="T2576" i="8"/>
  <c r="T2577" i="8"/>
  <c r="T2578" i="8"/>
  <c r="T2579" i="8"/>
  <c r="T2580" i="8"/>
  <c r="T2581" i="8"/>
  <c r="T2582" i="8"/>
  <c r="T2583" i="8"/>
  <c r="T2584" i="8"/>
  <c r="T2585" i="8"/>
  <c r="T2586" i="8"/>
  <c r="T2587" i="8"/>
  <c r="T2588" i="8"/>
  <c r="T2589" i="8"/>
  <c r="T2590" i="8"/>
  <c r="T2591" i="8"/>
  <c r="T2592" i="8"/>
  <c r="T2593" i="8"/>
  <c r="T2594" i="8"/>
  <c r="T2595" i="8"/>
  <c r="T2596" i="8"/>
  <c r="T2597" i="8"/>
  <c r="T2598" i="8"/>
  <c r="T2599" i="8"/>
  <c r="T2600" i="8"/>
  <c r="T2601" i="8"/>
  <c r="T2602" i="8"/>
  <c r="T2603" i="8"/>
  <c r="T2604" i="8"/>
  <c r="T2605" i="8"/>
  <c r="T2606" i="8"/>
  <c r="T2607" i="8"/>
  <c r="T2608" i="8"/>
  <c r="T2609" i="8"/>
  <c r="T2610" i="8"/>
  <c r="T2611" i="8"/>
  <c r="T2612" i="8"/>
  <c r="T2613" i="8"/>
  <c r="T2614" i="8"/>
  <c r="T2615" i="8"/>
  <c r="T2616" i="8"/>
  <c r="T2617" i="8"/>
  <c r="T2618" i="8"/>
  <c r="T2619" i="8"/>
  <c r="T2620" i="8"/>
  <c r="T2621" i="8"/>
  <c r="T2622" i="8"/>
  <c r="T2623" i="8"/>
  <c r="T2624" i="8"/>
  <c r="T2625" i="8"/>
  <c r="T2626" i="8"/>
  <c r="T2627" i="8"/>
  <c r="T2628" i="8"/>
  <c r="T2629" i="8"/>
  <c r="T2630" i="8"/>
  <c r="T2631" i="8"/>
  <c r="T2632" i="8"/>
  <c r="T2633" i="8"/>
  <c r="T2634" i="8"/>
  <c r="T2635" i="8"/>
  <c r="T2636" i="8"/>
  <c r="T2637" i="8"/>
  <c r="T2638" i="8"/>
  <c r="T2639" i="8"/>
  <c r="T2640" i="8"/>
  <c r="T2641" i="8"/>
  <c r="T2642" i="8"/>
  <c r="T2643" i="8"/>
  <c r="T2644" i="8"/>
  <c r="T2645" i="8"/>
  <c r="T2646" i="8"/>
  <c r="T2647" i="8"/>
  <c r="T2648" i="8"/>
  <c r="T2649" i="8"/>
  <c r="T2650" i="8"/>
  <c r="T2651" i="8"/>
  <c r="T2652" i="8"/>
  <c r="T2653" i="8"/>
  <c r="T2654" i="8"/>
  <c r="T2655" i="8"/>
  <c r="T2656" i="8"/>
  <c r="T2657" i="8"/>
  <c r="T2658" i="8"/>
  <c r="T2659" i="8"/>
  <c r="T2660" i="8"/>
  <c r="T2661" i="8"/>
  <c r="T2662" i="8"/>
  <c r="T2663" i="8"/>
  <c r="T2664" i="8"/>
  <c r="T2665" i="8"/>
  <c r="T2666" i="8"/>
  <c r="T2667" i="8"/>
  <c r="T2668" i="8"/>
  <c r="T2669" i="8"/>
  <c r="T2670" i="8"/>
  <c r="T2671" i="8"/>
  <c r="T2672" i="8"/>
  <c r="T2673" i="8"/>
  <c r="T2674" i="8"/>
  <c r="T2675" i="8"/>
  <c r="T2676" i="8"/>
  <c r="T2677" i="8"/>
  <c r="T2678" i="8"/>
  <c r="T2679" i="8"/>
  <c r="T2680" i="8"/>
  <c r="T2681" i="8"/>
  <c r="T2682" i="8"/>
  <c r="T2683" i="8"/>
  <c r="T2684" i="8"/>
  <c r="T2685" i="8"/>
  <c r="T2686" i="8"/>
  <c r="T2687" i="8"/>
  <c r="T2688" i="8"/>
  <c r="T2689" i="8"/>
  <c r="T2690" i="8"/>
  <c r="T2691" i="8"/>
  <c r="T2692" i="8"/>
  <c r="T2693" i="8"/>
  <c r="T2694" i="8"/>
  <c r="T2695" i="8"/>
  <c r="T2696" i="8"/>
  <c r="T2697" i="8"/>
  <c r="T2698" i="8"/>
  <c r="T2699" i="8"/>
  <c r="T2700" i="8"/>
  <c r="T2701" i="8"/>
  <c r="T2702" i="8"/>
  <c r="T2703" i="8"/>
  <c r="T2704" i="8"/>
  <c r="T2705" i="8"/>
  <c r="T2706" i="8"/>
  <c r="T2707" i="8"/>
  <c r="T2708" i="8"/>
  <c r="T2709" i="8"/>
  <c r="T2710" i="8"/>
  <c r="T2711" i="8"/>
  <c r="T2712" i="8"/>
  <c r="T2713" i="8"/>
  <c r="T2714" i="8"/>
  <c r="T2715" i="8"/>
  <c r="T2716" i="8"/>
  <c r="T2717" i="8"/>
  <c r="T2718" i="8"/>
  <c r="T2719" i="8"/>
  <c r="T2720" i="8"/>
  <c r="T2721" i="8"/>
  <c r="T2722" i="8"/>
  <c r="T2723" i="8"/>
  <c r="T2724" i="8"/>
  <c r="T2725" i="8"/>
  <c r="T2726" i="8"/>
  <c r="T2727" i="8"/>
  <c r="T2728" i="8"/>
  <c r="T2729" i="8"/>
  <c r="T2730" i="8"/>
  <c r="T2731" i="8"/>
  <c r="T2732" i="8"/>
  <c r="T2733" i="8"/>
  <c r="T2734" i="8"/>
  <c r="T2735" i="8"/>
  <c r="T2736" i="8"/>
  <c r="T2737" i="8"/>
  <c r="T2738" i="8"/>
  <c r="T2739" i="8"/>
  <c r="T2740" i="8"/>
  <c r="T2741" i="8"/>
  <c r="T2742" i="8"/>
  <c r="T2743" i="8"/>
  <c r="T2744" i="8"/>
  <c r="T2745" i="8"/>
  <c r="T2746" i="8"/>
  <c r="T2747" i="8"/>
  <c r="T2748" i="8"/>
  <c r="T2749" i="8"/>
  <c r="T2750" i="8"/>
  <c r="T2751" i="8"/>
  <c r="T2752" i="8"/>
  <c r="T2753" i="8"/>
  <c r="T2754" i="8"/>
  <c r="T2755" i="8"/>
  <c r="T2756" i="8"/>
  <c r="T2757" i="8"/>
  <c r="T2758" i="8"/>
  <c r="T2759" i="8"/>
  <c r="T2760" i="8"/>
  <c r="T2761" i="8"/>
  <c r="T2762" i="8"/>
  <c r="T2763" i="8"/>
  <c r="T2764" i="8"/>
  <c r="T2765" i="8"/>
  <c r="T2766" i="8"/>
  <c r="T2767" i="8"/>
  <c r="T2768" i="8"/>
  <c r="T2769" i="8"/>
  <c r="T2770" i="8"/>
  <c r="T2771" i="8"/>
  <c r="T2772" i="8"/>
  <c r="T2773" i="8"/>
  <c r="T2774" i="8"/>
  <c r="T2775" i="8"/>
  <c r="T2776" i="8"/>
  <c r="T2777" i="8"/>
  <c r="T2778" i="8"/>
  <c r="T2779" i="8"/>
  <c r="T2780" i="8"/>
  <c r="T2781" i="8"/>
  <c r="T2782" i="8"/>
  <c r="T2783" i="8"/>
  <c r="T2784" i="8"/>
  <c r="T2785" i="8"/>
  <c r="T2786" i="8"/>
  <c r="T2787" i="8"/>
  <c r="T2788" i="8"/>
  <c r="T2789" i="8"/>
  <c r="T2790" i="8"/>
  <c r="T2791" i="8"/>
  <c r="T2792" i="8"/>
  <c r="T2793" i="8"/>
  <c r="T2794" i="8"/>
  <c r="T2795" i="8"/>
  <c r="T2796" i="8"/>
  <c r="T2797" i="8"/>
  <c r="T2798" i="8"/>
  <c r="T2799" i="8"/>
  <c r="T2800" i="8"/>
  <c r="T2801" i="8"/>
  <c r="T2802" i="8"/>
  <c r="T2803" i="8"/>
  <c r="T2804" i="8"/>
  <c r="T2805" i="8"/>
  <c r="T2806" i="8"/>
  <c r="T2807" i="8"/>
  <c r="T2808" i="8"/>
  <c r="T2809" i="8"/>
  <c r="T2810" i="8"/>
  <c r="T2811" i="8"/>
  <c r="T2812" i="8"/>
  <c r="T2813" i="8"/>
  <c r="T2814" i="8"/>
  <c r="T2815" i="8"/>
  <c r="T2816" i="8"/>
  <c r="T2817" i="8"/>
  <c r="T2818" i="8"/>
  <c r="T2819" i="8"/>
  <c r="T2820" i="8"/>
  <c r="T2821" i="8"/>
  <c r="T2822" i="8"/>
  <c r="T2823" i="8"/>
  <c r="T2824" i="8"/>
  <c r="T2825" i="8"/>
  <c r="T2826" i="8"/>
  <c r="T2827" i="8"/>
  <c r="T2828" i="8"/>
  <c r="T2829" i="8"/>
  <c r="T2830" i="8"/>
  <c r="T2831" i="8"/>
  <c r="T2832" i="8"/>
  <c r="T2833" i="8"/>
  <c r="T2834" i="8"/>
  <c r="T2835" i="8"/>
  <c r="T2836" i="8"/>
  <c r="T2837" i="8"/>
  <c r="T2838" i="8"/>
  <c r="T2839" i="8"/>
  <c r="T2840" i="8"/>
  <c r="T2841" i="8"/>
  <c r="T2842" i="8"/>
  <c r="T2843" i="8"/>
  <c r="T2844" i="8"/>
  <c r="T2845" i="8"/>
  <c r="T2846" i="8"/>
  <c r="T2847" i="8"/>
  <c r="T2848" i="8"/>
  <c r="T2849" i="8"/>
  <c r="T2850" i="8"/>
  <c r="T2851" i="8"/>
  <c r="T2852" i="8"/>
  <c r="T2853" i="8"/>
  <c r="T2854" i="8"/>
  <c r="T2855" i="8"/>
  <c r="T2856" i="8"/>
  <c r="T2857" i="8"/>
  <c r="T2858" i="8"/>
  <c r="T2859" i="8"/>
  <c r="T2860" i="8"/>
  <c r="T2861" i="8"/>
  <c r="T2862" i="8"/>
  <c r="T2863" i="8"/>
  <c r="T2864" i="8"/>
  <c r="T2865" i="8"/>
  <c r="T2866" i="8"/>
  <c r="T2867" i="8"/>
  <c r="T2868" i="8"/>
  <c r="T2869" i="8"/>
  <c r="T2870" i="8"/>
  <c r="T2871" i="8"/>
  <c r="T2872" i="8"/>
  <c r="T2873" i="8"/>
  <c r="T2874" i="8"/>
  <c r="T2875" i="8"/>
  <c r="T2876" i="8"/>
  <c r="T2877" i="8"/>
  <c r="T2878" i="8"/>
  <c r="T2879" i="8"/>
  <c r="T2880" i="8"/>
  <c r="T2881" i="8"/>
  <c r="T2882" i="8"/>
  <c r="T2883" i="8"/>
  <c r="T2884" i="8"/>
  <c r="T2885" i="8"/>
  <c r="T2886" i="8"/>
  <c r="T2887" i="8"/>
  <c r="T2888" i="8"/>
  <c r="T2889" i="8"/>
  <c r="T2890" i="8"/>
  <c r="T2891" i="8"/>
  <c r="T2892" i="8"/>
  <c r="T2893" i="8"/>
  <c r="T2894" i="8"/>
  <c r="T2895" i="8"/>
  <c r="T2896" i="8"/>
  <c r="T2897" i="8"/>
  <c r="T2898" i="8"/>
  <c r="T2899" i="8"/>
  <c r="T2900" i="8"/>
  <c r="T2901" i="8"/>
  <c r="T2902" i="8"/>
  <c r="T2903" i="8"/>
  <c r="T2904" i="8"/>
  <c r="T2905" i="8"/>
  <c r="T2906" i="8"/>
  <c r="T2907" i="8"/>
  <c r="T2908" i="8"/>
  <c r="T2909" i="8"/>
  <c r="T2910" i="8"/>
  <c r="T2911" i="8"/>
  <c r="T2912" i="8"/>
  <c r="T2913" i="8"/>
  <c r="T2914" i="8"/>
  <c r="T2915" i="8"/>
  <c r="T2916" i="8"/>
  <c r="T2917" i="8"/>
  <c r="T2918" i="8"/>
  <c r="T2919" i="8"/>
  <c r="T2920" i="8"/>
  <c r="T2921" i="8"/>
  <c r="T2922" i="8"/>
  <c r="T2923" i="8"/>
  <c r="T2924" i="8"/>
  <c r="T2925" i="8"/>
  <c r="T2926" i="8"/>
  <c r="T2927" i="8"/>
  <c r="T2928" i="8"/>
  <c r="T2929" i="8"/>
  <c r="T2930" i="8"/>
  <c r="T2931" i="8"/>
  <c r="T2932" i="8"/>
  <c r="T2933" i="8"/>
  <c r="T2934" i="8"/>
  <c r="T2935" i="8"/>
  <c r="T2936" i="8"/>
  <c r="T2937" i="8"/>
  <c r="T2938" i="8"/>
  <c r="T2939" i="8"/>
  <c r="T2940" i="8"/>
  <c r="T2941" i="8"/>
  <c r="T2942" i="8"/>
  <c r="T2943" i="8"/>
  <c r="T2944" i="8"/>
  <c r="T2945" i="8"/>
  <c r="T2946" i="8"/>
  <c r="T2947" i="8"/>
  <c r="T2948" i="8"/>
  <c r="T2949" i="8"/>
  <c r="T2950" i="8"/>
  <c r="T2951" i="8"/>
  <c r="T2952" i="8"/>
  <c r="T2953" i="8"/>
  <c r="T2954" i="8"/>
  <c r="T2955" i="8"/>
  <c r="T2956" i="8"/>
  <c r="T2957" i="8"/>
  <c r="T2958" i="8"/>
  <c r="T2959" i="8"/>
  <c r="T2960" i="8"/>
  <c r="T2961" i="8"/>
  <c r="T2962" i="8"/>
  <c r="T2963" i="8"/>
  <c r="T2964" i="8"/>
  <c r="T2965" i="8"/>
  <c r="T2966" i="8"/>
  <c r="T2967" i="8"/>
  <c r="T2968" i="8"/>
  <c r="T2969" i="8"/>
  <c r="T2970" i="8"/>
  <c r="T2971" i="8"/>
  <c r="T2972" i="8"/>
  <c r="T2973" i="8"/>
  <c r="T2974" i="8"/>
  <c r="T2975" i="8"/>
  <c r="T2976" i="8"/>
  <c r="T2977" i="8"/>
  <c r="T2978" i="8"/>
  <c r="T2979" i="8"/>
  <c r="T2980" i="8"/>
  <c r="T2981" i="8"/>
  <c r="T2982" i="8"/>
  <c r="T2983" i="8"/>
  <c r="T2984" i="8"/>
  <c r="T2985" i="8"/>
  <c r="T2986" i="8"/>
  <c r="T2987" i="8"/>
  <c r="T2988" i="8"/>
  <c r="T2989" i="8"/>
  <c r="T2990" i="8"/>
  <c r="T2991" i="8"/>
  <c r="T2992" i="8"/>
  <c r="T2993" i="8"/>
  <c r="T2994" i="8"/>
  <c r="T2995" i="8"/>
  <c r="T2996" i="8"/>
  <c r="T2997" i="8"/>
  <c r="T2998" i="8"/>
  <c r="T2999" i="8"/>
  <c r="T3000" i="8"/>
  <c r="T3001" i="8"/>
  <c r="T3002" i="8"/>
  <c r="T3003" i="8"/>
  <c r="T3004" i="8"/>
  <c r="T3005" i="8"/>
  <c r="T3006" i="8"/>
  <c r="T3007" i="8"/>
  <c r="T3008" i="8"/>
  <c r="T3009" i="8"/>
  <c r="T3010" i="8"/>
  <c r="T3011" i="8"/>
  <c r="T3012" i="8"/>
  <c r="T3013" i="8"/>
  <c r="T3014" i="8"/>
  <c r="T3015" i="8"/>
  <c r="T3016" i="8"/>
  <c r="T3017" i="8"/>
  <c r="T3018" i="8"/>
  <c r="T3019" i="8"/>
  <c r="T3020" i="8"/>
  <c r="T3021" i="8"/>
  <c r="T3022" i="8"/>
  <c r="T3023" i="8"/>
  <c r="T3024" i="8"/>
  <c r="T3025" i="8"/>
  <c r="T3026" i="8"/>
  <c r="T3027" i="8"/>
  <c r="T3028" i="8"/>
  <c r="T3029" i="8"/>
  <c r="T3030" i="8"/>
  <c r="T3031" i="8"/>
  <c r="T3032" i="8"/>
  <c r="T3033" i="8"/>
  <c r="T3034" i="8"/>
  <c r="T3035" i="8"/>
  <c r="T3036" i="8"/>
  <c r="T3037" i="8"/>
  <c r="T3038" i="8"/>
  <c r="T3039" i="8"/>
  <c r="T3040" i="8"/>
  <c r="T3041" i="8"/>
  <c r="T3042" i="8"/>
  <c r="T3043" i="8"/>
  <c r="T3044" i="8"/>
  <c r="T3045" i="8"/>
  <c r="T3046" i="8"/>
  <c r="T3047" i="8"/>
  <c r="T3048" i="8"/>
  <c r="T3049" i="8"/>
  <c r="T3050" i="8"/>
  <c r="T3051" i="8"/>
  <c r="T3052" i="8"/>
  <c r="T3053" i="8"/>
  <c r="T3054" i="8"/>
  <c r="T3055" i="8"/>
  <c r="T3056" i="8"/>
  <c r="T3057" i="8"/>
  <c r="T3058" i="8"/>
  <c r="T3059" i="8"/>
  <c r="T3060" i="8"/>
  <c r="T3061" i="8"/>
  <c r="T3062" i="8"/>
  <c r="T3063" i="8"/>
  <c r="T3064" i="8"/>
  <c r="T3065" i="8"/>
  <c r="T3066" i="8"/>
  <c r="T3067" i="8"/>
  <c r="T3068" i="8"/>
  <c r="T3069" i="8"/>
  <c r="T3070" i="8"/>
  <c r="T3071" i="8"/>
  <c r="T3072" i="8"/>
  <c r="T3073" i="8"/>
  <c r="T3074" i="8"/>
  <c r="T3075" i="8"/>
  <c r="T3076" i="8"/>
  <c r="T3077" i="8"/>
  <c r="T3078" i="8"/>
  <c r="T3079" i="8"/>
  <c r="T3080" i="8"/>
  <c r="T3081" i="8"/>
  <c r="T3082" i="8"/>
  <c r="T3083" i="8"/>
  <c r="T3084" i="8"/>
  <c r="T3085" i="8"/>
  <c r="T3086" i="8"/>
  <c r="T3087" i="8"/>
  <c r="T3088" i="8"/>
  <c r="T3089" i="8"/>
  <c r="T3090" i="8"/>
  <c r="T3091" i="8"/>
  <c r="T3092" i="8"/>
  <c r="T3093" i="8"/>
  <c r="T3094" i="8"/>
  <c r="T3095" i="8"/>
  <c r="T3096" i="8"/>
  <c r="T3097" i="8"/>
  <c r="T3098" i="8"/>
  <c r="T3099" i="8"/>
  <c r="T3100" i="8"/>
  <c r="T3101" i="8"/>
  <c r="T3102" i="8"/>
  <c r="T3103" i="8"/>
  <c r="T3104" i="8"/>
  <c r="T3105" i="8"/>
  <c r="T3106" i="8"/>
  <c r="T3107" i="8"/>
  <c r="T3108" i="8"/>
  <c r="T3109" i="8"/>
  <c r="T3110" i="8"/>
  <c r="T3111" i="8"/>
  <c r="T3112" i="8"/>
  <c r="T3113" i="8"/>
  <c r="T3114" i="8"/>
  <c r="T3115" i="8"/>
  <c r="T3116" i="8"/>
  <c r="T3117" i="8"/>
  <c r="T3118" i="8"/>
  <c r="T3119" i="8"/>
  <c r="T3120" i="8"/>
  <c r="T3121" i="8"/>
  <c r="T3122" i="8"/>
  <c r="T3123" i="8"/>
  <c r="T3124" i="8"/>
  <c r="T3125" i="8"/>
  <c r="T3126" i="8"/>
  <c r="T3127" i="8"/>
  <c r="T3128" i="8"/>
  <c r="T3129" i="8"/>
  <c r="T3130" i="8"/>
  <c r="T3131" i="8"/>
  <c r="T3132" i="8"/>
  <c r="T3133" i="8"/>
  <c r="T3134" i="8"/>
  <c r="T3135" i="8"/>
  <c r="T3136" i="8"/>
  <c r="T3137" i="8"/>
  <c r="T3138" i="8"/>
  <c r="T3139" i="8"/>
  <c r="T3140" i="8"/>
  <c r="T3141" i="8"/>
  <c r="T3142" i="8"/>
  <c r="T3143" i="8"/>
  <c r="T3144" i="8"/>
  <c r="T3145" i="8"/>
  <c r="T3146" i="8"/>
  <c r="T3147" i="8"/>
  <c r="T3148" i="8"/>
  <c r="T3149" i="8"/>
  <c r="T3150" i="8"/>
  <c r="T3151" i="8"/>
  <c r="T3152" i="8"/>
  <c r="T3153" i="8"/>
  <c r="T3154" i="8"/>
  <c r="T3155" i="8"/>
  <c r="T3156" i="8"/>
  <c r="T3157" i="8"/>
  <c r="T3158" i="8"/>
  <c r="T3159" i="8"/>
  <c r="T3160" i="8"/>
  <c r="T3161" i="8"/>
  <c r="T3162" i="8"/>
  <c r="T3163" i="8"/>
  <c r="T3164" i="8"/>
  <c r="T3165" i="8"/>
  <c r="T3166" i="8"/>
  <c r="T3167" i="8"/>
  <c r="T3168" i="8"/>
  <c r="T3169" i="8"/>
  <c r="T3170" i="8"/>
  <c r="T3171" i="8"/>
  <c r="T3172" i="8"/>
  <c r="T3173" i="8"/>
  <c r="T3174" i="8"/>
  <c r="T3175" i="8"/>
  <c r="T3176" i="8"/>
  <c r="T3177" i="8"/>
  <c r="T3178" i="8"/>
  <c r="T3179" i="8"/>
  <c r="T3180" i="8"/>
  <c r="T3181" i="8"/>
  <c r="T3182" i="8"/>
  <c r="T3183" i="8"/>
  <c r="T3184" i="8"/>
  <c r="T3185" i="8"/>
  <c r="T3186" i="8"/>
  <c r="T3187" i="8"/>
  <c r="T3188" i="8"/>
  <c r="T3189" i="8"/>
  <c r="T3190" i="8"/>
  <c r="T3191" i="8"/>
  <c r="T3192" i="8"/>
  <c r="T3193" i="8"/>
  <c r="T3194" i="8"/>
  <c r="T3195" i="8"/>
  <c r="T3196" i="8"/>
  <c r="T3197" i="8"/>
  <c r="T3198" i="8"/>
  <c r="T3199" i="8"/>
  <c r="T3200" i="8"/>
  <c r="T3201" i="8"/>
  <c r="T3202" i="8"/>
  <c r="T3203" i="8"/>
  <c r="T3204" i="8"/>
  <c r="T3205" i="8"/>
  <c r="T3206" i="8"/>
  <c r="T3207" i="8"/>
  <c r="T3208" i="8"/>
  <c r="T3209" i="8"/>
  <c r="T3210" i="8"/>
  <c r="T3211" i="8"/>
  <c r="T3212" i="8"/>
  <c r="T3213" i="8"/>
  <c r="T3214" i="8"/>
  <c r="T3215" i="8"/>
  <c r="T3216" i="8"/>
  <c r="T3217" i="8"/>
  <c r="T3218" i="8"/>
  <c r="T3219" i="8"/>
  <c r="T3220" i="8"/>
  <c r="T3221" i="8"/>
  <c r="T3222" i="8"/>
  <c r="T3223" i="8"/>
  <c r="T3224" i="8"/>
  <c r="T3225" i="8"/>
  <c r="T3226" i="8"/>
  <c r="T3227" i="8"/>
  <c r="T3228" i="8"/>
  <c r="T3229" i="8"/>
  <c r="T3230" i="8"/>
  <c r="T3231" i="8"/>
  <c r="T3232" i="8"/>
  <c r="T3233" i="8"/>
  <c r="T3234" i="8"/>
  <c r="T3235" i="8"/>
  <c r="T3236" i="8"/>
  <c r="T3237" i="8"/>
  <c r="T3238" i="8"/>
  <c r="T3239" i="8"/>
  <c r="T3240" i="8"/>
  <c r="T3241" i="8"/>
  <c r="T3242" i="8"/>
  <c r="T3243" i="8"/>
  <c r="T3244" i="8"/>
  <c r="T3245" i="8"/>
  <c r="T3246" i="8"/>
  <c r="T3247" i="8"/>
  <c r="T3248" i="8"/>
  <c r="T3249" i="8"/>
  <c r="T3250" i="8"/>
  <c r="T3251" i="8"/>
  <c r="T3252" i="8"/>
  <c r="T3253" i="8"/>
  <c r="T3254" i="8"/>
  <c r="T3255" i="8"/>
  <c r="T3256" i="8"/>
  <c r="T3257" i="8"/>
  <c r="T3258" i="8"/>
  <c r="T3259" i="8"/>
  <c r="T3260" i="8"/>
  <c r="T3261" i="8"/>
  <c r="T3262" i="8"/>
  <c r="T3263" i="8"/>
  <c r="T3264" i="8"/>
  <c r="T3265" i="8"/>
  <c r="T3266" i="8"/>
  <c r="T3267" i="8"/>
  <c r="T3268" i="8"/>
  <c r="T3269" i="8"/>
  <c r="T3270" i="8"/>
  <c r="T3271" i="8"/>
  <c r="T3272" i="8"/>
  <c r="T3273" i="8"/>
  <c r="T3274" i="8"/>
  <c r="T3275" i="8"/>
  <c r="T3276" i="8"/>
  <c r="T3277" i="8"/>
  <c r="T3278" i="8"/>
  <c r="T3279" i="8"/>
  <c r="T3280" i="8"/>
  <c r="T3281" i="8"/>
  <c r="T3282" i="8"/>
  <c r="T3283" i="8"/>
  <c r="T3284" i="8"/>
  <c r="T3285" i="8"/>
  <c r="T3286" i="8"/>
  <c r="T3287" i="8"/>
  <c r="T3288" i="8"/>
  <c r="T3289" i="8"/>
  <c r="T3290" i="8"/>
  <c r="T3291" i="8"/>
  <c r="T3292" i="8"/>
  <c r="T3293" i="8"/>
  <c r="T3294" i="8"/>
  <c r="T3295" i="8"/>
  <c r="T3296" i="8"/>
  <c r="T3297" i="8"/>
  <c r="T3298" i="8"/>
  <c r="T3299" i="8"/>
  <c r="T3300" i="8"/>
  <c r="T3301" i="8"/>
  <c r="T3302" i="8"/>
  <c r="T3303" i="8"/>
  <c r="T3304" i="8"/>
  <c r="T3305" i="8"/>
  <c r="T3306" i="8"/>
  <c r="T3307" i="8"/>
  <c r="T3308" i="8"/>
  <c r="T3309" i="8"/>
  <c r="T3310" i="8"/>
  <c r="T3311" i="8"/>
  <c r="T3312" i="8"/>
  <c r="T3313" i="8"/>
  <c r="T3314" i="8"/>
  <c r="T3315" i="8"/>
  <c r="T3316" i="8"/>
  <c r="T3317" i="8"/>
  <c r="T3318" i="8"/>
  <c r="T3319" i="8"/>
  <c r="T3320" i="8"/>
  <c r="T3321" i="8"/>
  <c r="T3322" i="8"/>
  <c r="T3323" i="8"/>
  <c r="T3324" i="8"/>
  <c r="T3325" i="8"/>
  <c r="T3326" i="8"/>
  <c r="T3327" i="8"/>
  <c r="T3328" i="8"/>
  <c r="T3329" i="8"/>
  <c r="T3330" i="8"/>
  <c r="T3331" i="8"/>
  <c r="T3332" i="8"/>
  <c r="T3333" i="8"/>
  <c r="T3334" i="8"/>
  <c r="T3335" i="8"/>
  <c r="T3336" i="8"/>
  <c r="T3337" i="8"/>
  <c r="T3338" i="8"/>
  <c r="T3339" i="8"/>
  <c r="T3340" i="8"/>
  <c r="T3341" i="8"/>
  <c r="T3342" i="8"/>
  <c r="T3343" i="8"/>
  <c r="T3344" i="8"/>
  <c r="T3345" i="8"/>
  <c r="T3346" i="8"/>
  <c r="T3347" i="8"/>
  <c r="T3348" i="8"/>
  <c r="T3349" i="8"/>
  <c r="T3350" i="8"/>
  <c r="T3351" i="8"/>
  <c r="T3352" i="8"/>
  <c r="T3353" i="8"/>
  <c r="T3354" i="8"/>
  <c r="T3355" i="8"/>
  <c r="T3356" i="8"/>
  <c r="T3357" i="8"/>
  <c r="T3358" i="8"/>
  <c r="T3359" i="8"/>
  <c r="T3360" i="8"/>
  <c r="T3361" i="8"/>
  <c r="T3362" i="8"/>
  <c r="T3363" i="8"/>
  <c r="T3364" i="8"/>
  <c r="T3365" i="8"/>
  <c r="T3366" i="8"/>
  <c r="T3367" i="8"/>
  <c r="T3368" i="8"/>
  <c r="T3369" i="8"/>
  <c r="T3370" i="8"/>
  <c r="T3371" i="8"/>
  <c r="T3372" i="8"/>
  <c r="T3373" i="8"/>
  <c r="T3374" i="8"/>
  <c r="T3375" i="8"/>
  <c r="T3376" i="8"/>
  <c r="T3377" i="8"/>
  <c r="T3378" i="8"/>
  <c r="T3379" i="8"/>
  <c r="T3380" i="8"/>
  <c r="T3381" i="8"/>
  <c r="T3382" i="8"/>
  <c r="T3383" i="8"/>
  <c r="T3384" i="8"/>
  <c r="T3385" i="8"/>
  <c r="T3386" i="8"/>
  <c r="T3387" i="8"/>
  <c r="T3388" i="8"/>
  <c r="T3389" i="8"/>
  <c r="T3390" i="8"/>
  <c r="T3391" i="8"/>
  <c r="T3392" i="8"/>
  <c r="T3393" i="8"/>
  <c r="T3394" i="8"/>
  <c r="T3395" i="8"/>
  <c r="T3396" i="8"/>
  <c r="T3397" i="8"/>
  <c r="T3398" i="8"/>
  <c r="T3399" i="8"/>
  <c r="T3400" i="8"/>
  <c r="T3401" i="8"/>
  <c r="T3402" i="8"/>
  <c r="T3403" i="8"/>
  <c r="T3404" i="8"/>
  <c r="T3405" i="8"/>
  <c r="T3406" i="8"/>
  <c r="T3407" i="8"/>
  <c r="T3408" i="8"/>
  <c r="T3409" i="8"/>
  <c r="T3410" i="8"/>
  <c r="T3411" i="8"/>
  <c r="T3412" i="8"/>
  <c r="T3413" i="8"/>
  <c r="T3414" i="8"/>
  <c r="T3415" i="8"/>
  <c r="T3416" i="8"/>
  <c r="T3417" i="8"/>
  <c r="T3418" i="8"/>
  <c r="T3419" i="8"/>
  <c r="T3420" i="8"/>
  <c r="T3421" i="8"/>
  <c r="T3422" i="8"/>
  <c r="T3423" i="8"/>
  <c r="T3424" i="8"/>
  <c r="T3425" i="8"/>
  <c r="T3426" i="8"/>
  <c r="T3427" i="8"/>
  <c r="T3428" i="8"/>
  <c r="T3429" i="8"/>
  <c r="T3430" i="8"/>
  <c r="T3431" i="8"/>
  <c r="T3432" i="8"/>
  <c r="T3433" i="8"/>
  <c r="T3434" i="8"/>
  <c r="T3435" i="8"/>
  <c r="T3436" i="8"/>
  <c r="T3437" i="8"/>
  <c r="T3438" i="8"/>
  <c r="T3439" i="8"/>
  <c r="T3440" i="8"/>
  <c r="T3441" i="8"/>
  <c r="T3442" i="8"/>
  <c r="T3443" i="8"/>
  <c r="T3444" i="8"/>
  <c r="T3445" i="8"/>
  <c r="T3446" i="8"/>
  <c r="T3447" i="8"/>
  <c r="T3448" i="8"/>
  <c r="T3449" i="8"/>
  <c r="T3450" i="8"/>
  <c r="T3451" i="8"/>
  <c r="T3452" i="8"/>
  <c r="T3453" i="8"/>
  <c r="T3454" i="8"/>
  <c r="T3455" i="8"/>
  <c r="T3456" i="8"/>
  <c r="T3457" i="8"/>
  <c r="T3458" i="8"/>
  <c r="T3459" i="8"/>
  <c r="T3460" i="8"/>
  <c r="T3461" i="8"/>
  <c r="T3462" i="8"/>
  <c r="T3463" i="8"/>
  <c r="T3464" i="8"/>
  <c r="T3465" i="8"/>
  <c r="T3466" i="8"/>
  <c r="T3467" i="8"/>
  <c r="T3468" i="8"/>
  <c r="T3469" i="8"/>
  <c r="T3470" i="8"/>
  <c r="T3471" i="8"/>
  <c r="T3472" i="8"/>
  <c r="T3473" i="8"/>
  <c r="T3474" i="8"/>
  <c r="T3475" i="8"/>
  <c r="T3476" i="8"/>
  <c r="T3477" i="8"/>
  <c r="T3478" i="8"/>
  <c r="T3479" i="8"/>
  <c r="T3480" i="8"/>
  <c r="T3481" i="8"/>
  <c r="T3482" i="8"/>
  <c r="T3483" i="8"/>
  <c r="T3484" i="8"/>
  <c r="T3485" i="8"/>
  <c r="T3486" i="8"/>
  <c r="T3487" i="8"/>
  <c r="T3488" i="8"/>
  <c r="T3489" i="8"/>
  <c r="T3490" i="8"/>
  <c r="T3491" i="8"/>
  <c r="T3492" i="8"/>
  <c r="T3493" i="8"/>
  <c r="T3494" i="8"/>
  <c r="T3495" i="8"/>
  <c r="T3496" i="8"/>
  <c r="T3497" i="8"/>
  <c r="T3498" i="8"/>
  <c r="T3499" i="8"/>
  <c r="T3500" i="8"/>
  <c r="T3501" i="8"/>
  <c r="T3502" i="8"/>
  <c r="T3503" i="8"/>
  <c r="T3504" i="8"/>
  <c r="T3505" i="8"/>
  <c r="T3506" i="8"/>
  <c r="T3507" i="8"/>
  <c r="T3508" i="8"/>
  <c r="T3509" i="8"/>
  <c r="T3510" i="8"/>
  <c r="T3511" i="8"/>
  <c r="T3512" i="8"/>
  <c r="T3513" i="8"/>
  <c r="T3514" i="8"/>
  <c r="T3515" i="8"/>
  <c r="T3516" i="8"/>
  <c r="T3517" i="8"/>
  <c r="T3518" i="8"/>
  <c r="T3519" i="8"/>
  <c r="T3520" i="8"/>
  <c r="T3521" i="8"/>
  <c r="T3522" i="8"/>
  <c r="T3523" i="8"/>
  <c r="T3524" i="8"/>
  <c r="T3525" i="8"/>
  <c r="T3526" i="8"/>
  <c r="T3527" i="8"/>
  <c r="T3528" i="8"/>
  <c r="T3529" i="8"/>
  <c r="T3530" i="8"/>
  <c r="T3531" i="8"/>
  <c r="T3532" i="8"/>
  <c r="T3533" i="8"/>
  <c r="T3534" i="8"/>
  <c r="T3535" i="8"/>
  <c r="T3536" i="8"/>
  <c r="T3537" i="8"/>
  <c r="T3538" i="8"/>
  <c r="T3539" i="8"/>
  <c r="T3540" i="8"/>
  <c r="T3541" i="8"/>
  <c r="T3542" i="8"/>
  <c r="T3543" i="8"/>
  <c r="T3544" i="8"/>
  <c r="T3545" i="8"/>
  <c r="T3546" i="8"/>
  <c r="T3547" i="8"/>
  <c r="T3548" i="8"/>
  <c r="T3549" i="8"/>
  <c r="T3550" i="8"/>
  <c r="T3551" i="8"/>
  <c r="T3552" i="8"/>
  <c r="T3553" i="8"/>
  <c r="T3554" i="8"/>
  <c r="T3555" i="8"/>
  <c r="T3556" i="8"/>
  <c r="T3557" i="8"/>
  <c r="T3558" i="8"/>
  <c r="T3559" i="8"/>
  <c r="T3560" i="8"/>
  <c r="T3561" i="8"/>
  <c r="T3562" i="8"/>
  <c r="T3563" i="8"/>
  <c r="T3564" i="8"/>
  <c r="T3565" i="8"/>
  <c r="T3566" i="8"/>
  <c r="T3567" i="8"/>
  <c r="T3568" i="8"/>
  <c r="T3569" i="8"/>
  <c r="T3570" i="8"/>
  <c r="T3571" i="8"/>
  <c r="T3572" i="8"/>
  <c r="T3573" i="8"/>
  <c r="T3574" i="8"/>
  <c r="T3575" i="8"/>
  <c r="T3576" i="8"/>
  <c r="T3577" i="8"/>
  <c r="T3578" i="8"/>
  <c r="T3579" i="8"/>
  <c r="T3580" i="8"/>
  <c r="T3581" i="8"/>
  <c r="T3582" i="8"/>
  <c r="T3583" i="8"/>
  <c r="T3584" i="8"/>
  <c r="T3585" i="8"/>
  <c r="T3586" i="8"/>
  <c r="T3587" i="8"/>
  <c r="T3588" i="8"/>
  <c r="T3589" i="8"/>
  <c r="T3590" i="8"/>
  <c r="T3591" i="8"/>
  <c r="T3592" i="8"/>
  <c r="T3593" i="8"/>
  <c r="T3594" i="8"/>
  <c r="T3595" i="8"/>
  <c r="T3596" i="8"/>
  <c r="T3597" i="8"/>
  <c r="T3598" i="8"/>
  <c r="T3599" i="8"/>
  <c r="T3600" i="8"/>
  <c r="T3601" i="8"/>
  <c r="T3602" i="8"/>
  <c r="T3603" i="8"/>
  <c r="T3604" i="8"/>
  <c r="T3605" i="8"/>
  <c r="T3606" i="8"/>
  <c r="T3607" i="8"/>
  <c r="T3608" i="8"/>
  <c r="T3609" i="8"/>
  <c r="T3610" i="8"/>
  <c r="T3611" i="8"/>
  <c r="T3612" i="8"/>
  <c r="T3613" i="8"/>
  <c r="T3614" i="8"/>
  <c r="T3615" i="8"/>
  <c r="T3616" i="8"/>
  <c r="T3617" i="8"/>
  <c r="T3618" i="8"/>
  <c r="T3619" i="8"/>
  <c r="T3620" i="8"/>
  <c r="T3621" i="8"/>
  <c r="T3622" i="8"/>
  <c r="T3623" i="8"/>
  <c r="T3624" i="8"/>
  <c r="T3625" i="8"/>
  <c r="T3626" i="8"/>
  <c r="T3627" i="8"/>
  <c r="T3628" i="8"/>
  <c r="T3629" i="8"/>
  <c r="T3630" i="8"/>
  <c r="T3631" i="8"/>
  <c r="T3632" i="8"/>
  <c r="T3633" i="8"/>
  <c r="T3634" i="8"/>
  <c r="T3635" i="8"/>
  <c r="T3636" i="8"/>
  <c r="T3637" i="8"/>
  <c r="T3638" i="8"/>
  <c r="T3639" i="8"/>
  <c r="T3640" i="8"/>
  <c r="T3641" i="8"/>
  <c r="T3642" i="8"/>
  <c r="T3643" i="8"/>
  <c r="T3644" i="8"/>
  <c r="T3645" i="8"/>
  <c r="T3646" i="8"/>
  <c r="T3647" i="8"/>
  <c r="T3648" i="8"/>
  <c r="T3649" i="8"/>
  <c r="T3650" i="8"/>
  <c r="T3651" i="8"/>
  <c r="T3652" i="8"/>
  <c r="T3653" i="8"/>
  <c r="T3654" i="8"/>
  <c r="T3655" i="8"/>
  <c r="T3656" i="8"/>
  <c r="T3657" i="8"/>
  <c r="T3658" i="8"/>
  <c r="T3659" i="8"/>
  <c r="T3660" i="8"/>
  <c r="T3661" i="8"/>
  <c r="T3662" i="8"/>
  <c r="T3663" i="8"/>
  <c r="T3664" i="8"/>
  <c r="T3665" i="8"/>
  <c r="T3666" i="8"/>
  <c r="T3667" i="8"/>
  <c r="T3668" i="8"/>
  <c r="T3669" i="8"/>
  <c r="T3670" i="8"/>
  <c r="T3671" i="8"/>
  <c r="T3672" i="8"/>
  <c r="T3673" i="8"/>
  <c r="T3674" i="8"/>
  <c r="T3675" i="8"/>
  <c r="T3676" i="8"/>
  <c r="T3677" i="8"/>
  <c r="T3678" i="8"/>
  <c r="T3679" i="8"/>
  <c r="T3680" i="8"/>
  <c r="T3681" i="8"/>
  <c r="T3682" i="8"/>
  <c r="T3683" i="8"/>
  <c r="T3684" i="8"/>
  <c r="T3685" i="8"/>
  <c r="T3686" i="8"/>
  <c r="T3687" i="8"/>
  <c r="T3688" i="8"/>
  <c r="T3689" i="8"/>
  <c r="T3690" i="8"/>
  <c r="T3691" i="8"/>
  <c r="T3692" i="8"/>
  <c r="T3693" i="8"/>
  <c r="T3694" i="8"/>
  <c r="T3695" i="8"/>
  <c r="T3696" i="8"/>
  <c r="T3697" i="8"/>
  <c r="T3698" i="8"/>
  <c r="T3699" i="8"/>
  <c r="T3700" i="8"/>
  <c r="T3701" i="8"/>
  <c r="T3702" i="8"/>
  <c r="T3703" i="8"/>
  <c r="T3704" i="8"/>
  <c r="T3705" i="8"/>
  <c r="T3706" i="8"/>
  <c r="T3707" i="8"/>
  <c r="T3708" i="8"/>
  <c r="T3709" i="8"/>
  <c r="T3710" i="8"/>
  <c r="T3711" i="8"/>
  <c r="T3712" i="8"/>
  <c r="T3713" i="8"/>
  <c r="T3714" i="8"/>
  <c r="T3715" i="8"/>
  <c r="T3716" i="8"/>
  <c r="T3717" i="8"/>
  <c r="T3718" i="8"/>
  <c r="T3719" i="8"/>
  <c r="T3720" i="8"/>
  <c r="T3721" i="8"/>
  <c r="T3722" i="8"/>
  <c r="T3723" i="8"/>
  <c r="T3724" i="8"/>
  <c r="T3725" i="8"/>
  <c r="T3726" i="8"/>
  <c r="T3727" i="8"/>
  <c r="T3728" i="8"/>
  <c r="T3729" i="8"/>
  <c r="T3730" i="8"/>
  <c r="T3731" i="8"/>
  <c r="T3732" i="8"/>
  <c r="T3733" i="8"/>
  <c r="T3734" i="8"/>
  <c r="T3735" i="8"/>
  <c r="T3736" i="8"/>
  <c r="T3737" i="8"/>
  <c r="T3738" i="8"/>
  <c r="T3739" i="8"/>
  <c r="T3740" i="8"/>
  <c r="T3741" i="8"/>
  <c r="T3742" i="8"/>
  <c r="T3743" i="8"/>
  <c r="T3744" i="8"/>
  <c r="T3745" i="8"/>
  <c r="T3746" i="8"/>
  <c r="T3747" i="8"/>
  <c r="T3748" i="8"/>
  <c r="T3749" i="8"/>
  <c r="T3750" i="8"/>
  <c r="T3751" i="8"/>
  <c r="T3752" i="8"/>
  <c r="T3753" i="8"/>
  <c r="T3754" i="8"/>
  <c r="T3755" i="8"/>
  <c r="T3756" i="8"/>
  <c r="T3757" i="8"/>
  <c r="T3758" i="8"/>
  <c r="T3759" i="8"/>
  <c r="T3760" i="8"/>
  <c r="T3761" i="8"/>
  <c r="T3762" i="8"/>
  <c r="T3763" i="8"/>
  <c r="T3764" i="8"/>
  <c r="T3765" i="8"/>
  <c r="T3766" i="8"/>
  <c r="T3767" i="8"/>
  <c r="T3768" i="8"/>
  <c r="T3769" i="8"/>
  <c r="T3770" i="8"/>
  <c r="T3771" i="8"/>
  <c r="T3772" i="8"/>
  <c r="T3773" i="8"/>
  <c r="T3774" i="8"/>
  <c r="T3775" i="8"/>
  <c r="T3776" i="8"/>
  <c r="T3777" i="8"/>
  <c r="T3778" i="8"/>
  <c r="T3779" i="8"/>
  <c r="T3780" i="8"/>
  <c r="T3781" i="8"/>
  <c r="T3782" i="8"/>
  <c r="T3783" i="8"/>
  <c r="T3784" i="8"/>
  <c r="T3785" i="8"/>
  <c r="T3786" i="8"/>
  <c r="T3787" i="8"/>
  <c r="T3788" i="8"/>
  <c r="T3789" i="8"/>
  <c r="T3790" i="8"/>
  <c r="T3791" i="8"/>
  <c r="T3792" i="8"/>
  <c r="T3793" i="8"/>
  <c r="T3794" i="8"/>
  <c r="T3795" i="8"/>
  <c r="T3796" i="8"/>
  <c r="T3797" i="8"/>
  <c r="T3798" i="8"/>
  <c r="T3799" i="8"/>
  <c r="T3800" i="8"/>
  <c r="T3801" i="8"/>
  <c r="T3802" i="8"/>
  <c r="T3803" i="8"/>
  <c r="T3804" i="8"/>
  <c r="T3805" i="8"/>
  <c r="T3806" i="8"/>
  <c r="T3807" i="8"/>
  <c r="T3808" i="8"/>
  <c r="T3809" i="8"/>
  <c r="T3810" i="8"/>
  <c r="T3811" i="8"/>
  <c r="T3812" i="8"/>
  <c r="T3813" i="8"/>
  <c r="T3814" i="8"/>
  <c r="T3815" i="8"/>
  <c r="T3816" i="8"/>
  <c r="T3817" i="8"/>
  <c r="T3818" i="8"/>
  <c r="T3819" i="8"/>
  <c r="T3820" i="8"/>
  <c r="T3821" i="8"/>
  <c r="T3822" i="8"/>
  <c r="T3823" i="8"/>
  <c r="T3824" i="8"/>
  <c r="T3825" i="8"/>
  <c r="T3826" i="8"/>
  <c r="T3827" i="8"/>
  <c r="T3828" i="8"/>
  <c r="T3829" i="8"/>
  <c r="T3830" i="8"/>
  <c r="T3831" i="8"/>
  <c r="T3832" i="8"/>
  <c r="T3833" i="8"/>
  <c r="T3834" i="8"/>
  <c r="T3835" i="8"/>
  <c r="T3836" i="8"/>
  <c r="T3837" i="8"/>
  <c r="T3838" i="8"/>
  <c r="T3839" i="8"/>
  <c r="T3840" i="8"/>
  <c r="T3841" i="8"/>
  <c r="T3842" i="8"/>
  <c r="T3843" i="8"/>
  <c r="T3844" i="8"/>
  <c r="T3845" i="8"/>
  <c r="T3846" i="8"/>
  <c r="T3847" i="8"/>
  <c r="T3848" i="8"/>
  <c r="T3849" i="8"/>
  <c r="T3850" i="8"/>
  <c r="T3851" i="8"/>
  <c r="T3852" i="8"/>
  <c r="T3853" i="8"/>
  <c r="T3854" i="8"/>
  <c r="T3855" i="8"/>
  <c r="T3856" i="8"/>
  <c r="T3857" i="8"/>
  <c r="T3858" i="8"/>
  <c r="T3859" i="8"/>
  <c r="T3860" i="8"/>
  <c r="T3861" i="8"/>
  <c r="T3862" i="8"/>
  <c r="T3863" i="8"/>
  <c r="T3864" i="8"/>
  <c r="T3865" i="8"/>
  <c r="T3866" i="8"/>
  <c r="T3867" i="8"/>
  <c r="T3868" i="8"/>
  <c r="T3869" i="8"/>
  <c r="T3870" i="8"/>
  <c r="T3871" i="8"/>
  <c r="T3872" i="8"/>
  <c r="T3873" i="8"/>
  <c r="T3874" i="8"/>
  <c r="T3875" i="8"/>
  <c r="T3876" i="8"/>
  <c r="T3877" i="8"/>
  <c r="T3878" i="8"/>
  <c r="T3879" i="8"/>
  <c r="T3880" i="8"/>
  <c r="T3881" i="8"/>
  <c r="T3882" i="8"/>
  <c r="T3883" i="8"/>
  <c r="T3884" i="8"/>
  <c r="T3885" i="8"/>
  <c r="T3886" i="8"/>
  <c r="T3887" i="8"/>
  <c r="T3888" i="8"/>
  <c r="T3889" i="8"/>
  <c r="T3890" i="8"/>
  <c r="T3891" i="8"/>
  <c r="T3892" i="8"/>
  <c r="T3893" i="8"/>
  <c r="T3894" i="8"/>
  <c r="T3895" i="8"/>
  <c r="T3896" i="8"/>
  <c r="T3897" i="8"/>
  <c r="T3898" i="8"/>
  <c r="T3899" i="8"/>
  <c r="T3900" i="8"/>
  <c r="T3901" i="8"/>
  <c r="T3902" i="8"/>
  <c r="T3903" i="8"/>
  <c r="T3904" i="8"/>
  <c r="T3905" i="8"/>
  <c r="T3906" i="8"/>
  <c r="T3907" i="8"/>
  <c r="T3908" i="8"/>
  <c r="T3909" i="8"/>
  <c r="T3910" i="8"/>
  <c r="T3911" i="8"/>
  <c r="T3912" i="8"/>
  <c r="T3913" i="8"/>
  <c r="T3914" i="8"/>
  <c r="T3915" i="8"/>
  <c r="T3916" i="8"/>
  <c r="T3917" i="8"/>
  <c r="T3918" i="8"/>
  <c r="T3919" i="8"/>
  <c r="T3920" i="8"/>
  <c r="T3921" i="8"/>
  <c r="T3922" i="8"/>
  <c r="T3923" i="8"/>
  <c r="T3924" i="8"/>
  <c r="T3925" i="8"/>
  <c r="T3926" i="8"/>
  <c r="T3927" i="8"/>
  <c r="T3928" i="8"/>
  <c r="T3929" i="8"/>
  <c r="T3930" i="8"/>
  <c r="T3931" i="8"/>
  <c r="T3932" i="8"/>
  <c r="T3933" i="8"/>
  <c r="T3934" i="8"/>
  <c r="T3935" i="8"/>
  <c r="T3936" i="8"/>
  <c r="T3937" i="8"/>
  <c r="T3938" i="8"/>
  <c r="T3939" i="8"/>
  <c r="T3940" i="8"/>
  <c r="T3941" i="8"/>
  <c r="T3942" i="8"/>
  <c r="T3943" i="8"/>
  <c r="T3944" i="8"/>
  <c r="T3945" i="8"/>
  <c r="T3946" i="8"/>
  <c r="T3947" i="8"/>
  <c r="T3948" i="8"/>
  <c r="T3949" i="8"/>
  <c r="T3950" i="8"/>
  <c r="T3951" i="8"/>
  <c r="T3952" i="8"/>
  <c r="T3953" i="8"/>
  <c r="T3954" i="8"/>
  <c r="T3955" i="8"/>
  <c r="T3956" i="8"/>
  <c r="T3957" i="8"/>
  <c r="T3958" i="8"/>
  <c r="T3959" i="8"/>
  <c r="T3960" i="8"/>
  <c r="T3961" i="8"/>
  <c r="T3962" i="8"/>
  <c r="T3963" i="8"/>
  <c r="T3964" i="8"/>
  <c r="T3965" i="8"/>
  <c r="T3966" i="8"/>
  <c r="T3967" i="8"/>
  <c r="T3968" i="8"/>
  <c r="T3969" i="8"/>
  <c r="T3970" i="8"/>
  <c r="T3971" i="8"/>
  <c r="T3972" i="8"/>
  <c r="T3973" i="8"/>
  <c r="T3974" i="8"/>
  <c r="T3975" i="8"/>
  <c r="T3976" i="8"/>
  <c r="T3977" i="8"/>
  <c r="T3978" i="8"/>
  <c r="T3979" i="8"/>
  <c r="T3980" i="8"/>
  <c r="T3981" i="8"/>
  <c r="T3982" i="8"/>
  <c r="T3983" i="8"/>
  <c r="T3984" i="8"/>
  <c r="T3985" i="8"/>
  <c r="T3986" i="8"/>
  <c r="T3987" i="8"/>
  <c r="T3988" i="8"/>
  <c r="T3989" i="8"/>
  <c r="T3990" i="8"/>
  <c r="T3991" i="8"/>
  <c r="T3992" i="8"/>
  <c r="T3993" i="8"/>
  <c r="T3994" i="8"/>
  <c r="T3995" i="8"/>
  <c r="T3996" i="8"/>
  <c r="T3997" i="8"/>
  <c r="T3998" i="8"/>
  <c r="T3999" i="8"/>
  <c r="T4000" i="8"/>
  <c r="T4001" i="8"/>
  <c r="T4002" i="8"/>
  <c r="T4003" i="8"/>
  <c r="T4004" i="8"/>
  <c r="T4005" i="8"/>
  <c r="T4006" i="8"/>
  <c r="T4007" i="8"/>
  <c r="T4008" i="8"/>
  <c r="T4009" i="8"/>
  <c r="T4010" i="8"/>
  <c r="T4011" i="8"/>
  <c r="T4012" i="8"/>
  <c r="T4013" i="8"/>
  <c r="T4014" i="8"/>
  <c r="T4015" i="8"/>
  <c r="T4016" i="8"/>
  <c r="T4017" i="8"/>
  <c r="T4018" i="8"/>
  <c r="T4019" i="8"/>
  <c r="T4020" i="8"/>
  <c r="T4021" i="8"/>
  <c r="T4022" i="8"/>
  <c r="T4023" i="8"/>
  <c r="T4024" i="8"/>
  <c r="T4025" i="8"/>
  <c r="T4026" i="8"/>
  <c r="T4027" i="8"/>
  <c r="T4028" i="8"/>
  <c r="T4029" i="8"/>
  <c r="T4030" i="8"/>
  <c r="T4031" i="8"/>
  <c r="T4032" i="8"/>
  <c r="T4033" i="8"/>
  <c r="T4034" i="8"/>
  <c r="T4035" i="8"/>
  <c r="T4036" i="8"/>
  <c r="T4037" i="8"/>
  <c r="T4038" i="8"/>
  <c r="T4039" i="8"/>
  <c r="T4040" i="8"/>
  <c r="T4041" i="8"/>
  <c r="T4042" i="8"/>
  <c r="T4043" i="8"/>
  <c r="T4044" i="8"/>
  <c r="T4045" i="8"/>
  <c r="T4046" i="8"/>
  <c r="T4047" i="8"/>
  <c r="T4048" i="8"/>
  <c r="T4049" i="8"/>
  <c r="T4050" i="8"/>
  <c r="T4051" i="8"/>
  <c r="T4052" i="8"/>
  <c r="T4053" i="8"/>
  <c r="T4054" i="8"/>
  <c r="T4055" i="8"/>
  <c r="T4056" i="8"/>
  <c r="T4057" i="8"/>
  <c r="T4058" i="8"/>
  <c r="T4059" i="8"/>
  <c r="T4060" i="8"/>
  <c r="T4061" i="8"/>
  <c r="T4062" i="8"/>
  <c r="T4063" i="8"/>
  <c r="T4064" i="8"/>
  <c r="T4065" i="8"/>
  <c r="T4066" i="8"/>
  <c r="T4067" i="8"/>
  <c r="T4068" i="8"/>
  <c r="T4069" i="8"/>
  <c r="T4070" i="8"/>
  <c r="T4071" i="8"/>
  <c r="T4072" i="8"/>
  <c r="T4073" i="8"/>
  <c r="T4074" i="8"/>
  <c r="T4075" i="8"/>
  <c r="T4076" i="8"/>
  <c r="T4077" i="8"/>
  <c r="T4078" i="8"/>
  <c r="T4079" i="8"/>
  <c r="T4080" i="8"/>
  <c r="T4081" i="8"/>
  <c r="T4082" i="8"/>
  <c r="T4083" i="8"/>
  <c r="T23" i="8"/>
</calcChain>
</file>

<file path=xl/sharedStrings.xml><?xml version="1.0" encoding="utf-8"?>
<sst xmlns="http://schemas.openxmlformats.org/spreadsheetml/2006/main" count="804" uniqueCount="383">
  <si>
    <t>Result_Comment</t>
  </si>
  <si>
    <t>result qualifier code - from existing list</t>
  </si>
  <si>
    <t>Qualifier_Code</t>
  </si>
  <si>
    <t>station name used by project - from existing list</t>
  </si>
  <si>
    <t>sample name created by user</t>
  </si>
  <si>
    <t>Activity_Matrix_Name</t>
  </si>
  <si>
    <t>Start_Date</t>
  </si>
  <si>
    <t>Result_Value</t>
  </si>
  <si>
    <t>Measurement_Unit_Name</t>
  </si>
  <si>
    <t>Statistic_Type_Name</t>
  </si>
  <si>
    <t>Analytical_Method_Name</t>
  </si>
  <si>
    <t>Detection_Quantitation_Limit_Type_Name</t>
  </si>
  <si>
    <t>activity matrix - from existing list</t>
  </si>
  <si>
    <t>sample</t>
  </si>
  <si>
    <t>field msr/obs</t>
  </si>
  <si>
    <t>Detection_Quantitation_Limit</t>
  </si>
  <si>
    <t>start date/time</t>
  </si>
  <si>
    <t>Description</t>
  </si>
  <si>
    <t>Parameter_Name</t>
  </si>
  <si>
    <t>yes</t>
  </si>
  <si>
    <t>no</t>
  </si>
  <si>
    <t>Station_Name</t>
  </si>
  <si>
    <t>Sample_Name</t>
  </si>
  <si>
    <t>activity type - from existing list</t>
  </si>
  <si>
    <t>parameter being sampled - from existing list</t>
  </si>
  <si>
    <t>measured result value</t>
  </si>
  <si>
    <t>units of measurement - from existing list</t>
  </si>
  <si>
    <t>statistic type - from existing list</t>
  </si>
  <si>
    <t>analytical method - from existing list</t>
  </si>
  <si>
    <t>detection limit value</t>
  </si>
  <si>
    <t>detection limit type - from existing list</t>
  </si>
  <si>
    <t>End_Date</t>
  </si>
  <si>
    <t>end date/time</t>
  </si>
  <si>
    <t>Standard_Deviation</t>
  </si>
  <si>
    <t>standard deviation - only applies to applicable statistic types</t>
  </si>
  <si>
    <t>Field Name</t>
  </si>
  <si>
    <t>Required</t>
  </si>
  <si>
    <t>Length</t>
  </si>
  <si>
    <t>Field Type</t>
  </si>
  <si>
    <t>datetime</t>
  </si>
  <si>
    <t>Numeric</t>
  </si>
  <si>
    <t>Text</t>
  </si>
  <si>
    <t>In-Situ Measurement</t>
  </si>
  <si>
    <t>Discrete (grab) sample</t>
  </si>
  <si>
    <t>Lead</t>
  </si>
  <si>
    <t>single value</t>
  </si>
  <si>
    <t>Depth_Type_Code</t>
  </si>
  <si>
    <t>Site 1</t>
  </si>
  <si>
    <t>Salinity</t>
  </si>
  <si>
    <t>Dissolved Oxygen Saturation</t>
  </si>
  <si>
    <t>Dissolved Oxygen Concentration</t>
  </si>
  <si>
    <t>pH</t>
  </si>
  <si>
    <t>Turbidity</t>
  </si>
  <si>
    <t>Site 2</t>
  </si>
  <si>
    <t>Site 3</t>
  </si>
  <si>
    <t>Site 4</t>
  </si>
  <si>
    <t>Site 5</t>
  </si>
  <si>
    <t>Site 6</t>
  </si>
  <si>
    <t>Site 7</t>
  </si>
  <si>
    <t>Site 8</t>
  </si>
  <si>
    <t>none</t>
  </si>
  <si>
    <t>m</t>
  </si>
  <si>
    <t>Total Suspended Solids</t>
  </si>
  <si>
    <t>Cyanide</t>
  </si>
  <si>
    <t>Sulphide</t>
  </si>
  <si>
    <t>Chlorophyll a</t>
  </si>
  <si>
    <t>Phosphate, bio-available</t>
  </si>
  <si>
    <t>Cadmium</t>
  </si>
  <si>
    <t>Chromium</t>
  </si>
  <si>
    <t>Copper</t>
  </si>
  <si>
    <t>Mercury</t>
  </si>
  <si>
    <t>Nickel</t>
  </si>
  <si>
    <t>Zinc</t>
  </si>
  <si>
    <t>Total Organic Carbon</t>
  </si>
  <si>
    <t>APHA 2540 D</t>
  </si>
  <si>
    <t>APHA 5210 B</t>
  </si>
  <si>
    <t>APHA 4500 Cl G</t>
  </si>
  <si>
    <t>APHA 4500 CN- E &amp; HACH 8207</t>
  </si>
  <si>
    <t>APHA 5520 B</t>
  </si>
  <si>
    <t>APHA 4500 SiO2 D &amp; HACH 8027</t>
  </si>
  <si>
    <t>APHA 5530 C &amp; HACH 8047</t>
  </si>
  <si>
    <t>APHA 4500-S2- D &amp; HACH 8131</t>
  </si>
  <si>
    <t>APHA 10200 H</t>
  </si>
  <si>
    <t>APHA 4500-NH3 B</t>
  </si>
  <si>
    <t>APHA 4500 NO3- F &amp; HACH 8192</t>
  </si>
  <si>
    <t>APHA 4500 NO2- B &amp; HACH 8507</t>
  </si>
  <si>
    <t>By calculation / APHA 4500 Norg</t>
  </si>
  <si>
    <t>APHA 4500-P B &amp; C</t>
  </si>
  <si>
    <t>APHA 4500-P C</t>
  </si>
  <si>
    <t>APHA 3120 B</t>
  </si>
  <si>
    <t>APHA 5310 B</t>
  </si>
  <si>
    <t>APHA 9221</t>
  </si>
  <si>
    <t>MOOPAM</t>
  </si>
  <si>
    <t>Depth</t>
  </si>
  <si>
    <t>depth value for applicable samples</t>
  </si>
  <si>
    <t>Depth_Unit</t>
  </si>
  <si>
    <t>units of depth for applicable sample - from existing list</t>
  </si>
  <si>
    <t>Surface</t>
  </si>
  <si>
    <t>Bottom</t>
  </si>
  <si>
    <t>average</t>
  </si>
  <si>
    <t>Biochemical Oxygen Demand</t>
  </si>
  <si>
    <t>Depth_Min</t>
  </si>
  <si>
    <t>Depth_Max</t>
  </si>
  <si>
    <t>maximum depth value for applicable samples</t>
  </si>
  <si>
    <t>minimum depth value for applicable samples</t>
  </si>
  <si>
    <t>type of depth (i.e. Surface or Bottom) - from existing list</t>
  </si>
  <si>
    <t>Bore Purging Method</t>
  </si>
  <si>
    <t>Composite sample</t>
  </si>
  <si>
    <t>Direct-push technology (DPT)</t>
  </si>
  <si>
    <t>Low Flow Method</t>
  </si>
  <si>
    <t>Netting</t>
  </si>
  <si>
    <t>Quadrat sampling</t>
  </si>
  <si>
    <t>Transect sampling</t>
  </si>
  <si>
    <t>Trapping</t>
  </si>
  <si>
    <t>Automatic Sampler</t>
  </si>
  <si>
    <t>ConeSipper water sampler</t>
  </si>
  <si>
    <t>Hach Multiparameter Probe</t>
  </si>
  <si>
    <t>Hydrolab Multiparameter Probe</t>
  </si>
  <si>
    <t>Meteorology sensors</t>
  </si>
  <si>
    <t>Niskin bottle</t>
  </si>
  <si>
    <t>Open Solid Barrel Sampler</t>
  </si>
  <si>
    <t>Open-tube sampler</t>
  </si>
  <si>
    <t>Passive diffusion tube</t>
  </si>
  <si>
    <t>Peristaltic Sampling Pump</t>
  </si>
  <si>
    <t>Photoionization detector (PID)</t>
  </si>
  <si>
    <t>Turbidity meter</t>
  </si>
  <si>
    <t>unknown</t>
  </si>
  <si>
    <t>Van Doorn water sampler</t>
  </si>
  <si>
    <t>YSI 6600 Multiparameter Probe</t>
  </si>
  <si>
    <t>meters</t>
  </si>
  <si>
    <t>MBGL</t>
  </si>
  <si>
    <t>Mid-water</t>
  </si>
  <si>
    <t>Ammonia (as N)</t>
  </si>
  <si>
    <t>Ammonia (as NH3)</t>
  </si>
  <si>
    <t>Chloride</t>
  </si>
  <si>
    <t>Chlorine Residual</t>
  </si>
  <si>
    <t>Cyanides - complex</t>
  </si>
  <si>
    <t>Cyanides - free</t>
  </si>
  <si>
    <t>Enterococci</t>
  </si>
  <si>
    <t>Nitrate (as N)</t>
  </si>
  <si>
    <t>Nitrate (as NO3)</t>
  </si>
  <si>
    <t>Nitrite (as N)</t>
  </si>
  <si>
    <t>Nitrite (as NO2)</t>
  </si>
  <si>
    <t>Phosphate (as P)</t>
  </si>
  <si>
    <t>Phosphate (as PO4)</t>
  </si>
  <si>
    <t>Silicate (as Si)</t>
  </si>
  <si>
    <t>Silicate (as SiO3)</t>
  </si>
  <si>
    <t>Silicon Fluoride</t>
  </si>
  <si>
    <t>Specific Conductivity</t>
  </si>
  <si>
    <t>Sulphate</t>
  </si>
  <si>
    <t>Sulphur dioxide</t>
  </si>
  <si>
    <t>Temperature, water</t>
  </si>
  <si>
    <t>Total Dissolved Solids</t>
  </si>
  <si>
    <t>Total Kjeldahl Nitrogen (as N)</t>
  </si>
  <si>
    <t>Total Nitrogen</t>
  </si>
  <si>
    <t>Total petroleum hydrocarbons (TPH)</t>
  </si>
  <si>
    <t>Total phosphorus (as P)</t>
  </si>
  <si>
    <t>Total Polynuclear Aromatic Hydrocarbons (PAHs)</t>
  </si>
  <si>
    <t>mg/l</t>
  </si>
  <si>
    <t>ug/l</t>
  </si>
  <si>
    <t>cfu/100ml</t>
  </si>
  <si>
    <t>QC01</t>
  </si>
  <si>
    <t>QC02</t>
  </si>
  <si>
    <t>QC03</t>
  </si>
  <si>
    <t>QC04</t>
  </si>
  <si>
    <t>QC05</t>
  </si>
  <si>
    <t>QC06</t>
  </si>
  <si>
    <t>QC07</t>
  </si>
  <si>
    <t>QC08</t>
  </si>
  <si>
    <t>QC09</t>
  </si>
  <si>
    <t>maximum</t>
  </si>
  <si>
    <t>8 hour average</t>
  </si>
  <si>
    <t>hourly average</t>
  </si>
  <si>
    <t>annual average</t>
  </si>
  <si>
    <t>24 hour average</t>
  </si>
  <si>
    <t>parameter unit</t>
  </si>
  <si>
    <t>Exceedance</t>
  </si>
  <si>
    <t>Data_Aquisition_Type</t>
  </si>
  <si>
    <t>Collection_Equipment</t>
  </si>
  <si>
    <t>Collection_Technique</t>
  </si>
  <si>
    <t>Area_Regulation</t>
  </si>
  <si>
    <t>Area_regulation</t>
  </si>
  <si>
    <t>area regulation type - from existing list</t>
  </si>
  <si>
    <t>APHA 2012 22nd Edition-Grab</t>
  </si>
  <si>
    <t>APHA 3112 B</t>
  </si>
  <si>
    <t>APHA 4500 NH3 (F) </t>
  </si>
  <si>
    <t>APHA 6431 B and 6431 C</t>
  </si>
  <si>
    <t>APHA 9222 B</t>
  </si>
  <si>
    <t>APHA 9222 D</t>
  </si>
  <si>
    <t>APHA Method 4110B</t>
  </si>
  <si>
    <t>ASTM D6503-99 (APHA 9230D b) (IDEXX)</t>
  </si>
  <si>
    <t>ASTM Method D2488–84</t>
  </si>
  <si>
    <t>Gas Chromatography</t>
  </si>
  <si>
    <t>ISO Method 10396</t>
  </si>
  <si>
    <t>ISO Method 11632</t>
  </si>
  <si>
    <t>ISO Method 7934</t>
  </si>
  <si>
    <t>ISO Method 7935</t>
  </si>
  <si>
    <t>Method - 501</t>
  </si>
  <si>
    <t>Standard Method 4500-NH</t>
  </si>
  <si>
    <t>Standard Method 4500-Org</t>
  </si>
  <si>
    <t>US EPA 1614</t>
  </si>
  <si>
    <t>US EPA 1668A</t>
  </si>
  <si>
    <t>US EPA 1699</t>
  </si>
  <si>
    <t>US EPA 3050B/6010C</t>
  </si>
  <si>
    <t>US EPA 3051A/6010C</t>
  </si>
  <si>
    <t>US EPA 3510</t>
  </si>
  <si>
    <t>US EPA 3510C &amp; US EPA 8082A </t>
  </si>
  <si>
    <t>US EPA 4030</t>
  </si>
  <si>
    <t>US EPA 4035</t>
  </si>
  <si>
    <t>US EPA 5021</t>
  </si>
  <si>
    <t>US EPA 5030B</t>
  </si>
  <si>
    <t>US EPA 5030C, US EPA 3510C &amp; US EPA 8015 D </t>
  </si>
  <si>
    <t>US EPA 5035</t>
  </si>
  <si>
    <t>US EPA 6200</t>
  </si>
  <si>
    <t>US EPA 680</t>
  </si>
  <si>
    <t>US EPA 7.3.3.2 + 9010</t>
  </si>
  <si>
    <t>US EPA 7000B</t>
  </si>
  <si>
    <t>US EPA 7061A</t>
  </si>
  <si>
    <t>US EPA 7062</t>
  </si>
  <si>
    <t>US EPA 7063</t>
  </si>
  <si>
    <t>US EPA 7195</t>
  </si>
  <si>
    <t>US EPA 7196A</t>
  </si>
  <si>
    <t>US EPA 7199</t>
  </si>
  <si>
    <t>US EPA 7472</t>
  </si>
  <si>
    <t>US EPA 7473</t>
  </si>
  <si>
    <t>US EPA 8010B</t>
  </si>
  <si>
    <t>US EPA 8011</t>
  </si>
  <si>
    <t>US EPA 8015/3510</t>
  </si>
  <si>
    <t>US EPA 8015B</t>
  </si>
  <si>
    <t>US EPA 8015B/3550C</t>
  </si>
  <si>
    <t>US EPA 8020A</t>
  </si>
  <si>
    <t>US EPA 8021B</t>
  </si>
  <si>
    <t>US EPA 8030A</t>
  </si>
  <si>
    <t>US EPA 8031</t>
  </si>
  <si>
    <t>US EPA 8032A</t>
  </si>
  <si>
    <t>US EPA 8033</t>
  </si>
  <si>
    <t>US EPA 8041</t>
  </si>
  <si>
    <t>US EPA 8061A</t>
  </si>
  <si>
    <t>US EPA 8070A</t>
  </si>
  <si>
    <t>US EPA 8080A</t>
  </si>
  <si>
    <t>US EPA 8081A</t>
  </si>
  <si>
    <t>US EPA 8082</t>
  </si>
  <si>
    <t>US EPA 8082A</t>
  </si>
  <si>
    <t>US EPA 8085</t>
  </si>
  <si>
    <t>US EPA 8091</t>
  </si>
  <si>
    <t>US EPA 8095</t>
  </si>
  <si>
    <t>US EPA 8100</t>
  </si>
  <si>
    <t>US EPA 8121</t>
  </si>
  <si>
    <t>US EPA 8131</t>
  </si>
  <si>
    <t>US EPA 8141A</t>
  </si>
  <si>
    <t>US EPA 8141B</t>
  </si>
  <si>
    <t>US EPA 8151A</t>
  </si>
  <si>
    <t>US EPA 8240B</t>
  </si>
  <si>
    <t>US EPA 8260B</t>
  </si>
  <si>
    <t>US EPA 8265</t>
  </si>
  <si>
    <t>US EPA 8270C</t>
  </si>
  <si>
    <t>US EPA 8270D</t>
  </si>
  <si>
    <t>US EPA 8272</t>
  </si>
  <si>
    <t>US EPA 8275A</t>
  </si>
  <si>
    <t>US EPA 8280A</t>
  </si>
  <si>
    <t>US EPA 8290</t>
  </si>
  <si>
    <t>US EPA 8310</t>
  </si>
  <si>
    <t>US EPA 8315A</t>
  </si>
  <si>
    <t>US EPA 8316</t>
  </si>
  <si>
    <t>US EPA 8318</t>
  </si>
  <si>
    <t>US EPA 8321A</t>
  </si>
  <si>
    <t>US EPA 8325</t>
  </si>
  <si>
    <t>US EPA 8330</t>
  </si>
  <si>
    <t>US EPA 8331</t>
  </si>
  <si>
    <t>US EPA 8332</t>
  </si>
  <si>
    <t>US EPA 8410</t>
  </si>
  <si>
    <t>US EPA 8440</t>
  </si>
  <si>
    <t>US EPA 8510</t>
  </si>
  <si>
    <t>US EPA 9010</t>
  </si>
  <si>
    <t>US EPA 9030B</t>
  </si>
  <si>
    <t>US EPA 9078</t>
  </si>
  <si>
    <t>US EPA Method 10</t>
  </si>
  <si>
    <t>US EPA Method 11</t>
  </si>
  <si>
    <t>US EPA Method 13A</t>
  </si>
  <si>
    <t>US EPA Method 13B</t>
  </si>
  <si>
    <t>US EPA Method 14</t>
  </si>
  <si>
    <t>US EPA Method 14A</t>
  </si>
  <si>
    <t>US EPA Method 15</t>
  </si>
  <si>
    <t>US EPA Method 16</t>
  </si>
  <si>
    <t>US EPA Method 16A</t>
  </si>
  <si>
    <t>US EPA Method 16B</t>
  </si>
  <si>
    <t>US EPA Method 18</t>
  </si>
  <si>
    <t>US EPA Method 20</t>
  </si>
  <si>
    <t>US EPA Method 201</t>
  </si>
  <si>
    <t>US EPA Method 201A</t>
  </si>
  <si>
    <t>US EPA Method 22</t>
  </si>
  <si>
    <t>US EPA Method 25</t>
  </si>
  <si>
    <t>US EPA Method 25A</t>
  </si>
  <si>
    <t>US EPA Method 25B</t>
  </si>
  <si>
    <t>US EPA Method 25C</t>
  </si>
  <si>
    <t>US EPA Method 25D</t>
  </si>
  <si>
    <t>US EPA Method 25E</t>
  </si>
  <si>
    <t>US EPA Method 29</t>
  </si>
  <si>
    <t>US EPA Method 3</t>
  </si>
  <si>
    <t>US EPA Method 308</t>
  </si>
  <si>
    <t>US EPA Method 3A</t>
  </si>
  <si>
    <t>US EPA Method 4</t>
  </si>
  <si>
    <t>US EPA Method 5</t>
  </si>
  <si>
    <t>US EPA Method 6</t>
  </si>
  <si>
    <t>US EPA Method 6A</t>
  </si>
  <si>
    <t>US EPA Method 6B</t>
  </si>
  <si>
    <t>US EPA Method 6C</t>
  </si>
  <si>
    <t>US EPA Method 7</t>
  </si>
  <si>
    <t>US EPA Method 7A</t>
  </si>
  <si>
    <t>US EPA Method 7B</t>
  </si>
  <si>
    <t>US EPA Method 7C</t>
  </si>
  <si>
    <t>US EPA Method 7D</t>
  </si>
  <si>
    <t>US EPA Method 7E</t>
  </si>
  <si>
    <t>US EPA Method 8</t>
  </si>
  <si>
    <t>US EPA Method M8015/5030</t>
  </si>
  <si>
    <t>US EPA Method M8021/5030</t>
  </si>
  <si>
    <t>US EPA/600/8-8E/008</t>
  </si>
  <si>
    <t>USCS</t>
  </si>
  <si>
    <t>lower detection limit</t>
  </si>
  <si>
    <t xml:space="preserve">instrument detection limit </t>
  </si>
  <si>
    <t>method detection limit</t>
  </si>
  <si>
    <t>practical quantification limit</t>
  </si>
  <si>
    <t>Site 9</t>
  </si>
  <si>
    <t>Site 10</t>
  </si>
  <si>
    <t>Site 11</t>
  </si>
  <si>
    <t>Site 12</t>
  </si>
  <si>
    <t>Site 13</t>
  </si>
  <si>
    <t>Site 14</t>
  </si>
  <si>
    <t>Site 15</t>
  </si>
  <si>
    <t>Site 16</t>
  </si>
  <si>
    <t>Site 17</t>
  </si>
  <si>
    <t>Site 18</t>
  </si>
  <si>
    <t>Site 19</t>
  </si>
  <si>
    <t>collection equipment - from existing list</t>
  </si>
  <si>
    <t>collection technique - from existing list</t>
  </si>
  <si>
    <t>blabla</t>
  </si>
  <si>
    <t>First step enable the Macros and make this a trusted document. 
Go to the "File" menu.
Click on "Options" and then select "Trust Center."
In the Trust Center, click on "Macro Settings."
Choose the option "Enable all macros" to ensure that all macros will be allowed to run.
Click "OK" to save the changes and close the options window.</t>
  </si>
  <si>
    <t>mandatory fields</t>
  </si>
  <si>
    <t>new fields</t>
  </si>
  <si>
    <t>nonsense</t>
  </si>
  <si>
    <t>result comments - madantory when Exceedance field is positive or requires more data to be filled, a comment explaining needs to be made in all orange cells</t>
  </si>
  <si>
    <t>exceedance automatic check - user can not add a value here</t>
  </si>
  <si>
    <t>check</t>
  </si>
  <si>
    <t>Comment</t>
  </si>
  <si>
    <t>Comment explaining the exceedance or why some fields were not filled needs to be made in all orange cells before saving the spreadsheet</t>
  </si>
  <si>
    <t>Regulation name</t>
  </si>
  <si>
    <t>regulation name - from existing list</t>
  </si>
  <si>
    <t>International Standards</t>
  </si>
  <si>
    <t>General Use Areas ADS</t>
  </si>
  <si>
    <t>Marine Protected Use Areas ADS</t>
  </si>
  <si>
    <t>International Standards - Value</t>
  </si>
  <si>
    <t>International Standards - NAME</t>
  </si>
  <si>
    <t>Regulation_name</t>
  </si>
  <si>
    <t>Regulation_Name</t>
  </si>
  <si>
    <t>ADS - Marine Protected</t>
  </si>
  <si>
    <t>ADS - General Use</t>
  </si>
  <si>
    <t>Cell colours in the result tab</t>
  </si>
  <si>
    <t>Exceeded values - in this case you will need to justify at the orange cell "result comment"</t>
  </si>
  <si>
    <t>This values are almost at the exceedance values, this colour serve as an alert to the next monitoring cycle</t>
  </si>
  <si>
    <t>This are the mandatory fields. If you have some data in one the mandatory field the other ones that are mandatory in that row will highlight in yellow.</t>
  </si>
  <si>
    <t>Checks_to_regulation</t>
  </si>
  <si>
    <t>This is the comments for your results, it is mandatory to fill in if your Checks_to_regulation column presents the results: "Exceeded", "Below Minimum", "fill all the required columns" or "No Regulation defined"</t>
  </si>
  <si>
    <t>Automatic check if there is an exceedance or more fields to be filled to check the exceedance from regulation</t>
  </si>
  <si>
    <t>If there is an exceedance it will paint the cell red, and if it almost at exceedance level (10% below) it will paint the cell light orange.</t>
  </si>
  <si>
    <t>ADS - ABU-DHABI</t>
  </si>
  <si>
    <t xml:space="preserve">KSA - MEWA
Executive Regulations for the Protection of Aquatic Environment from Pollution </t>
  </si>
  <si>
    <t>Kuwait - Decision No. 210/2001</t>
  </si>
  <si>
    <t>EUROPE (EU) - Listed in E-PRTR 2020</t>
  </si>
  <si>
    <t>United States - Code of Federal Regulations Title 40</t>
  </si>
  <si>
    <t>Canada - LegisQuebec</t>
  </si>
  <si>
    <t>EUROPE E-PRTR - Regulation (EC) No 166/2006 of the European Parliament</t>
  </si>
  <si>
    <t xml:space="preserve">US EPA Part 51, 40 CFR Ch. I </t>
  </si>
  <si>
    <t>US EPA Part 372, 40 CFR Ch. 1</t>
  </si>
  <si>
    <t>Canada - ECCC - Guide for Reporting to the National Pollutant Release Inventory</t>
  </si>
  <si>
    <t>comment</t>
  </si>
  <si>
    <t>crazy value</t>
  </si>
  <si>
    <t>Water Results EDD</t>
  </si>
  <si>
    <t>Parameter name - Maximum allowed values</t>
  </si>
  <si>
    <t>Parameter name - Minimum allowed values</t>
  </si>
  <si>
    <t>Station_Latitude</t>
  </si>
  <si>
    <t>Latitude in datum WGS84 with 6 decimal numbers</t>
  </si>
  <si>
    <t>Station_Longitude</t>
  </si>
  <si>
    <t>Longitude in datum WGS84 with 6 decimal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</si>
</sst>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d/yyyy;@"/>
    <numFmt numFmtId="165" formatCode="d/mm/yyyy;@"/>
    <numFmt numFmtId="166" formatCode="0.000000"/>
  </numFmts>
  <fonts count="10" x14ac:knownFonts="1">
    <font>
      <sz val="10"/>
      <name val="Arial"/>
    </font>
    <font>
      <sz val="8"/>
      <name val="Arial"/>
      <family val="2"/>
    </font>
    <font>
      <b/>
      <sz val="10"/>
      <name val="Arial"/>
      <family val="2"/>
    </font>
    <font>
      <sz val="10"/>
      <name val="Arial"/>
      <family val="2"/>
    </font>
    <font>
      <sz val="10"/>
      <color theme="1"/>
      <name val="Calibri"/>
      <family val="2"/>
      <scheme val="minor"/>
    </font>
    <font>
      <sz val="10"/>
      <name val="Calibri"/>
      <family val="2"/>
      <scheme val="minor"/>
    </font>
    <font>
      <sz val="8"/>
      <name val="Arial"/>
      <family val="2"/>
    </font>
    <font>
      <b/>
      <sz val="11"/>
      <color theme="1"/>
      <name val="Arial"/>
      <family val="2"/>
    </font>
    <font>
      <sz val="10"/>
      <color rgb="FFFF0000"/>
      <name val="Arial"/>
      <family val="2"/>
    </font>
    <font>
      <sz val="10"/>
      <color rgb="FFFF0000"/>
      <name val="Calibri"/>
      <family val="2"/>
      <scheme val="minor"/>
    </font>
  </fonts>
  <fills count="11">
    <fill>
      <patternFill patternType="none"/>
    </fill>
    <fill>
      <patternFill patternType="gray125"/>
    </fill>
    <fill>
      <patternFill patternType="solid">
        <fgColor indexed="13"/>
        <bgColor indexed="64"/>
      </patternFill>
    </fill>
    <fill>
      <patternFill patternType="solid">
        <fgColor rgb="FFFFC000"/>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0000"/>
        <bgColor indexed="64"/>
      </patternFill>
    </fill>
    <fill>
      <patternFill patternType="solid">
        <fgColor theme="9"/>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bgColor indexed="64"/>
      </patternFill>
    </fill>
  </fills>
  <borders count="9">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0" fontId="3" fillId="0" borderId="0"/>
  </cellStyleXfs>
  <cellXfs count="75">
    <xf numFmtId="0" fontId="0" fillId="0" borderId="0" xfId="0"/>
    <xf numFmtId="0" fontId="3" fillId="0" borderId="0" xfId="0" applyFont="1"/>
    <xf numFmtId="49" fontId="2" fillId="0" borderId="0" xfId="0" applyNumberFormat="1" applyFont="1" applyAlignment="1">
      <alignment horizontal="center" vertical="center" wrapText="1"/>
    </xf>
    <xf numFmtId="49" fontId="0" fillId="0" borderId="0" xfId="0" applyNumberFormat="1" applyAlignment="1">
      <alignment vertical="center"/>
    </xf>
    <xf numFmtId="0" fontId="2" fillId="0" borderId="0" xfId="0" applyFont="1"/>
    <xf numFmtId="0" fontId="2" fillId="0" borderId="1" xfId="0" applyFont="1" applyBorder="1"/>
    <xf numFmtId="0" fontId="2" fillId="0" borderId="2" xfId="0" applyFont="1" applyBorder="1"/>
    <xf numFmtId="0" fontId="2" fillId="0" borderId="3" xfId="0" applyFont="1" applyBorder="1"/>
    <xf numFmtId="49" fontId="2" fillId="2" borderId="4" xfId="0" quotePrefix="1" applyNumberFormat="1" applyFont="1" applyFill="1" applyBorder="1" applyAlignment="1">
      <alignment horizontal="left" vertical="center" wrapText="1"/>
    </xf>
    <xf numFmtId="49" fontId="2" fillId="0" borderId="4" xfId="0" applyNumberFormat="1" applyFont="1" applyBorder="1" applyAlignment="1">
      <alignment horizontal="left" vertical="center" wrapText="1"/>
    </xf>
    <xf numFmtId="164" fontId="0" fillId="0" borderId="0" xfId="0" applyNumberFormat="1" applyAlignment="1">
      <alignment vertical="center"/>
    </xf>
    <xf numFmtId="0" fontId="3" fillId="0" borderId="5" xfId="0" applyFont="1" applyBorder="1"/>
    <xf numFmtId="0" fontId="3" fillId="0" borderId="6" xfId="0" applyFont="1" applyBorder="1"/>
    <xf numFmtId="0" fontId="3" fillId="0" borderId="7" xfId="0" applyFont="1" applyBorder="1"/>
    <xf numFmtId="0" fontId="2" fillId="2" borderId="4" xfId="0" applyFont="1" applyFill="1" applyBorder="1" applyAlignment="1">
      <alignment horizontal="left" vertical="center" wrapText="1"/>
    </xf>
    <xf numFmtId="49" fontId="2" fillId="2" borderId="4" xfId="0" applyNumberFormat="1" applyFont="1" applyFill="1" applyBorder="1" applyAlignment="1">
      <alignment horizontal="left" vertical="center" wrapText="1"/>
    </xf>
    <xf numFmtId="0" fontId="3" fillId="3" borderId="6" xfId="0" applyFont="1" applyFill="1" applyBorder="1"/>
    <xf numFmtId="0" fontId="2" fillId="2" borderId="0" xfId="0" applyFont="1" applyFill="1" applyAlignment="1" applyProtection="1">
      <alignment horizontal="center" vertical="center" wrapText="1"/>
      <protection locked="0"/>
    </xf>
    <xf numFmtId="49" fontId="2" fillId="0" borderId="0" xfId="0" applyNumberFormat="1" applyFont="1" applyAlignment="1" applyProtection="1">
      <alignment horizontal="center" vertical="center" wrapText="1"/>
      <protection locked="0"/>
    </xf>
    <xf numFmtId="0" fontId="0" fillId="0" borderId="0" xfId="0" applyProtection="1">
      <protection locked="0"/>
    </xf>
    <xf numFmtId="2" fontId="0" fillId="0" borderId="0" xfId="0" applyNumberFormat="1" applyAlignment="1">
      <alignment vertical="center"/>
    </xf>
    <xf numFmtId="0" fontId="2" fillId="4" borderId="8" xfId="0" applyFont="1" applyFill="1" applyBorder="1" applyAlignment="1">
      <alignment horizontal="left" vertical="center" wrapText="1"/>
    </xf>
    <xf numFmtId="0" fontId="0" fillId="0" borderId="0" xfId="0" applyAlignment="1">
      <alignment vertical="center"/>
    </xf>
    <xf numFmtId="49" fontId="2" fillId="5" borderId="4" xfId="0" quotePrefix="1" applyNumberFormat="1" applyFont="1" applyFill="1" applyBorder="1" applyAlignment="1">
      <alignment horizontal="left" vertical="center" wrapText="1"/>
    </xf>
    <xf numFmtId="49" fontId="3" fillId="5" borderId="4" xfId="0" quotePrefix="1" applyNumberFormat="1" applyFont="1" applyFill="1" applyBorder="1" applyAlignment="1">
      <alignment horizontal="left" vertical="center" wrapText="1"/>
    </xf>
    <xf numFmtId="165" fontId="0" fillId="0" borderId="0" xfId="0" applyNumberFormat="1" applyAlignment="1" applyProtection="1">
      <alignment vertical="center"/>
      <protection locked="0"/>
    </xf>
    <xf numFmtId="0" fontId="9" fillId="0" borderId="0" xfId="0" applyFont="1"/>
    <xf numFmtId="0" fontId="3" fillId="0" borderId="6" xfId="0" applyFont="1" applyBorder="1" applyAlignment="1">
      <alignment wrapText="1"/>
    </xf>
    <xf numFmtId="0" fontId="3" fillId="7" borderId="6" xfId="0" applyFont="1" applyFill="1" applyBorder="1" applyAlignment="1">
      <alignment wrapText="1"/>
    </xf>
    <xf numFmtId="0" fontId="0" fillId="0" borderId="0" xfId="0" applyAlignment="1">
      <alignment horizontal="left"/>
    </xf>
    <xf numFmtId="49" fontId="2" fillId="2" borderId="0" xfId="0" applyNumberFormat="1" applyFont="1" applyFill="1" applyAlignment="1">
      <alignment horizontal="center" vertical="center" wrapText="1"/>
    </xf>
    <xf numFmtId="49" fontId="2" fillId="0" borderId="4" xfId="0" applyNumberFormat="1" applyFont="1" applyBorder="1" applyAlignment="1">
      <alignment horizontal="center" vertical="center" wrapText="1"/>
    </xf>
    <xf numFmtId="0" fontId="4" fillId="0" borderId="0" xfId="0" applyFont="1"/>
    <xf numFmtId="0" fontId="5" fillId="0" borderId="0" xfId="0" applyFont="1"/>
    <xf numFmtId="0" fontId="3" fillId="0" borderId="0" xfId="0" applyFont="1" applyProtection="1">
      <protection locked="0"/>
    </xf>
    <xf numFmtId="49" fontId="0" fillId="0" borderId="0" xfId="0" applyNumberFormat="1" applyAlignment="1" applyProtection="1">
      <alignment vertical="center"/>
      <protection locked="0"/>
    </xf>
    <xf numFmtId="164" fontId="0" fillId="0" borderId="0" xfId="0" applyNumberFormat="1" applyAlignment="1" applyProtection="1">
      <alignment vertical="center"/>
      <protection locked="0"/>
    </xf>
    <xf numFmtId="2" fontId="0" fillId="0" borderId="0" xfId="0" applyNumberFormat="1" applyAlignment="1" applyProtection="1">
      <alignment vertical="center"/>
      <protection locked="0"/>
    </xf>
    <xf numFmtId="0" fontId="4" fillId="0" borderId="0" xfId="0" applyFont="1" applyProtection="1">
      <protection locked="0"/>
    </xf>
    <xf numFmtId="0" fontId="0" fillId="0" borderId="0" xfId="0" applyAlignment="1" applyProtection="1">
      <alignment vertical="center" wrapText="1"/>
      <protection locked="0"/>
    </xf>
    <xf numFmtId="49" fontId="3" fillId="0" borderId="0" xfId="0" applyNumberFormat="1" applyFont="1" applyAlignment="1" applyProtection="1">
      <alignment vertical="center"/>
      <protection locked="0"/>
    </xf>
    <xf numFmtId="49" fontId="2" fillId="2" borderId="0" xfId="0" applyNumberFormat="1" applyFont="1" applyFill="1" applyAlignment="1" applyProtection="1">
      <alignment horizontal="center" vertical="center" wrapText="1"/>
      <protection locked="0"/>
    </xf>
    <xf numFmtId="49" fontId="2" fillId="0" borderId="4" xfId="0" applyNumberFormat="1" applyFont="1" applyBorder="1" applyAlignment="1" applyProtection="1">
      <alignment horizontal="center" vertical="center" wrapText="1"/>
      <protection locked="0"/>
    </xf>
    <xf numFmtId="0" fontId="3" fillId="0" borderId="0" xfId="0" applyFont="1" applyAlignment="1">
      <alignment horizontal="left" wrapText="1"/>
    </xf>
    <xf numFmtId="0" fontId="0" fillId="0" borderId="0" xfId="0" applyAlignment="1">
      <alignment horizontal="left" wrapText="1"/>
    </xf>
    <xf numFmtId="0" fontId="4" fillId="0" borderId="0" xfId="0" applyFont="1" applyAlignment="1" applyProtection="1">
      <alignment horizontal="left"/>
      <protection locked="0"/>
    </xf>
    <xf numFmtId="0" fontId="0" fillId="0" borderId="0" xfId="0" applyAlignment="1" applyProtection="1">
      <alignment horizontal="left"/>
      <protection locked="0"/>
    </xf>
    <xf numFmtId="0" fontId="3" fillId="6" borderId="0" xfId="0" applyFont="1" applyFill="1"/>
    <xf numFmtId="0" fontId="3" fillId="8" borderId="0" xfId="0" applyFont="1" applyFill="1"/>
    <xf numFmtId="0" fontId="3" fillId="4" borderId="0" xfId="0" applyFont="1" applyFill="1"/>
    <xf numFmtId="0" fontId="3" fillId="7" borderId="0" xfId="0" applyFont="1" applyFill="1"/>
    <xf numFmtId="0" fontId="4" fillId="0" borderId="0" xfId="0" applyFont="1" applyAlignment="1">
      <alignment wrapText="1"/>
    </xf>
    <xf numFmtId="0" fontId="4" fillId="9" borderId="0" xfId="0" applyFont="1" applyFill="1"/>
    <xf numFmtId="0" fontId="0" fillId="9" borderId="0" xfId="0" applyFill="1" applyAlignment="1">
      <alignment horizontal="left"/>
    </xf>
    <xf numFmtId="0" fontId="4" fillId="9" borderId="0" xfId="0" applyFont="1" applyFill="1" applyAlignment="1">
      <alignment horizontal="left"/>
    </xf>
    <xf numFmtId="164" fontId="3" fillId="0" borderId="0" xfId="0" applyNumberFormat="1" applyFont="1" applyAlignment="1" applyProtection="1">
      <alignment vertical="center"/>
      <protection locked="0"/>
    </xf>
    <xf numFmtId="49" fontId="2" fillId="7" borderId="0" xfId="0" applyNumberFormat="1" applyFont="1" applyFill="1" applyAlignment="1" applyProtection="1">
      <alignment horizontal="center" vertical="center" wrapText="1"/>
      <protection locked="0"/>
    </xf>
    <xf numFmtId="0" fontId="0" fillId="10" borderId="0" xfId="0" applyFill="1" applyProtection="1">
      <protection locked="0"/>
    </xf>
    <xf numFmtId="0" fontId="3" fillId="10" borderId="0" xfId="0" applyFont="1" applyFill="1" applyProtection="1">
      <protection locked="0"/>
    </xf>
    <xf numFmtId="0" fontId="0" fillId="10" borderId="0" xfId="0" applyFill="1" applyAlignment="1">
      <alignment vertical="center"/>
    </xf>
    <xf numFmtId="0" fontId="3" fillId="0" borderId="0" xfId="0" applyFont="1" applyAlignment="1">
      <alignment vertical="center"/>
    </xf>
    <xf numFmtId="49" fontId="2" fillId="0" borderId="0" xfId="1" applyNumberFormat="1" applyFont="1" applyAlignment="1">
      <alignment horizontal="center" vertical="center" wrapText="1"/>
    </xf>
    <xf numFmtId="0" fontId="3" fillId="0" borderId="0" xfId="1" applyAlignment="1">
      <alignment vertical="center"/>
    </xf>
    <xf numFmtId="0" fontId="2" fillId="2" borderId="0" xfId="0" applyFont="1" applyFill="1" applyAlignment="1">
      <alignment horizontal="center" vertical="center" wrapText="1"/>
    </xf>
    <xf numFmtId="49" fontId="2" fillId="7" borderId="0" xfId="0" applyNumberFormat="1" applyFont="1" applyFill="1" applyAlignment="1">
      <alignment horizontal="center" vertical="center" wrapText="1"/>
    </xf>
    <xf numFmtId="164" fontId="8" fillId="0" borderId="0" xfId="0" applyNumberFormat="1" applyFont="1" applyAlignment="1" applyProtection="1">
      <alignment vertical="center"/>
      <protection locked="0"/>
    </xf>
    <xf numFmtId="0" fontId="9" fillId="0" borderId="0" xfId="0" applyFont="1" applyProtection="1">
      <protection locked="0"/>
    </xf>
    <xf numFmtId="0" fontId="8" fillId="0" borderId="0" xfId="0" applyFont="1" applyProtection="1">
      <protection locked="0"/>
    </xf>
    <xf numFmtId="49" fontId="2" fillId="4" borderId="0" xfId="0" applyNumberFormat="1" applyFont="1" applyFill="1" applyAlignment="1" applyProtection="1">
      <alignment horizontal="center" vertical="center" wrapText="1"/>
      <protection locked="0"/>
    </xf>
    <xf numFmtId="166" fontId="2" fillId="0" borderId="0" xfId="0" applyNumberFormat="1" applyFont="1" applyAlignment="1" applyProtection="1">
      <alignment horizontal="center" vertical="center" wrapText="1"/>
      <protection locked="0"/>
    </xf>
    <xf numFmtId="166" fontId="0" fillId="0" borderId="0" xfId="0" applyNumberFormat="1" applyAlignment="1" applyProtection="1">
      <alignment vertical="center"/>
      <protection locked="0"/>
    </xf>
    <xf numFmtId="0" fontId="3" fillId="0" borderId="0" xfId="0" applyFont="1" applyAlignment="1">
      <alignment horizontal="center"/>
    </xf>
    <xf numFmtId="0" fontId="7" fillId="0" borderId="0" xfId="0" applyFont="1" applyAlignment="1">
      <alignment horizontal="left" vertical="center" wrapText="1"/>
    </xf>
    <xf numFmtId="0" fontId="7" fillId="0" borderId="0" xfId="0" applyFont="1" applyAlignment="1">
      <alignment horizontal="left" vertical="center"/>
    </xf>
    <xf numFmtId="0" fontId="3" fillId="0" borderId="0" xfId="0" applyFont="1" applyAlignment="1">
      <alignment horizontal="center" wrapText="1"/>
    </xf>
  </cellXfs>
  <cellStyles count="2">
    <cellStyle name="Normal" xfId="0" builtinId="0"/>
    <cellStyle name="Normal 2" xfId="1" xr:uid="{25A15CBB-1D9F-423D-BD9E-24209EC5377A}"/>
  </cellStyles>
  <dxfs count="21">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FF00"/>
        </patternFill>
      </fill>
    </dxf>
    <dxf>
      <fill>
        <patternFill>
          <bgColor rgb="FFFFFF00"/>
        </patternFill>
      </fill>
    </dxf>
    <dxf>
      <fill>
        <patternFill>
          <bgColor rgb="FFFFFF00"/>
        </patternFill>
      </fill>
    </dxf>
    <dxf>
      <fill>
        <patternFill patternType="solid">
          <fgColor rgb="FFFFFF00"/>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patternFill>
      </fill>
      <border>
        <left style="thin">
          <color auto="1"/>
        </left>
        <right style="thin">
          <color auto="1"/>
        </right>
        <top style="thin">
          <color auto="1"/>
        </top>
        <bottom style="thin">
          <color auto="1"/>
        </bottom>
        <vertical/>
        <horizontal/>
      </border>
    </dxf>
    <dxf>
      <fill>
        <patternFill>
          <bgColor theme="9"/>
        </patternFill>
      </fill>
      <border>
        <left style="thin">
          <color auto="1"/>
        </left>
        <right style="thin">
          <color auto="1"/>
        </right>
        <top style="thin">
          <color auto="1"/>
        </top>
        <bottom style="thin">
          <color auto="1"/>
        </bottom>
      </border>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47625</xdr:colOff>
      <xdr:row>7</xdr:row>
      <xdr:rowOff>95250</xdr:rowOff>
    </xdr:from>
    <xdr:to>
      <xdr:col>10</xdr:col>
      <xdr:colOff>991512</xdr:colOff>
      <xdr:row>54</xdr:row>
      <xdr:rowOff>20102</xdr:rowOff>
    </xdr:to>
    <xdr:pic>
      <xdr:nvPicPr>
        <xdr:cNvPr id="3" name="Picture 2">
          <a:extLst>
            <a:ext uri="{FF2B5EF4-FFF2-40B4-BE49-F238E27FC236}">
              <a16:creationId xmlns:a16="http://schemas.microsoft.com/office/drawing/2014/main" id="{FA8418A5-6446-1BB6-5793-5D0CF2B47404}"/>
            </a:ext>
          </a:extLst>
        </xdr:cNvPr>
        <xdr:cNvPicPr>
          <a:picLocks noChangeAspect="1"/>
        </xdr:cNvPicPr>
      </xdr:nvPicPr>
      <xdr:blipFill>
        <a:blip xmlns:r="http://schemas.openxmlformats.org/officeDocument/2006/relationships" r:embed="rId1"/>
        <a:stretch>
          <a:fillRect/>
        </a:stretch>
      </xdr:blipFill>
      <xdr:spPr>
        <a:xfrm>
          <a:off x="9010650" y="1390650"/>
          <a:ext cx="6535062" cy="7535327"/>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K47"/>
  <sheetViews>
    <sheetView tabSelected="1" topLeftCell="A18" workbookViewId="0">
      <selection activeCell="F35" sqref="A31:F35"/>
    </sheetView>
  </sheetViews>
  <sheetFormatPr defaultColWidth="31.42578125" defaultRowHeight="12.75" x14ac:dyDescent="0.2"/>
  <cols>
    <col min="1" max="1" width="45.42578125" style="1" bestFit="1" customWidth="1"/>
    <col min="2" max="2" width="9.28515625" style="1" bestFit="1" customWidth="1"/>
    <col min="3" max="3" width="7.28515625" style="1" bestFit="1" customWidth="1"/>
    <col min="4" max="4" width="10.5703125" style="1" bestFit="1" customWidth="1"/>
    <col min="5" max="5" width="57.42578125" style="1" customWidth="1"/>
    <col min="6" max="6" width="47.42578125" style="1" customWidth="1"/>
    <col min="7" max="16384" width="31.42578125" style="1"/>
  </cols>
  <sheetData>
    <row r="1" spans="1:11" ht="28.5" customHeight="1" x14ac:dyDescent="0.2">
      <c r="A1" s="72" t="s">
        <v>336</v>
      </c>
      <c r="B1" s="73"/>
      <c r="C1" s="73"/>
      <c r="D1" s="73"/>
      <c r="E1" s="73"/>
      <c r="F1" s="73"/>
      <c r="G1" s="73"/>
      <c r="H1" s="73"/>
      <c r="I1" s="73"/>
      <c r="J1" s="73"/>
      <c r="K1" s="73"/>
    </row>
    <row r="2" spans="1:11" ht="28.5" customHeight="1" x14ac:dyDescent="0.2">
      <c r="A2" s="73"/>
      <c r="B2" s="73"/>
      <c r="C2" s="73"/>
      <c r="D2" s="73"/>
      <c r="E2" s="73"/>
      <c r="F2" s="73"/>
      <c r="G2" s="73"/>
      <c r="H2" s="73"/>
      <c r="I2" s="73"/>
      <c r="J2" s="73"/>
      <c r="K2" s="73"/>
    </row>
    <row r="3" spans="1:11" ht="28.5" customHeight="1" x14ac:dyDescent="0.2">
      <c r="A3" s="73"/>
      <c r="B3" s="73"/>
      <c r="C3" s="73"/>
      <c r="D3" s="73"/>
      <c r="E3" s="73"/>
      <c r="F3" s="73"/>
      <c r="G3" s="73"/>
      <c r="H3" s="73"/>
      <c r="I3" s="73"/>
      <c r="J3" s="73"/>
      <c r="K3" s="73"/>
    </row>
    <row r="4" spans="1:11" ht="28.5" customHeight="1" x14ac:dyDescent="0.2">
      <c r="A4" s="73"/>
      <c r="B4" s="73"/>
      <c r="C4" s="73"/>
      <c r="D4" s="73"/>
      <c r="E4" s="73"/>
      <c r="F4" s="73"/>
      <c r="G4" s="73"/>
      <c r="H4" s="73"/>
      <c r="I4" s="73"/>
      <c r="J4" s="73"/>
      <c r="K4" s="73"/>
    </row>
    <row r="6" spans="1:11" ht="13.5" thickBot="1" x14ac:dyDescent="0.25">
      <c r="A6" s="4" t="s">
        <v>376</v>
      </c>
    </row>
    <row r="7" spans="1:11" x14ac:dyDescent="0.2">
      <c r="A7" s="5" t="s">
        <v>35</v>
      </c>
      <c r="B7" s="6" t="s">
        <v>36</v>
      </c>
      <c r="C7" s="6" t="s">
        <v>37</v>
      </c>
      <c r="D7" s="7" t="s">
        <v>38</v>
      </c>
      <c r="E7" s="7" t="s">
        <v>17</v>
      </c>
      <c r="F7" s="7" t="s">
        <v>343</v>
      </c>
    </row>
    <row r="8" spans="1:11" x14ac:dyDescent="0.2">
      <c r="A8" s="14" t="s">
        <v>21</v>
      </c>
      <c r="B8" s="11" t="s">
        <v>19</v>
      </c>
      <c r="C8" s="11">
        <v>100</v>
      </c>
      <c r="D8" s="12" t="s">
        <v>41</v>
      </c>
      <c r="E8" s="12" t="s">
        <v>3</v>
      </c>
      <c r="F8" s="12"/>
    </row>
    <row r="9" spans="1:11" x14ac:dyDescent="0.2">
      <c r="A9" s="9" t="s">
        <v>22</v>
      </c>
      <c r="B9" s="11" t="s">
        <v>20</v>
      </c>
      <c r="C9" s="11">
        <v>40</v>
      </c>
      <c r="D9" s="12" t="s">
        <v>41</v>
      </c>
      <c r="E9" s="12" t="s">
        <v>4</v>
      </c>
      <c r="F9" s="12"/>
    </row>
    <row r="10" spans="1:11" x14ac:dyDescent="0.2">
      <c r="A10" s="14" t="s">
        <v>379</v>
      </c>
      <c r="B10" s="11" t="s">
        <v>19</v>
      </c>
      <c r="C10" s="11"/>
      <c r="D10" s="12" t="s">
        <v>40</v>
      </c>
      <c r="E10" s="12" t="s">
        <v>380</v>
      </c>
      <c r="F10" s="12"/>
      <c r="G10" s="2"/>
    </row>
    <row r="11" spans="1:11" x14ac:dyDescent="0.2">
      <c r="A11" s="14" t="s">
        <v>381</v>
      </c>
      <c r="B11" s="11" t="s">
        <v>19</v>
      </c>
      <c r="C11" s="11"/>
      <c r="D11" s="12" t="s">
        <v>40</v>
      </c>
      <c r="E11" s="12" t="s">
        <v>382</v>
      </c>
      <c r="F11" s="12"/>
      <c r="G11" s="2"/>
    </row>
    <row r="12" spans="1:11" hidden="1" x14ac:dyDescent="0.2">
      <c r="A12" s="15" t="s">
        <v>5</v>
      </c>
      <c r="B12" s="11" t="s">
        <v>19</v>
      </c>
      <c r="C12" s="11">
        <v>40</v>
      </c>
      <c r="D12" s="12" t="s">
        <v>41</v>
      </c>
      <c r="E12" s="16" t="s">
        <v>12</v>
      </c>
      <c r="F12" s="12"/>
    </row>
    <row r="13" spans="1:11" x14ac:dyDescent="0.2">
      <c r="A13" s="8" t="s">
        <v>177</v>
      </c>
      <c r="B13" s="11" t="s">
        <v>19</v>
      </c>
      <c r="C13" s="11">
        <v>40</v>
      </c>
      <c r="D13" s="12" t="s">
        <v>41</v>
      </c>
      <c r="E13" s="12" t="s">
        <v>23</v>
      </c>
      <c r="F13" s="12"/>
    </row>
    <row r="14" spans="1:11" x14ac:dyDescent="0.2">
      <c r="A14" s="15" t="s">
        <v>6</v>
      </c>
      <c r="B14" s="11" t="s">
        <v>19</v>
      </c>
      <c r="C14" s="11"/>
      <c r="D14" s="12" t="s">
        <v>39</v>
      </c>
      <c r="E14" s="12" t="s">
        <v>16</v>
      </c>
      <c r="F14" s="12"/>
    </row>
    <row r="15" spans="1:11" x14ac:dyDescent="0.2">
      <c r="A15" s="9" t="s">
        <v>31</v>
      </c>
      <c r="B15" s="11" t="s">
        <v>20</v>
      </c>
      <c r="C15" s="11"/>
      <c r="D15" s="12" t="s">
        <v>39</v>
      </c>
      <c r="E15" s="12" t="s">
        <v>32</v>
      </c>
      <c r="F15" s="12"/>
    </row>
    <row r="16" spans="1:11" x14ac:dyDescent="0.2">
      <c r="A16" s="8" t="s">
        <v>178</v>
      </c>
      <c r="B16" s="11" t="s">
        <v>19</v>
      </c>
      <c r="C16" s="11">
        <v>50</v>
      </c>
      <c r="D16" s="12" t="s">
        <v>41</v>
      </c>
      <c r="E16" s="12" t="s">
        <v>333</v>
      </c>
      <c r="F16" s="12"/>
    </row>
    <row r="17" spans="1:6" x14ac:dyDescent="0.2">
      <c r="A17" s="8" t="s">
        <v>179</v>
      </c>
      <c r="B17" s="11" t="s">
        <v>19</v>
      </c>
      <c r="C17" s="11">
        <v>40</v>
      </c>
      <c r="D17" s="12" t="s">
        <v>41</v>
      </c>
      <c r="E17" s="12" t="s">
        <v>334</v>
      </c>
      <c r="F17" s="12"/>
    </row>
    <row r="18" spans="1:6" x14ac:dyDescent="0.2">
      <c r="A18" s="9" t="s">
        <v>93</v>
      </c>
      <c r="B18" s="11" t="s">
        <v>20</v>
      </c>
      <c r="C18" s="11"/>
      <c r="D18" s="12" t="s">
        <v>40</v>
      </c>
      <c r="E18" s="12" t="s">
        <v>94</v>
      </c>
      <c r="F18" s="12"/>
    </row>
    <row r="19" spans="1:6" x14ac:dyDescent="0.2">
      <c r="A19" s="9" t="s">
        <v>101</v>
      </c>
      <c r="B19" s="11" t="s">
        <v>20</v>
      </c>
      <c r="C19" s="11"/>
      <c r="D19" s="12" t="s">
        <v>40</v>
      </c>
      <c r="E19" s="12" t="s">
        <v>104</v>
      </c>
      <c r="F19" s="12"/>
    </row>
    <row r="20" spans="1:6" x14ac:dyDescent="0.2">
      <c r="A20" s="9" t="s">
        <v>102</v>
      </c>
      <c r="B20" s="11" t="s">
        <v>20</v>
      </c>
      <c r="C20" s="11"/>
      <c r="D20" s="12" t="s">
        <v>40</v>
      </c>
      <c r="E20" s="12" t="s">
        <v>103</v>
      </c>
      <c r="F20" s="12"/>
    </row>
    <row r="21" spans="1:6" x14ac:dyDescent="0.2">
      <c r="A21" s="9" t="s">
        <v>95</v>
      </c>
      <c r="B21" s="11" t="s">
        <v>20</v>
      </c>
      <c r="C21" s="11">
        <v>60</v>
      </c>
      <c r="D21" s="12" t="s">
        <v>41</v>
      </c>
      <c r="E21" s="12" t="s">
        <v>96</v>
      </c>
      <c r="F21" s="12"/>
    </row>
    <row r="22" spans="1:6" x14ac:dyDescent="0.2">
      <c r="A22" s="9" t="s">
        <v>46</v>
      </c>
      <c r="B22" s="11" t="s">
        <v>20</v>
      </c>
      <c r="C22" s="11">
        <v>10</v>
      </c>
      <c r="D22" s="12" t="s">
        <v>41</v>
      </c>
      <c r="E22" s="12" t="s">
        <v>105</v>
      </c>
      <c r="F22" s="12"/>
    </row>
    <row r="23" spans="1:6" x14ac:dyDescent="0.2">
      <c r="A23" s="15" t="s">
        <v>18</v>
      </c>
      <c r="B23" s="11" t="s">
        <v>19</v>
      </c>
      <c r="C23" s="11">
        <v>60</v>
      </c>
      <c r="D23" s="12" t="s">
        <v>41</v>
      </c>
      <c r="E23" s="12" t="s">
        <v>24</v>
      </c>
      <c r="F23" s="12"/>
    </row>
    <row r="24" spans="1:6" ht="38.25" x14ac:dyDescent="0.2">
      <c r="A24" s="15" t="s">
        <v>7</v>
      </c>
      <c r="B24" s="11" t="s">
        <v>19</v>
      </c>
      <c r="C24" s="11">
        <v>60</v>
      </c>
      <c r="D24" s="12" t="s">
        <v>41</v>
      </c>
      <c r="E24" s="12" t="s">
        <v>25</v>
      </c>
      <c r="F24" s="27" t="s">
        <v>363</v>
      </c>
    </row>
    <row r="25" spans="1:6" x14ac:dyDescent="0.2">
      <c r="A25" s="15" t="s">
        <v>8</v>
      </c>
      <c r="B25" s="11" t="s">
        <v>19</v>
      </c>
      <c r="C25" s="11">
        <v>60</v>
      </c>
      <c r="D25" s="12" t="s">
        <v>41</v>
      </c>
      <c r="E25" s="12" t="s">
        <v>26</v>
      </c>
      <c r="F25" s="12"/>
    </row>
    <row r="26" spans="1:6" x14ac:dyDescent="0.2">
      <c r="A26" s="15" t="s">
        <v>180</v>
      </c>
      <c r="B26" s="11" t="s">
        <v>19</v>
      </c>
      <c r="C26" s="11">
        <v>40</v>
      </c>
      <c r="D26" s="12" t="s">
        <v>41</v>
      </c>
      <c r="E26" s="24" t="s">
        <v>182</v>
      </c>
      <c r="F26" s="12"/>
    </row>
    <row r="27" spans="1:6" x14ac:dyDescent="0.2">
      <c r="A27" s="15" t="s">
        <v>345</v>
      </c>
      <c r="B27" s="11" t="s">
        <v>19</v>
      </c>
      <c r="C27" s="11">
        <v>41</v>
      </c>
      <c r="D27" s="12" t="s">
        <v>41</v>
      </c>
      <c r="E27" s="24" t="s">
        <v>346</v>
      </c>
      <c r="F27" s="12"/>
    </row>
    <row r="28" spans="1:6" ht="38.25" x14ac:dyDescent="0.2">
      <c r="A28" s="15" t="s">
        <v>176</v>
      </c>
      <c r="B28" s="11" t="s">
        <v>19</v>
      </c>
      <c r="C28" s="11">
        <v>40</v>
      </c>
      <c r="D28" s="12" t="s">
        <v>41</v>
      </c>
      <c r="E28" s="24" t="s">
        <v>341</v>
      </c>
      <c r="F28" s="27" t="s">
        <v>362</v>
      </c>
    </row>
    <row r="29" spans="1:6" x14ac:dyDescent="0.2">
      <c r="A29" s="9" t="s">
        <v>2</v>
      </c>
      <c r="B29" s="11" t="s">
        <v>20</v>
      </c>
      <c r="C29" s="11">
        <v>4</v>
      </c>
      <c r="D29" s="12" t="s">
        <v>41</v>
      </c>
      <c r="E29" s="12" t="s">
        <v>1</v>
      </c>
      <c r="F29" s="12"/>
    </row>
    <row r="30" spans="1:6" x14ac:dyDescent="0.2">
      <c r="A30" s="9" t="s">
        <v>9</v>
      </c>
      <c r="B30" s="11" t="s">
        <v>20</v>
      </c>
      <c r="C30" s="11">
        <v>40</v>
      </c>
      <c r="D30" s="12" t="s">
        <v>41</v>
      </c>
      <c r="E30" s="12" t="s">
        <v>27</v>
      </c>
      <c r="F30" s="12"/>
    </row>
    <row r="31" spans="1:6" x14ac:dyDescent="0.2">
      <c r="A31" s="9" t="s">
        <v>33</v>
      </c>
      <c r="B31" s="11" t="s">
        <v>20</v>
      </c>
      <c r="C31" s="11"/>
      <c r="D31" s="12" t="s">
        <v>40</v>
      </c>
      <c r="E31" s="12" t="s">
        <v>34</v>
      </c>
      <c r="F31" s="12"/>
    </row>
    <row r="32" spans="1:6" x14ac:dyDescent="0.2">
      <c r="A32" s="9" t="s">
        <v>10</v>
      </c>
      <c r="B32" s="11" t="s">
        <v>20</v>
      </c>
      <c r="C32" s="11">
        <v>70</v>
      </c>
      <c r="D32" s="12" t="s">
        <v>41</v>
      </c>
      <c r="E32" s="12" t="s">
        <v>28</v>
      </c>
      <c r="F32" s="12"/>
    </row>
    <row r="33" spans="1:6" x14ac:dyDescent="0.2">
      <c r="A33" s="9" t="s">
        <v>15</v>
      </c>
      <c r="B33" s="11" t="s">
        <v>20</v>
      </c>
      <c r="C33" s="11"/>
      <c r="D33" s="12" t="s">
        <v>40</v>
      </c>
      <c r="E33" s="12" t="s">
        <v>29</v>
      </c>
      <c r="F33" s="12"/>
    </row>
    <row r="34" spans="1:6" x14ac:dyDescent="0.2">
      <c r="A34" s="9" t="s">
        <v>11</v>
      </c>
      <c r="B34" s="11" t="s">
        <v>20</v>
      </c>
      <c r="C34" s="11">
        <v>40</v>
      </c>
      <c r="D34" s="12" t="s">
        <v>41</v>
      </c>
      <c r="E34" s="12" t="s">
        <v>30</v>
      </c>
      <c r="F34" s="12"/>
    </row>
    <row r="35" spans="1:6" ht="39" thickBot="1" x14ac:dyDescent="0.25">
      <c r="A35" s="21" t="s">
        <v>0</v>
      </c>
      <c r="B35" s="13" t="s">
        <v>20</v>
      </c>
      <c r="C35" s="13">
        <v>300</v>
      </c>
      <c r="D35" s="13" t="s">
        <v>41</v>
      </c>
      <c r="E35" s="24" t="s">
        <v>340</v>
      </c>
      <c r="F35" s="28" t="s">
        <v>344</v>
      </c>
    </row>
    <row r="36" spans="1:6" x14ac:dyDescent="0.2">
      <c r="A36" s="8" t="s">
        <v>337</v>
      </c>
    </row>
    <row r="37" spans="1:6" x14ac:dyDescent="0.2">
      <c r="A37" s="23" t="s">
        <v>338</v>
      </c>
    </row>
    <row r="40" spans="1:6" x14ac:dyDescent="0.2">
      <c r="A40" s="1" t="s">
        <v>356</v>
      </c>
    </row>
    <row r="41" spans="1:6" ht="27.75" customHeight="1" x14ac:dyDescent="0.2">
      <c r="A41" s="47"/>
      <c r="B41" s="71" t="s">
        <v>357</v>
      </c>
      <c r="C41" s="71"/>
      <c r="D41" s="71"/>
      <c r="E41" s="71"/>
      <c r="F41" s="71"/>
    </row>
    <row r="42" spans="1:6" ht="27.75" customHeight="1" x14ac:dyDescent="0.2">
      <c r="A42" s="48"/>
      <c r="B42" s="71" t="s">
        <v>358</v>
      </c>
      <c r="C42" s="71"/>
      <c r="D42" s="71"/>
      <c r="E42" s="71"/>
      <c r="F42" s="71"/>
    </row>
    <row r="43" spans="1:6" ht="27.75" customHeight="1" x14ac:dyDescent="0.2">
      <c r="A43" s="49"/>
      <c r="B43" s="71" t="s">
        <v>359</v>
      </c>
      <c r="C43" s="71"/>
      <c r="D43" s="71"/>
      <c r="E43" s="71"/>
      <c r="F43" s="71"/>
    </row>
    <row r="44" spans="1:6" ht="27.75" customHeight="1" x14ac:dyDescent="0.2">
      <c r="A44" s="50"/>
      <c r="B44" s="74" t="s">
        <v>361</v>
      </c>
      <c r="C44" s="74"/>
      <c r="D44" s="74"/>
      <c r="E44" s="74"/>
      <c r="F44" s="74"/>
    </row>
    <row r="45" spans="1:6" x14ac:dyDescent="0.2">
      <c r="B45" s="71"/>
      <c r="C45" s="71"/>
      <c r="D45" s="71"/>
      <c r="E45" s="71"/>
      <c r="F45" s="71"/>
    </row>
    <row r="46" spans="1:6" x14ac:dyDescent="0.2">
      <c r="B46" s="71"/>
      <c r="C46" s="71"/>
      <c r="D46" s="71"/>
      <c r="E46" s="71"/>
      <c r="F46" s="71"/>
    </row>
    <row r="47" spans="1:6" x14ac:dyDescent="0.2">
      <c r="B47" s="71"/>
      <c r="C47" s="71"/>
      <c r="D47" s="71"/>
      <c r="E47" s="71"/>
      <c r="F47" s="71"/>
    </row>
  </sheetData>
  <sheetProtection algorithmName="SHA-512" hashValue="yfXvMsXS+spy0d0QbwlGrZRcFn6/N+zvtfv6evQq1hTo4Iog0o8v38NvqzjiWlHIUOrsqU9E+Z/7qMDVhRhJFA==" saltValue="1XK2rBDfay937j33VdeEOA==" spinCount="100000" sheet="1" objects="1" scenarios="1"/>
  <mergeCells count="8">
    <mergeCell ref="B45:F45"/>
    <mergeCell ref="B46:F46"/>
    <mergeCell ref="B47:F47"/>
    <mergeCell ref="A1:K4"/>
    <mergeCell ref="B41:F41"/>
    <mergeCell ref="B42:F42"/>
    <mergeCell ref="B43:F43"/>
    <mergeCell ref="B44:F44"/>
  </mergeCells>
  <phoneticPr fontId="1" type="noConversion"/>
  <dataValidations count="2">
    <dataValidation operator="lessThanOrEqual" showErrorMessage="1" errorTitle="Procedure data entry error" error="Field Length exceeded:  refer to &quot;Result Columns&quot; tab to determine the maximum field length" sqref="A17" xr:uid="{55B78205-14C2-4B68-9BEC-F381400BDEA6}"/>
    <dataValidation type="textLength" operator="lessThanOrEqual" showInputMessage="1" showErrorMessage="1" errorTitle="Activity ID data entry error:" error="Field Length exceeded:  refer to &quot;Result Columns&quot; tab to determine the maximum field length" sqref="G10:G11" xr:uid="{A20C1AED-E7CD-4A65-B209-6F7E243C8FDF}">
      <formula1>50</formula1>
    </dataValidation>
  </dataValidations>
  <pageMargins left="0.75" right="0.75" top="1" bottom="1" header="0.5" footer="0.5"/>
  <pageSetup scale="36" orientation="landscape" r:id="rId1"/>
  <headerFooter alignWithMargins="0">
    <oddHeader>&amp;C&amp;A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AB4083"/>
  <sheetViews>
    <sheetView zoomScale="80" zoomScaleNormal="80" workbookViewId="0">
      <pane ySplit="1" topLeftCell="A66" activePane="bottomLeft" state="frozen"/>
      <selection activeCell="A39" sqref="A39:A41"/>
      <selection pane="bottomLeft" activeCell="H1" sqref="H1"/>
    </sheetView>
  </sheetViews>
  <sheetFormatPr defaultRowHeight="12.75" x14ac:dyDescent="0.2"/>
  <cols>
    <col min="1" max="1" width="9.7109375" style="35" customWidth="1"/>
    <col min="2" max="2" width="9.42578125" style="35" customWidth="1"/>
    <col min="3" max="3" width="12.85546875" style="35" customWidth="1"/>
    <col min="4" max="4" width="13.5703125" style="35" customWidth="1"/>
    <col min="5" max="5" width="13.140625" style="35" bestFit="1" customWidth="1"/>
    <col min="6" max="6" width="12.28515625" style="36" bestFit="1" customWidth="1"/>
    <col min="7" max="7" width="10" style="36" customWidth="1"/>
    <col min="8" max="8" width="25.7109375" style="36" customWidth="1"/>
    <col min="9" max="9" width="15.5703125" style="35" customWidth="1"/>
    <col min="10" max="10" width="6.28515625" style="37" bestFit="1" customWidth="1"/>
    <col min="11" max="12" width="6.28515625" style="37" customWidth="1"/>
    <col min="13" max="13" width="10.85546875" style="35" bestFit="1" customWidth="1"/>
    <col min="14" max="14" width="11.42578125" style="35" customWidth="1"/>
    <col min="15" max="15" width="28.42578125" style="35" bestFit="1" customWidth="1"/>
    <col min="16" max="16" width="12.85546875" style="35" bestFit="1" customWidth="1"/>
    <col min="17" max="17" width="13.42578125" style="35" bestFit="1" customWidth="1"/>
    <col min="18" max="18" width="20" style="35" customWidth="1"/>
    <col min="19" max="19" width="22.5703125" style="35" customWidth="1"/>
    <col min="20" max="20" width="23.28515625" style="3" customWidth="1"/>
    <col min="21" max="21" width="13" style="35" customWidth="1"/>
    <col min="22" max="22" width="13.7109375" style="35" customWidth="1"/>
    <col min="23" max="23" width="11" style="35" customWidth="1"/>
    <col min="24" max="24" width="19.42578125" style="35" customWidth="1"/>
    <col min="25" max="25" width="15.140625" style="35" customWidth="1"/>
    <col min="26" max="26" width="21.7109375" style="35" customWidth="1"/>
    <col min="27" max="27" width="35.28515625" style="35" customWidth="1"/>
    <col min="28" max="28" width="25.85546875" style="3" customWidth="1"/>
    <col min="29" max="29" width="34.7109375" style="3" customWidth="1"/>
    <col min="30" max="16384" width="9.140625" style="3"/>
  </cols>
  <sheetData>
    <row r="1" spans="1:28" s="2" customFormat="1" ht="54.75" customHeight="1" x14ac:dyDescent="0.2">
      <c r="A1" s="63" t="s">
        <v>21</v>
      </c>
      <c r="B1" s="2" t="s">
        <v>22</v>
      </c>
      <c r="C1" s="68" t="s">
        <v>381</v>
      </c>
      <c r="D1" s="68" t="s">
        <v>379</v>
      </c>
      <c r="E1" s="30" t="s">
        <v>177</v>
      </c>
      <c r="F1" s="30" t="s">
        <v>6</v>
      </c>
      <c r="G1" s="2" t="s">
        <v>31</v>
      </c>
      <c r="H1" s="30" t="s">
        <v>178</v>
      </c>
      <c r="I1" s="30" t="s">
        <v>179</v>
      </c>
      <c r="J1" s="31" t="s">
        <v>93</v>
      </c>
      <c r="K1" s="2" t="s">
        <v>101</v>
      </c>
      <c r="L1" s="2" t="s">
        <v>102</v>
      </c>
      <c r="M1" s="31" t="s">
        <v>95</v>
      </c>
      <c r="N1" s="2" t="s">
        <v>46</v>
      </c>
      <c r="O1" s="30" t="s">
        <v>18</v>
      </c>
      <c r="P1" s="30" t="s">
        <v>7</v>
      </c>
      <c r="Q1" s="30" t="s">
        <v>8</v>
      </c>
      <c r="R1" s="30" t="s">
        <v>181</v>
      </c>
      <c r="S1" s="30" t="s">
        <v>353</v>
      </c>
      <c r="T1" s="30" t="s">
        <v>360</v>
      </c>
      <c r="U1" s="2" t="s">
        <v>2</v>
      </c>
      <c r="V1" s="2" t="s">
        <v>9</v>
      </c>
      <c r="W1" s="2" t="s">
        <v>33</v>
      </c>
      <c r="X1" s="2" t="s">
        <v>10</v>
      </c>
      <c r="Y1" s="2" t="s">
        <v>15</v>
      </c>
      <c r="Z1" s="2" t="s">
        <v>11</v>
      </c>
      <c r="AA1" s="64" t="s">
        <v>0</v>
      </c>
      <c r="AB1" s="61" t="s">
        <v>342</v>
      </c>
    </row>
    <row r="2" spans="1:28" ht="29.25" customHeight="1" x14ac:dyDescent="0.2">
      <c r="A2" s="35" t="s">
        <v>323</v>
      </c>
      <c r="C2" s="69"/>
      <c r="D2" s="70"/>
      <c r="F2" s="25"/>
      <c r="O2" s="38"/>
      <c r="P2" s="19"/>
      <c r="Q2" s="19"/>
      <c r="R2" s="34"/>
      <c r="S2" s="34"/>
      <c r="T2" s="60" t="str">
        <f>IF(P2&lt;&gt;"",
    IF(OR(O2="", Q2="", R2=""),
        "Fill all the required columns",
        IFERROR(
            IF(
                ISNUMBER(MATCH(O2, Reference!$A$2:$A$102, 0)),
                IF(
                    OR(
                        AND(R2="ADS - Marine Protected", VLOOKUP(O2, Reference!$A$2:$D$102, 4, FALSE) &lt;= P2),
                        AND(R2="ADS - General Use", VLOOKUP(O2, Reference!$A$2:$D$102, 3, FALSE) &lt;= P2),
                        AND(R2="International Standards", VLOOKUP(O2, Reference!$A$2:$F$102, 5, FALSE) &lt;= P2)
                    ),
                    "Exceeded",
                    "OK"
                ),
                IF(
                    ISNUMBER(MATCH(O2, Reference!$G$2:$G$103, 0)),
                    IF(
                        OR(
                            AND(R2="ADS - Marine Protected", P2 &lt;= VLOOKUP(O2, Reference!$G$2:$J$103, 4, FALSE)),
                            AND(R2="ADS - General Use", P2 &lt;= VLOOKUP(O2, Reference!$G$2:$J$103, 3, FALSE)),
                            AND(R2="International Standards", P2 &lt;= VLOOKUP(O2, Reference!$G$2:$L$102, 5, FALSE))
                        ),
                        "Below Minimum",
                        "OK"
                    ),
                    "No Regulation defined"
                )
            ),
            "No Regulation defined"
        )
    ),
    ""
)</f>
        <v/>
      </c>
      <c r="U2" s="39"/>
      <c r="AA2" s="40"/>
      <c r="AB2" s="62" t="str">
        <f>IF(COUNTA(A2,C2,D2, E2, F2, H2, I2, O2, P2, Q2, R2,S2) = 0, "", IF(COUNTA(A2, C2,D2,E2, F2, H2, I2, O2, P2, Q2, R2,S2) = 12, "OK", "Incomplete"))</f>
        <v>Incomplete</v>
      </c>
    </row>
    <row r="3" spans="1:28" ht="29.25" customHeight="1" x14ac:dyDescent="0.2">
      <c r="C3" s="69"/>
      <c r="D3" s="70"/>
      <c r="F3" s="25"/>
      <c r="O3" s="38"/>
      <c r="P3" s="19"/>
      <c r="Q3" s="19"/>
      <c r="R3" s="19"/>
      <c r="S3" s="34"/>
      <c r="T3" s="60" t="str">
        <f>IF(P3&lt;&gt;"",
    IF(OR(O3="", Q3="", R3=""),
        "Fill all the required columns",
        IFERROR(
            IF(
                ISNUMBER(MATCH(O3, Reference!$A$2:$A$102, 0)),
                IF(
                    OR(
                        AND(R3="ADS - Marine Protected", VLOOKUP(O3, Reference!$A$2:$D$102, 4, FALSE) &lt;= P3),
                        AND(R3="ADS - General Use", VLOOKUP(O3, Reference!$A$2:$D$102, 3, FALSE) &lt;= P3),
                        AND(R3="International Standards", VLOOKUP(O3, Reference!$A$2:$F$102, 5, FALSE) &lt;= P3)
                    ),
                    "Exceeded",
                    "OK"
                ),
                IF(
                    ISNUMBER(MATCH(O3, Reference!$G$2:$G$103, 0)),
                    IF(
                        OR(
                            AND(R3="ADS - Marine Protected", P3 &lt;= VLOOKUP(O3, Reference!$G$2:$J$103, 4, FALSE)),
                            AND(R3="ADS - General Use", P3 &lt;= VLOOKUP(O3, Reference!$G$2:$J$103, 3, FALSE)),
                            AND(R3="International Standards", P3 &lt;= VLOOKUP(O3, Reference!$G$2:$L$102, 5, FALSE))
                        ),
                        "Below Minimum",
                        "OK"
                    ),
                    "No Regulation defined"
                )
            ),
            "No Regulation defined"
        )
    ),
    ""
)</f>
        <v/>
      </c>
      <c r="U3" s="39"/>
      <c r="AA3" s="40"/>
      <c r="AB3" s="62" t="str">
        <f t="shared" ref="AB3:AB66" si="0">IF(COUNTA(A3, E3, F3, H3, I3, O3, P3, Q3, R3,S3) = 0, "", IF(COUNTA(A3, E3, F3, H3, I3, O3, P3, Q3, R3,S3) = 10, "OK", "Incomplete"))</f>
        <v/>
      </c>
    </row>
    <row r="4" spans="1:28" ht="29.25" customHeight="1" x14ac:dyDescent="0.2">
      <c r="C4" s="69"/>
      <c r="D4" s="70"/>
      <c r="F4" s="25"/>
      <c r="O4" s="38"/>
      <c r="P4" s="34"/>
      <c r="Q4" s="19"/>
      <c r="R4" s="19"/>
      <c r="S4" s="34"/>
      <c r="T4" s="60" t="str">
        <f>IF(P4&lt;&gt;"",
    IF(OR(O4="", Q4="", R4=""),
        "Fill all the required columns",
        IFERROR(
            IF(
                ISNUMBER(MATCH(O4, Reference!$A$2:$A$102, 0)),
                IF(
                    OR(
                        AND(R4="ADS - Marine Protected", VLOOKUP(O4, Reference!$A$2:$D$102, 4, FALSE) &lt;= P4),
                        AND(R4="ADS - General Use", VLOOKUP(O4, Reference!$A$2:$D$102, 3, FALSE) &lt;= P4),
                        AND(R4="International Standards", VLOOKUP(O4, Reference!$A$2:$F$102, 5, FALSE) &lt;= P4)
                    ),
                    "Exceeded",
                    "OK"
                ),
                IF(
                    ISNUMBER(MATCH(O4, Reference!$G$2:$G$103, 0)),
                    IF(
                        OR(
                            AND(R4="ADS - Marine Protected", P4 &lt;= VLOOKUP(O4, Reference!$G$2:$J$103, 4, FALSE)),
                            AND(R4="ADS - General Use", P4 &lt;= VLOOKUP(O4, Reference!$G$2:$J$103, 3, FALSE)),
                            AND(R4="International Standards", P4 &lt;= VLOOKUP(O4, Reference!$G$2:$L$102, 5, FALSE))
                        ),
                        "Below Minimum",
                        "OK"
                    ),
                    "No Regulation defined"
                )
            ),
            "No Regulation defined"
        )
    ),
    ""
)</f>
        <v/>
      </c>
      <c r="U4" s="39"/>
      <c r="AA4" s="40"/>
      <c r="AB4" s="62" t="str">
        <f t="shared" si="0"/>
        <v/>
      </c>
    </row>
    <row r="5" spans="1:28" ht="29.25" customHeight="1" x14ac:dyDescent="0.2">
      <c r="C5" s="69"/>
      <c r="D5" s="70"/>
      <c r="F5" s="25"/>
      <c r="O5" s="38"/>
      <c r="P5" s="34"/>
      <c r="Q5" s="19"/>
      <c r="R5" s="19"/>
      <c r="S5" s="34"/>
      <c r="T5" s="60" t="str">
        <f>IF(P5&lt;&gt;"",
    IF(OR(O5="", Q5="", R5=""),
        "Fill all the required columns",
        IFERROR(
            IF(
                ISNUMBER(MATCH(O5, Reference!$A$2:$A$102, 0)),
                IF(
                    OR(
                        AND(R5="ADS - Marine Protected", VLOOKUP(O5, Reference!$A$2:$D$102, 4, FALSE) &lt;= P5),
                        AND(R5="ADS - General Use", VLOOKUP(O5, Reference!$A$2:$D$102, 3, FALSE) &lt;= P5),
                        AND(R5="International Standards", VLOOKUP(O5, Reference!$A$2:$F$102, 5, FALSE) &lt;= P5)
                    ),
                    "Exceeded",
                    "OK"
                ),
                IF(
                    ISNUMBER(MATCH(O5, Reference!$G$2:$G$103, 0)),
                    IF(
                        OR(
                            AND(R5="ADS - Marine Protected", P5 &lt;= VLOOKUP(O5, Reference!$G$2:$J$103, 4, FALSE)),
                            AND(R5="ADS - General Use", P5 &lt;= VLOOKUP(O5, Reference!$G$2:$J$103, 3, FALSE)),
                            AND(R5="International Standards", P5 &lt;= VLOOKUP(O5, Reference!$G$2:$L$102, 5, FALSE))
                        ),
                        "Below Minimum",
                        "OK"
                    ),
                    "No Regulation defined"
                )
            ),
            "No Regulation defined"
        )
    ),
    ""
)</f>
        <v/>
      </c>
      <c r="U5" s="39"/>
      <c r="AA5" s="40"/>
      <c r="AB5" s="62" t="str">
        <f t="shared" si="0"/>
        <v/>
      </c>
    </row>
    <row r="6" spans="1:28" ht="29.25" customHeight="1" x14ac:dyDescent="0.2">
      <c r="C6" s="69"/>
      <c r="D6" s="70"/>
      <c r="F6" s="25"/>
      <c r="O6" s="38"/>
      <c r="P6" s="34"/>
      <c r="Q6" s="19"/>
      <c r="R6" s="34"/>
      <c r="S6" s="34"/>
      <c r="T6" s="60" t="str">
        <f>IF(P6&lt;&gt;"",
    IF(OR(O6="", Q6="", R6=""),
        "Fill all the required columns",
        IFERROR(
            IF(
                ISNUMBER(MATCH(O6, Reference!$A$2:$A$102, 0)),
                IF(
                    OR(
                        AND(R6="ADS - Marine Protected", VLOOKUP(O6, Reference!$A$2:$D$102, 4, FALSE) &lt;= P6),
                        AND(R6="ADS - General Use", VLOOKUP(O6, Reference!$A$2:$D$102, 3, FALSE) &lt;= P6),
                        AND(R6="International Standards", VLOOKUP(O6, Reference!$A$2:$F$102, 5, FALSE) &lt;= P6)
                    ),
                    "Exceeded",
                    "OK"
                ),
                IF(
                    ISNUMBER(MATCH(O6, Reference!$G$2:$G$103, 0)),
                    IF(
                        OR(
                            AND(R6="ADS - Marine Protected", P6 &lt;= VLOOKUP(O6, Reference!$G$2:$J$103, 4, FALSE)),
                            AND(R6="ADS - General Use", P6 &lt;= VLOOKUP(O6, Reference!$G$2:$J$103, 3, FALSE)),
                            AND(R6="International Standards", P6 &lt;= VLOOKUP(O6, Reference!$G$2:$L$102, 5, FALSE))
                        ),
                        "Below Minimum",
                        "OK"
                    ),
                    "No Regulation defined"
                )
            ),
            "No Regulation defined"
        )
    ),
    ""
)</f>
        <v/>
      </c>
      <c r="U6" s="39"/>
      <c r="AA6" s="40"/>
      <c r="AB6" s="62" t="str">
        <f t="shared" si="0"/>
        <v/>
      </c>
    </row>
    <row r="7" spans="1:28" ht="29.25" customHeight="1" x14ac:dyDescent="0.2">
      <c r="C7" s="69"/>
      <c r="D7" s="70"/>
      <c r="F7" s="25"/>
      <c r="H7" s="55"/>
      <c r="O7" s="38"/>
      <c r="P7" s="19"/>
      <c r="Q7" s="19"/>
      <c r="R7" s="19"/>
      <c r="S7" s="34"/>
      <c r="T7" s="60" t="str">
        <f>IF(P7&lt;&gt;"",
    IF(OR(O7="", Q7="", R7=""),
        "Fill all the required columns",
        IFERROR(
            IF(
                ISNUMBER(MATCH(O7, Reference!$A$2:$A$102, 0)),
                IF(
                    OR(
                        AND(R7="ADS - Marine Protected", VLOOKUP(O7, Reference!$A$2:$D$102, 4, FALSE) &lt;= P7),
                        AND(R7="ADS - General Use", VLOOKUP(O7, Reference!$A$2:$D$102, 3, FALSE) &lt;= P7),
                        AND(R7="International Standards", VLOOKUP(O7, Reference!$A$2:$F$102, 5, FALSE) &lt;= P7)
                    ),
                    "Exceeded",
                    "OK"
                ),
                IF(
                    ISNUMBER(MATCH(O7, Reference!$G$2:$G$103, 0)),
                    IF(
                        OR(
                            AND(R7="ADS - Marine Protected", P7 &lt;= VLOOKUP(O7, Reference!$G$2:$J$103, 4, FALSE)),
                            AND(R7="ADS - General Use", P7 &lt;= VLOOKUP(O7, Reference!$G$2:$J$103, 3, FALSE)),
                            AND(R7="International Standards", P7 &lt;= VLOOKUP(O7, Reference!$G$2:$L$102, 5, FALSE))
                        ),
                        "Below Minimum",
                        "OK"
                    ),
                    "No Regulation defined"
                )
            ),
            "No Regulation defined"
        )
    ),
    ""
)</f>
        <v/>
      </c>
      <c r="U7" s="39"/>
      <c r="AA7" s="40"/>
      <c r="AB7" s="62" t="str">
        <f t="shared" si="0"/>
        <v/>
      </c>
    </row>
    <row r="8" spans="1:28" ht="29.25" customHeight="1" x14ac:dyDescent="0.2">
      <c r="C8" s="69"/>
      <c r="D8" s="70"/>
      <c r="F8" s="25"/>
      <c r="O8" s="38"/>
      <c r="P8" s="19"/>
      <c r="Q8" s="19"/>
      <c r="R8" s="19"/>
      <c r="S8" s="34"/>
      <c r="T8" s="60" t="str">
        <f>IF(P8&lt;&gt;"",
    IF(OR(O8="", Q8="", R8=""),
        "Fill all the required columns",
        IFERROR(
            IF(
                ISNUMBER(MATCH(O8, Reference!$A$2:$A$102, 0)),
                IF(
                    OR(
                        AND(R8="ADS - Marine Protected", VLOOKUP(O8, Reference!$A$2:$D$102, 4, FALSE) &lt;= P8),
                        AND(R8="ADS - General Use", VLOOKUP(O8, Reference!$A$2:$D$102, 3, FALSE) &lt;= P8),
                        AND(R8="International Standards", VLOOKUP(O8, Reference!$A$2:$F$102, 5, FALSE) &lt;= P8)
                    ),
                    "Exceeded",
                    "OK"
                ),
                IF(
                    ISNUMBER(MATCH(O8, Reference!$G$2:$G$103, 0)),
                    IF(
                        OR(
                            AND(R8="ADS - Marine Protected", P8 &lt;= VLOOKUP(O8, Reference!$G$2:$J$103, 4, FALSE)),
                            AND(R8="ADS - General Use", P8 &lt;= VLOOKUP(O8, Reference!$G$2:$J$103, 3, FALSE)),
                            AND(R8="International Standards", P8 &lt;= VLOOKUP(O8, Reference!$G$2:$L$102, 5, FALSE))
                        ),
                        "Below Minimum",
                        "OK"
                    ),
                    "No Regulation defined"
                )
            ),
            "No Regulation defined"
        )
    ),
    ""
)</f>
        <v/>
      </c>
      <c r="U8" s="39"/>
      <c r="AA8" s="40"/>
      <c r="AB8" s="62" t="str">
        <f t="shared" si="0"/>
        <v/>
      </c>
    </row>
    <row r="9" spans="1:28" ht="29.25" customHeight="1" x14ac:dyDescent="0.2">
      <c r="C9" s="69"/>
      <c r="D9" s="70"/>
      <c r="F9" s="25"/>
      <c r="O9" s="38"/>
      <c r="P9" s="19"/>
      <c r="Q9" s="19"/>
      <c r="R9" s="19"/>
      <c r="S9" s="34"/>
      <c r="T9" s="60" t="str">
        <f>IF(P9&lt;&gt;"",
    IF(OR(O9="", Q9="", R9=""),
        "Fill all the required columns",
        IFERROR(
            IF(
                ISNUMBER(MATCH(O9, Reference!$A$2:$A$102, 0)),
                IF(
                    OR(
                        AND(R9="ADS - Marine Protected", VLOOKUP(O9, Reference!$A$2:$D$102, 4, FALSE) &lt;= P9),
                        AND(R9="ADS - General Use", VLOOKUP(O9, Reference!$A$2:$D$102, 3, FALSE) &lt;= P9),
                        AND(R9="International Standards", VLOOKUP(O9, Reference!$A$2:$F$102, 5, FALSE) &lt;= P9)
                    ),
                    "Exceeded",
                    "OK"
                ),
                IF(
                    ISNUMBER(MATCH(O9, Reference!$G$2:$G$103, 0)),
                    IF(
                        OR(
                            AND(R9="ADS - Marine Protected", P9 &lt;= VLOOKUP(O9, Reference!$G$2:$J$103, 4, FALSE)),
                            AND(R9="ADS - General Use", P9 &lt;= VLOOKUP(O9, Reference!$G$2:$J$103, 3, FALSE)),
                            AND(R9="International Standards", P9 &lt;= VLOOKUP(O9, Reference!$G$2:$L$102, 5, FALSE))
                        ),
                        "Below Minimum",
                        "OK"
                    ),
                    "No Regulation defined"
                )
            ),
            "No Regulation defined"
        )
    ),
    ""
)</f>
        <v/>
      </c>
      <c r="U9" s="39"/>
      <c r="AA9" s="40"/>
      <c r="AB9" s="62" t="str">
        <f t="shared" si="0"/>
        <v/>
      </c>
    </row>
    <row r="10" spans="1:28" ht="29.25" customHeight="1" x14ac:dyDescent="0.2">
      <c r="C10" s="69"/>
      <c r="D10" s="70"/>
      <c r="F10" s="25"/>
      <c r="O10" s="38"/>
      <c r="P10" s="19"/>
      <c r="Q10" s="19"/>
      <c r="R10" s="34"/>
      <c r="S10" s="34"/>
      <c r="T10" s="60" t="str">
        <f>IF(P10&lt;&gt;"",
    IF(OR(O10="", Q10="", R10=""),
        "Fill all the required columns",
        IFERROR(
            IF(
                ISNUMBER(MATCH(O10, Reference!$A$2:$A$102, 0)),
                IF(
                    OR(
                        AND(R10="ADS - Marine Protected", VLOOKUP(O10, Reference!$A$2:$D$102, 4, FALSE) &lt;= P10),
                        AND(R10="ADS - General Use", VLOOKUP(O10, Reference!$A$2:$D$102, 3, FALSE) &lt;= P10),
                        AND(R10="International Standards", VLOOKUP(O10, Reference!$A$2:$F$102, 5, FALSE) &lt;= P10)
                    ),
                    "Exceeded",
                    "OK"
                ),
                IF(
                    ISNUMBER(MATCH(O10, Reference!$G$2:$G$103, 0)),
                    IF(
                        OR(
                            AND(R10="ADS - Marine Protected", P10 &lt;= VLOOKUP(O10, Reference!$G$2:$J$103, 4, FALSE)),
                            AND(R10="ADS - General Use", P10 &lt;= VLOOKUP(O10, Reference!$G$2:$J$103, 3, FALSE)),
                            AND(R10="International Standards", P10 &lt;= VLOOKUP(O10, Reference!$G$2:$L$102, 5, FALSE))
                        ),
                        "Below Minimum",
                        "OK"
                    ),
                    "No Regulation defined"
                )
            ),
            "No Regulation defined"
        )
    ),
    ""
)</f>
        <v/>
      </c>
      <c r="U10" s="39"/>
      <c r="AA10" s="40"/>
      <c r="AB10" s="62" t="str">
        <f t="shared" si="0"/>
        <v/>
      </c>
    </row>
    <row r="11" spans="1:28" ht="29.25" customHeight="1" x14ac:dyDescent="0.2">
      <c r="C11" s="69"/>
      <c r="D11" s="70"/>
      <c r="F11" s="25"/>
      <c r="O11" s="38"/>
      <c r="P11" s="19"/>
      <c r="Q11" s="19"/>
      <c r="R11" s="19"/>
      <c r="S11" s="34"/>
      <c r="T11" s="60" t="str">
        <f>IF(P11&lt;&gt;"",
    IF(OR(O11="", Q11="", R11=""),
        "Fill all the required columns",
        IFERROR(
            IF(
                ISNUMBER(MATCH(O11, Reference!$A$2:$A$102, 0)),
                IF(
                    OR(
                        AND(R11="ADS - Marine Protected", VLOOKUP(O11, Reference!$A$2:$D$102, 4, FALSE) &lt;= P11),
                        AND(R11="ADS - General Use", VLOOKUP(O11, Reference!$A$2:$D$102, 3, FALSE) &lt;= P11),
                        AND(R11="International Standards", VLOOKUP(O11, Reference!$A$2:$F$102, 5, FALSE) &lt;= P11)
                    ),
                    "Exceeded",
                    "OK"
                ),
                IF(
                    ISNUMBER(MATCH(O11, Reference!$G$2:$G$103, 0)),
                    IF(
                        OR(
                            AND(R11="ADS - Marine Protected", P11 &lt;= VLOOKUP(O11, Reference!$G$2:$J$103, 4, FALSE)),
                            AND(R11="ADS - General Use", P11 &lt;= VLOOKUP(O11, Reference!$G$2:$J$103, 3, FALSE)),
                            AND(R11="International Standards", P11 &lt;= VLOOKUP(O11, Reference!$G$2:$L$102, 5, FALSE))
                        ),
                        "Below Minimum",
                        "OK"
                    ),
                    "No Regulation defined"
                )
            ),
            "No Regulation defined"
        )
    ),
    ""
)</f>
        <v/>
      </c>
      <c r="U11" s="39"/>
      <c r="AA11" s="40"/>
      <c r="AB11" s="62" t="str">
        <f t="shared" si="0"/>
        <v/>
      </c>
    </row>
    <row r="12" spans="1:28" ht="29.25" customHeight="1" x14ac:dyDescent="0.2">
      <c r="C12" s="69"/>
      <c r="D12" s="70"/>
      <c r="F12" s="25"/>
      <c r="O12" s="38"/>
      <c r="P12" s="19"/>
      <c r="Q12" s="19"/>
      <c r="R12" s="19"/>
      <c r="S12" s="34"/>
      <c r="T12" s="60" t="str">
        <f>IF(P12&lt;&gt;"",
    IF(OR(O12="", Q12="", R12=""),
        "Fill all the required columns",
        IFERROR(
            IF(
                ISNUMBER(MATCH(O12, Reference!$A$2:$A$102, 0)),
                IF(
                    OR(
                        AND(R12="ADS - Marine Protected", VLOOKUP(O12, Reference!$A$2:$D$102, 4, FALSE) &lt;= P12),
                        AND(R12="ADS - General Use", VLOOKUP(O12, Reference!$A$2:$D$102, 3, FALSE) &lt;= P12),
                        AND(R12="International Standards", VLOOKUP(O12, Reference!$A$2:$F$102, 5, FALSE) &lt;= P12)
                    ),
                    "Exceeded",
                    "OK"
                ),
                IF(
                    ISNUMBER(MATCH(O12, Reference!$G$2:$G$103, 0)),
                    IF(
                        OR(
                            AND(R12="ADS - Marine Protected", P12 &lt;= VLOOKUP(O12, Reference!$G$2:$J$103, 4, FALSE)),
                            AND(R12="ADS - General Use", P12 &lt;= VLOOKUP(O12, Reference!$G$2:$J$103, 3, FALSE)),
                            AND(R12="International Standards", P12 &lt;= VLOOKUP(O12, Reference!$G$2:$L$102, 5, FALSE))
                        ),
                        "Below Minimum",
                        "OK"
                    ),
                    "No Regulation defined"
                )
            ),
            "No Regulation defined"
        )
    ),
    ""
)</f>
        <v/>
      </c>
      <c r="U12" s="39"/>
      <c r="AA12" s="40"/>
      <c r="AB12" s="62" t="str">
        <f t="shared" si="0"/>
        <v/>
      </c>
    </row>
    <row r="13" spans="1:28" ht="29.25" customHeight="1" x14ac:dyDescent="0.2">
      <c r="C13" s="69"/>
      <c r="D13" s="70"/>
      <c r="F13" s="25"/>
      <c r="O13" s="38"/>
      <c r="P13" s="19"/>
      <c r="Q13" s="19"/>
      <c r="R13" s="34"/>
      <c r="S13" s="34"/>
      <c r="T13" s="60" t="str">
        <f>IF(P13&lt;&gt;"",
    IF(OR(O13="", Q13="", R13=""),
        "Fill all the required columns",
        IFERROR(
            IF(
                ISNUMBER(MATCH(O13, Reference!$A$2:$A$102, 0)),
                IF(
                    OR(
                        AND(R13="ADS - Marine Protected", VLOOKUP(O13, Reference!$A$2:$D$102, 4, FALSE) &lt;= P13),
                        AND(R13="ADS - General Use", VLOOKUP(O13, Reference!$A$2:$D$102, 3, FALSE) &lt;= P13),
                        AND(R13="International Standards", VLOOKUP(O13, Reference!$A$2:$F$102, 5, FALSE) &lt;= P13)
                    ),
                    "Exceeded",
                    "OK"
                ),
                IF(
                    ISNUMBER(MATCH(O13, Reference!$G$2:$G$103, 0)),
                    IF(
                        OR(
                            AND(R13="ADS - Marine Protected", P13 &lt;= VLOOKUP(O13, Reference!$G$2:$J$103, 4, FALSE)),
                            AND(R13="ADS - General Use", P13 &lt;= VLOOKUP(O13, Reference!$G$2:$J$103, 3, FALSE)),
                            AND(R13="International Standards", P13 &lt;= VLOOKUP(O13, Reference!$G$2:$L$102, 5, FALSE))
                        ),
                        "Below Minimum",
                        "OK"
                    ),
                    "No Regulation defined"
                )
            ),
            "No Regulation defined"
        )
    ),
    ""
)</f>
        <v/>
      </c>
      <c r="U13" s="39"/>
      <c r="AA13" s="40"/>
      <c r="AB13" s="62" t="str">
        <f t="shared" si="0"/>
        <v/>
      </c>
    </row>
    <row r="14" spans="1:28" ht="29.25" customHeight="1" x14ac:dyDescent="0.2">
      <c r="C14" s="69"/>
      <c r="D14" s="70"/>
      <c r="F14" s="25"/>
      <c r="O14" s="38"/>
      <c r="P14" s="19"/>
      <c r="Q14" s="19"/>
      <c r="R14" s="19"/>
      <c r="S14" s="34"/>
      <c r="T14" s="60" t="str">
        <f>IF(P14&lt;&gt;"",
    IF(OR(O14="", Q14="", R14=""),
        "Fill all the required columns",
        IFERROR(
            IF(
                ISNUMBER(MATCH(O14, Reference!$A$2:$A$102, 0)),
                IF(
                    OR(
                        AND(R14="ADS - Marine Protected", VLOOKUP(O14, Reference!$A$2:$D$102, 4, FALSE) &lt;= P14),
                        AND(R14="ADS - General Use", VLOOKUP(O14, Reference!$A$2:$D$102, 3, FALSE) &lt;= P14),
                        AND(R14="International Standards", VLOOKUP(O14, Reference!$A$2:$F$102, 5, FALSE) &lt;= P14)
                    ),
                    "Exceeded",
                    "OK"
                ),
                IF(
                    ISNUMBER(MATCH(O14, Reference!$G$2:$G$103, 0)),
                    IF(
                        OR(
                            AND(R14="ADS - Marine Protected", P14 &lt;= VLOOKUP(O14, Reference!$G$2:$J$103, 4, FALSE)),
                            AND(R14="ADS - General Use", P14 &lt;= VLOOKUP(O14, Reference!$G$2:$J$103, 3, FALSE)),
                            AND(R14="International Standards", P14 &lt;= VLOOKUP(O14, Reference!$G$2:$L$102, 5, FALSE))
                        ),
                        "Below Minimum",
                        "OK"
                    ),
                    "No Regulation defined"
                )
            ),
            "No Regulation defined"
        )
    ),
    ""
)</f>
        <v/>
      </c>
      <c r="U14" s="39"/>
      <c r="AA14" s="40"/>
      <c r="AB14" s="62" t="str">
        <f t="shared" si="0"/>
        <v/>
      </c>
    </row>
    <row r="15" spans="1:28" ht="29.25" customHeight="1" x14ac:dyDescent="0.2">
      <c r="C15" s="69"/>
      <c r="D15" s="70"/>
      <c r="F15" s="25"/>
      <c r="O15" s="38"/>
      <c r="P15" s="19"/>
      <c r="Q15" s="34"/>
      <c r="R15" s="19"/>
      <c r="S15" s="34"/>
      <c r="T15" s="60" t="str">
        <f>IF(P15&lt;&gt;"",
    IF(OR(O15="", Q15="", R15=""),
        "Fill all the required columns",
        IFERROR(
            IF(
                ISNUMBER(MATCH(O15, Reference!$A$2:$A$102, 0)),
                IF(
                    OR(
                        AND(R15="ADS - Marine Protected", VLOOKUP(O15, Reference!$A$2:$D$102, 4, FALSE) &lt;= P15),
                        AND(R15="ADS - General Use", VLOOKUP(O15, Reference!$A$2:$D$102, 3, FALSE) &lt;= P15),
                        AND(R15="International Standards", VLOOKUP(O15, Reference!$A$2:$F$102, 5, FALSE) &lt;= P15)
                    ),
                    "Exceeded",
                    "OK"
                ),
                IF(
                    ISNUMBER(MATCH(O15, Reference!$G$2:$G$103, 0)),
                    IF(
                        OR(
                            AND(R15="ADS - Marine Protected", P15 &lt;= VLOOKUP(O15, Reference!$G$2:$J$103, 4, FALSE)),
                            AND(R15="ADS - General Use", P15 &lt;= VLOOKUP(O15, Reference!$G$2:$J$103, 3, FALSE)),
                            AND(R15="International Standards", P15 &lt;= VLOOKUP(O15, Reference!$G$2:$L$102, 5, FALSE))
                        ),
                        "Below Minimum",
                        "OK"
                    ),
                    "No Regulation defined"
                )
            ),
            "No Regulation defined"
        )
    ),
    ""
)</f>
        <v/>
      </c>
      <c r="U15" s="39"/>
      <c r="AA15" s="40"/>
      <c r="AB15" s="62" t="str">
        <f t="shared" si="0"/>
        <v/>
      </c>
    </row>
    <row r="16" spans="1:28" ht="29.25" customHeight="1" x14ac:dyDescent="0.2">
      <c r="C16" s="69"/>
      <c r="D16" s="70"/>
      <c r="F16" s="25"/>
      <c r="O16" s="38"/>
      <c r="P16" s="19"/>
      <c r="Q16" s="19"/>
      <c r="R16" s="19"/>
      <c r="S16" s="34"/>
      <c r="T16" s="60" t="str">
        <f>IF(P16&lt;&gt;"",
    IF(OR(O16="", Q16="", R16=""),
        "Fill all the required columns",
        IFERROR(
            IF(
                ISNUMBER(MATCH(O16, Reference!$A$2:$A$102, 0)),
                IF(
                    OR(
                        AND(R16="ADS - Marine Protected", VLOOKUP(O16, Reference!$A$2:$D$102, 4, FALSE) &lt;= P16),
                        AND(R16="ADS - General Use", VLOOKUP(O16, Reference!$A$2:$D$102, 3, FALSE) &lt;= P16),
                        AND(R16="International Standards", VLOOKUP(O16, Reference!$A$2:$F$102, 5, FALSE) &lt;= P16)
                    ),
                    "Exceeded",
                    "OK"
                ),
                IF(
                    ISNUMBER(MATCH(O16, Reference!$G$2:$G$103, 0)),
                    IF(
                        OR(
                            AND(R16="ADS - Marine Protected", P16 &lt;= VLOOKUP(O16, Reference!$G$2:$J$103, 4, FALSE)),
                            AND(R16="ADS - General Use", P16 &lt;= VLOOKUP(O16, Reference!$G$2:$J$103, 3, FALSE)),
                            AND(R16="International Standards", P16 &lt;= VLOOKUP(O16, Reference!$G$2:$L$102, 5, FALSE))
                        ),
                        "Below Minimum",
                        "OK"
                    ),
                    "No Regulation defined"
                )
            ),
            "No Regulation defined"
        )
    ),
    ""
)</f>
        <v/>
      </c>
      <c r="U16" s="39"/>
      <c r="AA16" s="40"/>
      <c r="AB16" s="62" t="str">
        <f t="shared" si="0"/>
        <v/>
      </c>
    </row>
    <row r="17" spans="3:28" ht="29.25" customHeight="1" x14ac:dyDescent="0.2">
      <c r="C17" s="69"/>
      <c r="D17" s="70"/>
      <c r="F17" s="25"/>
      <c r="O17" s="38"/>
      <c r="P17" s="19"/>
      <c r="Q17" s="19"/>
      <c r="R17" s="34"/>
      <c r="S17" s="34"/>
      <c r="T17" s="60" t="str">
        <f>IF(P17&lt;&gt;"",
    IF(OR(O17="", Q17="", R17=""),
        "Fill all the required columns",
        IFERROR(
            IF(
                ISNUMBER(MATCH(O17, Reference!$A$2:$A$102, 0)),
                IF(
                    OR(
                        AND(R17="ADS - Marine Protected", VLOOKUP(O17, Reference!$A$2:$D$102, 4, FALSE) &lt;= P17),
                        AND(R17="ADS - General Use", VLOOKUP(O17, Reference!$A$2:$D$102, 3, FALSE) &lt;= P17),
                        AND(R17="International Standards", VLOOKUP(O17, Reference!$A$2:$F$102, 5, FALSE) &lt;= P17)
                    ),
                    "Exceeded",
                    "OK"
                ),
                IF(
                    ISNUMBER(MATCH(O17, Reference!$G$2:$G$103, 0)),
                    IF(
                        OR(
                            AND(R17="ADS - Marine Protected", P17 &lt;= VLOOKUP(O17, Reference!$G$2:$J$103, 4, FALSE)),
                            AND(R17="ADS - General Use", P17 &lt;= VLOOKUP(O17, Reference!$G$2:$J$103, 3, FALSE)),
                            AND(R17="International Standards", P17 &lt;= VLOOKUP(O17, Reference!$G$2:$L$102, 5, FALSE))
                        ),
                        "Below Minimum",
                        "OK"
                    ),
                    "No Regulation defined"
                )
            ),
            "No Regulation defined"
        )
    ),
    ""
)</f>
        <v/>
      </c>
      <c r="U17" s="39"/>
      <c r="AA17" s="40"/>
      <c r="AB17" s="62" t="str">
        <f t="shared" si="0"/>
        <v/>
      </c>
    </row>
    <row r="18" spans="3:28" ht="29.25" customHeight="1" x14ac:dyDescent="0.2">
      <c r="C18" s="69"/>
      <c r="D18" s="70"/>
      <c r="F18" s="25"/>
      <c r="O18" s="38"/>
      <c r="P18" s="19"/>
      <c r="Q18" s="19"/>
      <c r="R18" s="19"/>
      <c r="S18" s="34"/>
      <c r="T18" s="60" t="str">
        <f>IF(P18&lt;&gt;"",
    IF(OR(O18="", Q18="", R18=""),
        "Fill all the required columns",
        IFERROR(
            IF(
                ISNUMBER(MATCH(O18, Reference!$A$2:$A$102, 0)),
                IF(
                    OR(
                        AND(R18="ADS - Marine Protected", VLOOKUP(O18, Reference!$A$2:$D$102, 4, FALSE) &lt;= P18),
                        AND(R18="ADS - General Use", VLOOKUP(O18, Reference!$A$2:$D$102, 3, FALSE) &lt;= P18),
                        AND(R18="International Standards", VLOOKUP(O18, Reference!$A$2:$F$102, 5, FALSE) &lt;= P18)
                    ),
                    "Exceeded",
                    "OK"
                ),
                IF(
                    ISNUMBER(MATCH(O18, Reference!$G$2:$G$103, 0)),
                    IF(
                        OR(
                            AND(R18="ADS - Marine Protected", P18 &lt;= VLOOKUP(O18, Reference!$G$2:$J$103, 4, FALSE)),
                            AND(R18="ADS - General Use", P18 &lt;= VLOOKUP(O18, Reference!$G$2:$J$103, 3, FALSE)),
                            AND(R18="International Standards", P18 &lt;= VLOOKUP(O18, Reference!$G$2:$L$102, 5, FALSE))
                        ),
                        "Below Minimum",
                        "OK"
                    ),
                    "No Regulation defined"
                )
            ),
            "No Regulation defined"
        )
    ),
    ""
)</f>
        <v/>
      </c>
      <c r="U18" s="39"/>
      <c r="AA18" s="40"/>
      <c r="AB18" s="62" t="str">
        <f t="shared" si="0"/>
        <v/>
      </c>
    </row>
    <row r="19" spans="3:28" ht="29.25" customHeight="1" x14ac:dyDescent="0.2">
      <c r="C19" s="69"/>
      <c r="D19" s="70"/>
      <c r="F19" s="25"/>
      <c r="O19" s="38"/>
      <c r="P19" s="19"/>
      <c r="Q19" s="19"/>
      <c r="R19" s="19"/>
      <c r="S19" s="34"/>
      <c r="T19" s="60" t="str">
        <f>IF(P19&lt;&gt;"",
    IF(OR(O19="", Q19="", R19=""),
        "Fill all the required columns",
        IFERROR(
            IF(
                ISNUMBER(MATCH(O19, Reference!$A$2:$A$102, 0)),
                IF(
                    OR(
                        AND(R19="ADS - Marine Protected", VLOOKUP(O19, Reference!$A$2:$D$102, 4, FALSE) &lt;= P19),
                        AND(R19="ADS - General Use", VLOOKUP(O19, Reference!$A$2:$D$102, 3, FALSE) &lt;= P19),
                        AND(R19="International Standards", VLOOKUP(O19, Reference!$A$2:$F$102, 5, FALSE) &lt;= P19)
                    ),
                    "Exceeded",
                    "OK"
                ),
                IF(
                    ISNUMBER(MATCH(O19, Reference!$G$2:$G$103, 0)),
                    IF(
                        OR(
                            AND(R19="ADS - Marine Protected", P19 &lt;= VLOOKUP(O19, Reference!$G$2:$J$103, 4, FALSE)),
                            AND(R19="ADS - General Use", P19 &lt;= VLOOKUP(O19, Reference!$G$2:$J$103, 3, FALSE)),
                            AND(R19="International Standards", P19 &lt;= VLOOKUP(O19, Reference!$G$2:$L$102, 5, FALSE))
                        ),
                        "Below Minimum",
                        "OK"
                    ),
                    "No Regulation defined"
                )
            ),
            "No Regulation defined"
        )
    ),
    ""
)</f>
        <v/>
      </c>
      <c r="U19" s="39"/>
      <c r="AA19" s="40"/>
      <c r="AB19" s="62" t="str">
        <f t="shared" si="0"/>
        <v/>
      </c>
    </row>
    <row r="20" spans="3:28" ht="29.25" customHeight="1" x14ac:dyDescent="0.2">
      <c r="C20" s="69"/>
      <c r="D20" s="70"/>
      <c r="O20" s="38"/>
      <c r="P20" s="19"/>
      <c r="Q20" s="19"/>
      <c r="R20" s="19"/>
      <c r="S20" s="34"/>
      <c r="T20" s="60" t="str">
        <f>IF(P20&lt;&gt;"",
    IF(OR(O20="", Q20="", R20=""),
        "Fill all the required columns",
        IFERROR(
            IF(
                ISNUMBER(MATCH(O20, Reference!$A$2:$A$102, 0)),
                IF(
                    OR(
                        AND(R20="ADS - Marine Protected", VLOOKUP(O20, Reference!$A$2:$D$102, 4, FALSE) &lt;= P20),
                        AND(R20="ADS - General Use", VLOOKUP(O20, Reference!$A$2:$D$102, 3, FALSE) &lt;= P20),
                        AND(R20="International Standards", VLOOKUP(O20, Reference!$A$2:$F$102, 5, FALSE) &lt;= P20)
                    ),
                    "Exceeded",
                    "OK"
                ),
                IF(
                    ISNUMBER(MATCH(O20, Reference!$G$2:$G$103, 0)),
                    IF(
                        OR(
                            AND(R20="ADS - Marine Protected", P20 &lt;= VLOOKUP(O20, Reference!$G$2:$J$103, 4, FALSE)),
                            AND(R20="ADS - General Use", P20 &lt;= VLOOKUP(O20, Reference!$G$2:$J$103, 3, FALSE)),
                            AND(R20="International Standards", P20 &lt;= VLOOKUP(O20, Reference!$G$2:$L$102, 5, FALSE))
                        ),
                        "Below Minimum",
                        "OK"
                    ),
                    "No Regulation defined"
                )
            ),
            "No Regulation defined"
        )
    ),
    ""
)</f>
        <v/>
      </c>
      <c r="U20" s="39"/>
      <c r="AA20" s="40"/>
      <c r="AB20" s="62" t="str">
        <f t="shared" si="0"/>
        <v/>
      </c>
    </row>
    <row r="21" spans="3:28" ht="29.25" customHeight="1" x14ac:dyDescent="0.2">
      <c r="C21" s="69"/>
      <c r="D21" s="70"/>
      <c r="O21" s="38"/>
      <c r="P21" s="19"/>
      <c r="Q21" s="19"/>
      <c r="R21" s="34"/>
      <c r="S21" s="34"/>
      <c r="T21" s="60" t="str">
        <f>IF(P21&lt;&gt;"",
    IF(OR(O21="", Q21="", R21=""),
        "Fill all the required columns",
        IFERROR(
            IF(
                ISNUMBER(MATCH(O21, Reference!$A$2:$A$102, 0)),
                IF(
                    OR(
                        AND(R21="ADS - Marine Protected", VLOOKUP(O21, Reference!$A$2:$D$102, 4, FALSE) &lt;= P21),
                        AND(R21="ADS - General Use", VLOOKUP(O21, Reference!$A$2:$D$102, 3, FALSE) &lt;= P21),
                        AND(R21="International Standards", VLOOKUP(O21, Reference!$A$2:$F$102, 5, FALSE) &lt;= P21)
                    ),
                    "Exceeded",
                    "OK"
                ),
                IF(
                    ISNUMBER(MATCH(O21, Reference!$G$2:$G$103, 0)),
                    IF(
                        OR(
                            AND(R21="ADS - Marine Protected", P21 &lt;= VLOOKUP(O21, Reference!$G$2:$J$103, 4, FALSE)),
                            AND(R21="ADS - General Use", P21 &lt;= VLOOKUP(O21, Reference!$G$2:$J$103, 3, FALSE)),
                            AND(R21="International Standards", P21 &lt;= VLOOKUP(O21, Reference!$G$2:$L$102, 5, FALSE))
                        ),
                        "Below Minimum",
                        "OK"
                    ),
                    "No Regulation defined"
                )
            ),
            "No Regulation defined"
        )
    ),
    ""
)</f>
        <v/>
      </c>
      <c r="U21" s="39"/>
      <c r="AA21" s="40"/>
      <c r="AB21" s="62" t="str">
        <f t="shared" si="0"/>
        <v/>
      </c>
    </row>
    <row r="22" spans="3:28" ht="29.25" customHeight="1" x14ac:dyDescent="0.2">
      <c r="C22" s="69"/>
      <c r="D22" s="70"/>
      <c r="O22" s="38"/>
      <c r="P22" s="19"/>
      <c r="Q22" s="19"/>
      <c r="R22" s="19"/>
      <c r="S22" s="34"/>
      <c r="T22" s="60" t="str">
        <f>IF(P22&lt;&gt;"",
    IF(OR(O22="", Q22="", R22=""),
        "Fill all the required columns",
        IFERROR(
            IF(
                ISNUMBER(MATCH(O22, Reference!$A$2:$A$102, 0)),
                IF(
                    OR(
                        AND(R22="Marine Protected", VLOOKUP(O22, Reference!$A$2:$D$102, 4, FALSE) &lt;= P22),
                        AND(R22="General Use", VLOOKUP(O22, Reference!$A$2:$D$102, 3, FALSE) &lt;= P22),
                        AND(R22="International Standards", VLOOKUP(O22, Reference!$A$2:$F$102, 5, FALSE) &lt;= P22)
                    ),
                    "Exceeded",
                    "OK"
                ),
                IF(
                    ISNUMBER(MATCH(O22, Reference!$G$2:$G$103, 0)),
                    IF(
                        OR(
                            AND(R22="Marine Protected", P22 &lt;= VLOOKUP(O22, Reference!$G$2:$J$103, 4, FALSE)),
                            AND(R22="General Use", P22 &lt;= VLOOKUP(O22, Reference!$G$2:$J$103, 3, FALSE)),
                            AND(R22="International Standards", P22 &lt;= VLOOKUP(O22, Reference!$G$2:$L$102, 5, FALSE))
                        ),
                        "Below Minimum",
                        "OK"
                    ),
                    "No Regulation defined"
                )
            ),
            "No Regulation defined"
        )
    ),
    ""
)</f>
        <v/>
      </c>
      <c r="U22" s="39"/>
      <c r="AA22" s="40"/>
      <c r="AB22" s="62" t="str">
        <f t="shared" si="0"/>
        <v/>
      </c>
    </row>
    <row r="23" spans="3:28" ht="29.25" customHeight="1" x14ac:dyDescent="0.2">
      <c r="C23" s="69"/>
      <c r="D23" s="70"/>
      <c r="O23" s="38"/>
      <c r="Q23" s="19"/>
      <c r="R23" s="19"/>
      <c r="S23" s="34"/>
      <c r="T23" s="60" t="str">
        <f>IF(P23&lt;&gt;"",
    IF(OR(O23="", Q23="", R23=""),
        "Fill all the required columns",
        IFERROR(
            IF(OR(
                AND(R23="Marine Protected", VLOOKUP(O23, Reference!$A$2:$D$34, 4, FALSE) &lt;= P23),
                AND(R23="General Use", VLOOKUP(O23, Reference!$A$2:$D$34, 3, FALSE) &lt;= P23)
            ),
                "Exceeded",
                "OK"
            ),
            "No Regulation defined"
        )
    ),
    ""
)</f>
        <v/>
      </c>
      <c r="U23" s="39"/>
      <c r="AA23" s="40"/>
      <c r="AB23" s="62" t="str">
        <f t="shared" si="0"/>
        <v/>
      </c>
    </row>
    <row r="24" spans="3:28" x14ac:dyDescent="0.2">
      <c r="C24" s="69"/>
      <c r="D24" s="70"/>
      <c r="O24" s="38"/>
      <c r="R24" s="34"/>
      <c r="S24" s="34"/>
      <c r="T24" s="60" t="str">
        <f>IF(P24&lt;&gt;"",
    IF(OR(O24="", Q24="", R24=""),
        "Fill all the required columns",
        IFERROR(
            IF(OR(
                AND(R24="Marine Protected", VLOOKUP(O24, Reference!$A$2:$D$34, 4, FALSE) &lt;= P24),
                AND(R24="General Use", VLOOKUP(O24, Reference!$A$2:$D$34, 3, FALSE) &lt;= P24)
            ),
                "Exceeded",
                "OK"
            ),
            "No Regulation defined"
        )
    ),
    ""
)</f>
        <v/>
      </c>
      <c r="AA24" s="40"/>
      <c r="AB24" s="62" t="str">
        <f t="shared" si="0"/>
        <v/>
      </c>
    </row>
    <row r="25" spans="3:28" x14ac:dyDescent="0.2">
      <c r="C25" s="69"/>
      <c r="D25" s="70"/>
      <c r="O25" s="38"/>
      <c r="R25" s="19"/>
      <c r="S25" s="34"/>
      <c r="T25" s="60" t="str">
        <f>IF(P25&lt;&gt;"",
    IF(OR(O25="", Q25="", R25=""),
        "Fill all the required columns",
        IFERROR(
            IF(OR(
                AND(R25="Marine Protected", VLOOKUP(O25, Reference!$A$2:$D$34, 4, FALSE) &lt;= P25),
                AND(R25="General Use", VLOOKUP(O25, Reference!$A$2:$D$34, 3, FALSE) &lt;= P25)
            ),
                "Exceeded",
                "OK"
            ),
            "No Regulation defined"
        )
    ),
    ""
)</f>
        <v/>
      </c>
      <c r="AA25" s="40"/>
      <c r="AB25" s="62" t="str">
        <f t="shared" si="0"/>
        <v/>
      </c>
    </row>
    <row r="26" spans="3:28" x14ac:dyDescent="0.2">
      <c r="C26" s="69"/>
      <c r="D26" s="70"/>
      <c r="O26" s="38"/>
      <c r="R26" s="19"/>
      <c r="S26" s="34"/>
      <c r="T26" s="60" t="str">
        <f>IF(P26&lt;&gt;"",
    IF(OR(O26="", Q26="", R26=""),
        "Fill all the required columns",
        IFERROR(
            IF(OR(
                AND(R26="Marine Protected", VLOOKUP(O26, Reference!$A$2:$D$34, 4, FALSE) &lt;= P26),
                AND(R26="General Use", VLOOKUP(O26, Reference!$A$2:$D$34, 3, FALSE) &lt;= P26)
            ),
                "Exceeded",
                "OK"
            ),
            "No Regulation defined"
        )
    ),
    ""
)</f>
        <v/>
      </c>
      <c r="AA26" s="40"/>
      <c r="AB26" s="62" t="str">
        <f t="shared" si="0"/>
        <v/>
      </c>
    </row>
    <row r="27" spans="3:28" x14ac:dyDescent="0.2">
      <c r="C27" s="69"/>
      <c r="D27" s="70"/>
      <c r="R27" s="19"/>
      <c r="S27" s="34"/>
      <c r="T27" s="60" t="str">
        <f>IF(P27&lt;&gt;"",
    IF(OR(O27="", Q27="", R27=""),
        "Fill all the required columns",
        IFERROR(
            IF(OR(
                AND(R27="Marine Protected", VLOOKUP(O27, Reference!$A$2:$D$34, 4, FALSE) &lt;= P27),
                AND(R27="General Use", VLOOKUP(O27, Reference!$A$2:$D$34, 3, FALSE) &lt;= P27)
            ),
                "Exceeded",
                "OK"
            ),
            "No Regulation defined"
        )
    ),
    ""
)</f>
        <v/>
      </c>
      <c r="AA27" s="40"/>
      <c r="AB27" s="62" t="str">
        <f t="shared" si="0"/>
        <v/>
      </c>
    </row>
    <row r="28" spans="3:28" x14ac:dyDescent="0.2">
      <c r="C28" s="69"/>
      <c r="D28" s="70"/>
      <c r="R28" s="34"/>
      <c r="S28" s="34"/>
      <c r="T28" s="60" t="str">
        <f>IF(P28&lt;&gt;"",
    IF(OR(O28="", Q28="", R28=""),
        "Fill all the required columns",
        IFERROR(
            IF(OR(
                AND(R28="Marine Protected", VLOOKUP(O28, Reference!$A$2:$D$34, 4, FALSE) &lt;= P28),
                AND(R28="General Use", VLOOKUP(O28, Reference!$A$2:$D$34, 3, FALSE) &lt;= P28)
            ),
                "Exceeded",
                "OK"
            ),
            "No Regulation defined"
        )
    ),
    ""
)</f>
        <v/>
      </c>
      <c r="AA28" s="40"/>
      <c r="AB28" s="62" t="str">
        <f t="shared" si="0"/>
        <v/>
      </c>
    </row>
    <row r="29" spans="3:28" x14ac:dyDescent="0.2">
      <c r="C29" s="69"/>
      <c r="D29" s="70"/>
      <c r="R29" s="19"/>
      <c r="S29" s="34"/>
      <c r="T29" s="60" t="str">
        <f>IF(P29&lt;&gt;"",
    IF(OR(O29="", Q29="", R29=""),
        "Fill all the required columns",
        IFERROR(
            IF(OR(
                AND(R29="Marine Protected", VLOOKUP(O29, Reference!$A$2:$D$34, 4, FALSE) &lt;= P29),
                AND(R29="General Use", VLOOKUP(O29, Reference!$A$2:$D$34, 3, FALSE) &lt;= P29)
            ),
                "Exceeded",
                "OK"
            ),
            "No Regulation defined"
        )
    ),
    ""
)</f>
        <v/>
      </c>
      <c r="AA29" s="40"/>
      <c r="AB29" s="62" t="str">
        <f t="shared" si="0"/>
        <v/>
      </c>
    </row>
    <row r="30" spans="3:28" x14ac:dyDescent="0.2">
      <c r="C30" s="69"/>
      <c r="D30" s="70"/>
      <c r="R30" s="19"/>
      <c r="S30" s="34"/>
      <c r="T30" s="60" t="str">
        <f>IF(P30&lt;&gt;"",
    IF(OR(O30="", Q30="", R30=""),
        "Fill all the required columns",
        IFERROR(
            IF(OR(
                AND(R30="Marine Protected", VLOOKUP(O30, Reference!$A$2:$D$34, 4, FALSE) &lt;= P30),
                AND(R30="General Use", VLOOKUP(O30, Reference!$A$2:$D$34, 3, FALSE) &lt;= P30)
            ),
                "Exceeded",
                "OK"
            ),
            "No Regulation defined"
        )
    ),
    ""
)</f>
        <v/>
      </c>
      <c r="AB30" s="62" t="str">
        <f t="shared" si="0"/>
        <v/>
      </c>
    </row>
    <row r="31" spans="3:28" x14ac:dyDescent="0.2">
      <c r="C31" s="69"/>
      <c r="D31" s="70"/>
      <c r="R31" s="19"/>
      <c r="S31" s="34"/>
      <c r="T31" s="60" t="str">
        <f>IF(P31&lt;&gt;"",
    IF(OR(O31="", Q31="", R31=""),
        "Fill all the required columns",
        IFERROR(
            IF(OR(
                AND(R31="Marine Protected", VLOOKUP(O31, Reference!$A$2:$D$34, 4, FALSE) &lt;= P31),
                AND(R31="General Use", VLOOKUP(O31, Reference!$A$2:$D$34, 3, FALSE) &lt;= P31)
            ),
                "Exceeded",
                "OK"
            ),
            "No Regulation defined"
        )
    ),
    ""
)</f>
        <v/>
      </c>
      <c r="AB31" s="62" t="str">
        <f t="shared" si="0"/>
        <v/>
      </c>
    </row>
    <row r="32" spans="3:28" x14ac:dyDescent="0.2">
      <c r="C32" s="69"/>
      <c r="D32" s="70"/>
      <c r="R32" s="34"/>
      <c r="S32" s="34"/>
      <c r="T32" s="60" t="str">
        <f>IF(P32&lt;&gt;"",
    IF(OR(O32="", Q32="", R32=""),
        "Fill all the required columns",
        IFERROR(
            IF(OR(
                AND(R32="Marine Protected", VLOOKUP(O32, Reference!$A$2:$D$34, 4, FALSE) &lt;= P32),
                AND(R32="General Use", VLOOKUP(O32, Reference!$A$2:$D$34, 3, FALSE) &lt;= P32)
            ),
                "Exceeded",
                "OK"
            ),
            "No Regulation defined"
        )
    ),
    ""
)</f>
        <v/>
      </c>
      <c r="AB32" s="62" t="str">
        <f t="shared" si="0"/>
        <v/>
      </c>
    </row>
    <row r="33" spans="3:28" x14ac:dyDescent="0.2">
      <c r="C33" s="69"/>
      <c r="D33" s="70"/>
      <c r="R33" s="19"/>
      <c r="S33" s="34"/>
      <c r="T33" s="60" t="str">
        <f>IF(P33&lt;&gt;"",
    IF(OR(O33="", Q33="", R33=""),
        "Fill all the required columns",
        IFERROR(
            IF(OR(
                AND(R33="Marine Protected", VLOOKUP(O33, Reference!$A$2:$D$34, 4, FALSE) &lt;= P33),
                AND(R33="General Use", VLOOKUP(O33, Reference!$A$2:$D$34, 3, FALSE) &lt;= P33)
            ),
                "Exceeded",
                "OK"
            ),
            "No Regulation defined"
        )
    ),
    ""
)</f>
        <v/>
      </c>
      <c r="AB33" s="62" t="str">
        <f t="shared" si="0"/>
        <v/>
      </c>
    </row>
    <row r="34" spans="3:28" x14ac:dyDescent="0.2">
      <c r="C34" s="69"/>
      <c r="D34" s="70"/>
      <c r="R34" s="19"/>
      <c r="S34" s="34"/>
      <c r="T34" s="60" t="str">
        <f>IF(P34&lt;&gt;"",
    IF(OR(O34="", Q34="", R34=""),
        "Fill all the required columns",
        IFERROR(
            IF(OR(
                AND(R34="Marine Protected", VLOOKUP(O34, Reference!$A$2:$D$34, 4, FALSE) &lt;= P34),
                AND(R34="General Use", VLOOKUP(O34, Reference!$A$2:$D$34, 3, FALSE) &lt;= P34)
            ),
                "Exceeded",
                "OK"
            ),
            "No Regulation defined"
        )
    ),
    ""
)</f>
        <v/>
      </c>
      <c r="AB34" s="62" t="str">
        <f t="shared" si="0"/>
        <v/>
      </c>
    </row>
    <row r="35" spans="3:28" x14ac:dyDescent="0.2">
      <c r="C35" s="69"/>
      <c r="D35" s="70"/>
      <c r="R35" s="34"/>
      <c r="S35" s="34"/>
      <c r="T35" s="60" t="str">
        <f>IF(P35&lt;&gt;"",
    IF(OR(O35="", Q35="", R35=""),
        "Fill all the required columns",
        IFERROR(
            IF(OR(
                AND(R35="Marine Protected", VLOOKUP(O35, Reference!$A$2:$D$34, 4, FALSE) &lt;= P35),
                AND(R35="General Use", VLOOKUP(O35, Reference!$A$2:$D$34, 3, FALSE) &lt;= P35)
            ),
                "Exceeded",
                "OK"
            ),
            "No Regulation defined"
        )
    ),
    ""
)</f>
        <v/>
      </c>
      <c r="AB35" s="62" t="str">
        <f t="shared" si="0"/>
        <v/>
      </c>
    </row>
    <row r="36" spans="3:28" x14ac:dyDescent="0.2">
      <c r="C36" s="69"/>
      <c r="D36" s="70"/>
      <c r="R36" s="19"/>
      <c r="S36" s="34"/>
      <c r="T36" s="60" t="str">
        <f>IF(P36&lt;&gt;"",
    IF(OR(O36="", Q36="", R36=""),
        "Fill all the required columns",
        IFERROR(
            IF(OR(
                AND(R36="Marine Protected", VLOOKUP(O36, Reference!$A$2:$D$34, 4, FALSE) &lt;= P36),
                AND(R36="General Use", VLOOKUP(O36, Reference!$A$2:$D$34, 3, FALSE) &lt;= P36)
            ),
                "Exceeded",
                "OK"
            ),
            "No Regulation defined"
        )
    ),
    ""
)</f>
        <v/>
      </c>
      <c r="AB36" s="62" t="str">
        <f t="shared" si="0"/>
        <v/>
      </c>
    </row>
    <row r="37" spans="3:28" x14ac:dyDescent="0.2">
      <c r="C37" s="69"/>
      <c r="D37" s="70"/>
      <c r="R37" s="19"/>
      <c r="S37" s="34"/>
      <c r="T37" s="60" t="str">
        <f>IF(P37&lt;&gt;"",
    IF(OR(O37="", Q37="", R37=""),
        "Fill all the required columns",
        IFERROR(
            IF(OR(
                AND(R37="Marine Protected", VLOOKUP(O37, Reference!$A$2:$D$34, 4, FALSE) &lt;= P37),
                AND(R37="General Use", VLOOKUP(O37, Reference!$A$2:$D$34, 3, FALSE) &lt;= P37)
            ),
                "Exceeded",
                "OK"
            ),
            "No Regulation defined"
        )
    ),
    ""
)</f>
        <v/>
      </c>
      <c r="AB37" s="62" t="str">
        <f t="shared" si="0"/>
        <v/>
      </c>
    </row>
    <row r="38" spans="3:28" x14ac:dyDescent="0.2">
      <c r="C38" s="69"/>
      <c r="D38" s="70"/>
      <c r="R38" s="19"/>
      <c r="S38" s="34"/>
      <c r="T38" s="60" t="str">
        <f>IF(P38&lt;&gt;"",
    IF(OR(O38="", Q38="", R38=""),
        "Fill all the required columns",
        IFERROR(
            IF(OR(
                AND(R38="Marine Protected", VLOOKUP(O38, Reference!$A$2:$D$34, 4, FALSE) &lt;= P38),
                AND(R38="General Use", VLOOKUP(O38, Reference!$A$2:$D$34, 3, FALSE) &lt;= P38)
            ),
                "Exceeded",
                "OK"
            ),
            "No Regulation defined"
        )
    ),
    ""
)</f>
        <v/>
      </c>
      <c r="AB38" s="62" t="str">
        <f t="shared" si="0"/>
        <v/>
      </c>
    </row>
    <row r="39" spans="3:28" x14ac:dyDescent="0.2">
      <c r="C39" s="69"/>
      <c r="D39" s="70"/>
      <c r="R39" s="34"/>
      <c r="S39" s="34"/>
      <c r="T39" s="60" t="str">
        <f>IF(P39&lt;&gt;"",
    IF(OR(O39="", Q39="", R39=""),
        "Fill all the required columns",
        IFERROR(
            IF(OR(
                AND(R39="Marine Protected", VLOOKUP(O39, Reference!$A$2:$D$34, 4, FALSE) &lt;= P39),
                AND(R39="General Use", VLOOKUP(O39, Reference!$A$2:$D$34, 3, FALSE) &lt;= P39)
            ),
                "Exceeded",
                "OK"
            ),
            "No Regulation defined"
        )
    ),
    ""
)</f>
        <v/>
      </c>
      <c r="AA39" s="40"/>
      <c r="AB39" s="62" t="str">
        <f t="shared" si="0"/>
        <v/>
      </c>
    </row>
    <row r="40" spans="3:28" x14ac:dyDescent="0.2">
      <c r="C40" s="69"/>
      <c r="D40" s="70"/>
      <c r="R40" s="19"/>
      <c r="S40" s="34"/>
      <c r="T40" s="60" t="str">
        <f>IF(P40&lt;&gt;"",
    IF(OR(O40="", Q40="", R40=""),
        "Fill all the required columns",
        IFERROR(
            IF(OR(
                AND(R40="Marine Protected", VLOOKUP(O40, Reference!$A$2:$D$34, 4, FALSE) &lt;= P40),
                AND(R40="General Use", VLOOKUP(O40, Reference!$A$2:$D$34, 3, FALSE) &lt;= P40)
            ),
                "Exceeded",
                "OK"
            ),
            "No Regulation defined"
        )
    ),
    ""
)</f>
        <v/>
      </c>
      <c r="AA40" s="40"/>
      <c r="AB40" s="62" t="str">
        <f t="shared" si="0"/>
        <v/>
      </c>
    </row>
    <row r="41" spans="3:28" x14ac:dyDescent="0.2">
      <c r="C41" s="69"/>
      <c r="D41" s="70"/>
      <c r="R41" s="19"/>
      <c r="S41" s="34"/>
      <c r="T41" s="60" t="str">
        <f>IF(P41&lt;&gt;"",
    IF(OR(O41="", Q41="", R41=""),
        "Fill all the required columns",
        IFERROR(
            IF(OR(
                AND(R41="Marine Protected", VLOOKUP(O41, Reference!$A$2:$D$34, 4, FALSE) &lt;= P41),
                AND(R41="General Use", VLOOKUP(O41, Reference!$A$2:$D$34, 3, FALSE) &lt;= P41)
            ),
                "Exceeded",
                "OK"
            ),
            "No Regulation defined"
        )
    ),
    ""
)</f>
        <v/>
      </c>
      <c r="AA41" s="40"/>
      <c r="AB41" s="62" t="str">
        <f t="shared" si="0"/>
        <v/>
      </c>
    </row>
    <row r="42" spans="3:28" x14ac:dyDescent="0.2">
      <c r="C42" s="69"/>
      <c r="D42" s="70"/>
      <c r="R42" s="19"/>
      <c r="S42" s="34"/>
      <c r="T42" s="60" t="str">
        <f>IF(P42&lt;&gt;"",
    IF(OR(O42="", Q42="", R42=""),
        "Fill all the required columns",
        IFERROR(
            IF(OR(
                AND(R42="Marine Protected", VLOOKUP(O42, Reference!$A$2:$D$34, 4, FALSE) &lt;= P42),
                AND(R42="General Use", VLOOKUP(O42, Reference!$A$2:$D$34, 3, FALSE) &lt;= P42)
            ),
                "Exceeded",
                "OK"
            ),
            "No Regulation defined"
        )
    ),
    ""
)</f>
        <v/>
      </c>
      <c r="AA42" s="40"/>
      <c r="AB42" s="62" t="str">
        <f t="shared" si="0"/>
        <v/>
      </c>
    </row>
    <row r="43" spans="3:28" x14ac:dyDescent="0.2">
      <c r="C43" s="69"/>
      <c r="D43" s="70"/>
      <c r="R43" s="34"/>
      <c r="S43" s="34"/>
      <c r="T43" s="60" t="str">
        <f>IF(P43&lt;&gt;"",
    IF(OR(O43="", Q43="", R43=""),
        "Fill all the required columns",
        IFERROR(
            IF(OR(
                AND(R43="Marine Protected", VLOOKUP(O43, Reference!$A$2:$D$34, 4, FALSE) &lt;= P43),
                AND(R43="General Use", VLOOKUP(O43, Reference!$A$2:$D$34, 3, FALSE) &lt;= P43)
            ),
                "Exceeded",
                "OK"
            ),
            "No Regulation defined"
        )
    ),
    ""
)</f>
        <v/>
      </c>
      <c r="AA43" s="40"/>
      <c r="AB43" s="62" t="str">
        <f t="shared" si="0"/>
        <v/>
      </c>
    </row>
    <row r="44" spans="3:28" x14ac:dyDescent="0.2">
      <c r="C44" s="69"/>
      <c r="D44" s="70"/>
      <c r="R44" s="19"/>
      <c r="S44" s="34"/>
      <c r="T44" s="60" t="str">
        <f>IF(P44&lt;&gt;"",
    IF(OR(O44="", Q44="", R44=""),
        "Fill all the required columns",
        IFERROR(
            IF(OR(
                AND(R44="Marine Protected", VLOOKUP(O44, Reference!$A$2:$D$34, 4, FALSE) &lt;= P44),
                AND(R44="General Use", VLOOKUP(O44, Reference!$A$2:$D$34, 3, FALSE) &lt;= P44)
            ),
                "Exceeded",
                "OK"
            ),
            "No Regulation defined"
        )
    ),
    ""
)</f>
        <v/>
      </c>
      <c r="AA44" s="40"/>
      <c r="AB44" s="62" t="str">
        <f t="shared" si="0"/>
        <v/>
      </c>
    </row>
    <row r="45" spans="3:28" x14ac:dyDescent="0.2">
      <c r="C45" s="69"/>
      <c r="D45" s="70"/>
      <c r="R45" s="19"/>
      <c r="S45" s="34"/>
      <c r="T45" s="60" t="str">
        <f>IF(P45&lt;&gt;"",
    IF(OR(O45="", Q45="", R45=""),
        "Fill all the required columns",
        IFERROR(
            IF(OR(
                AND(R45="Marine Protected", VLOOKUP(O45, Reference!$A$2:$D$34, 4, FALSE) &lt;= P45),
                AND(R45="General Use", VLOOKUP(O45, Reference!$A$2:$D$34, 3, FALSE) &lt;= P45)
            ),
                "Exceeded",
                "OK"
            ),
            "No Regulation defined"
        )
    ),
    ""
)</f>
        <v/>
      </c>
      <c r="AB45" s="62" t="str">
        <f t="shared" si="0"/>
        <v/>
      </c>
    </row>
    <row r="46" spans="3:28" x14ac:dyDescent="0.2">
      <c r="C46" s="69"/>
      <c r="D46" s="70"/>
      <c r="R46" s="34"/>
      <c r="S46" s="34"/>
      <c r="T46" s="60" t="str">
        <f>IF(P46&lt;&gt;"",
    IF(OR(O46="", Q46="", R46=""),
        "Fill all the required columns",
        IFERROR(
            IF(OR(
                AND(R46="Marine Protected", VLOOKUP(O46, Reference!$A$2:$D$34, 4, FALSE) &lt;= P46),
                AND(R46="General Use", VLOOKUP(O46, Reference!$A$2:$D$34, 3, FALSE) &lt;= P46)
            ),
                "Exceeded",
                "OK"
            ),
            "No Regulation defined"
        )
    ),
    ""
)</f>
        <v/>
      </c>
      <c r="AB46" s="62" t="str">
        <f t="shared" si="0"/>
        <v/>
      </c>
    </row>
    <row r="47" spans="3:28" x14ac:dyDescent="0.2">
      <c r="C47" s="69"/>
      <c r="D47" s="70"/>
      <c r="R47" s="19"/>
      <c r="S47" s="34"/>
      <c r="T47" s="60" t="str">
        <f>IF(P47&lt;&gt;"",
    IF(OR(O47="", Q47="", R47=""),
        "Fill all the required columns",
        IFERROR(
            IF(OR(
                AND(R47="Marine Protected", VLOOKUP(O47, Reference!$A$2:$D$34, 4, FALSE) &lt;= P47),
                AND(R47="General Use", VLOOKUP(O47, Reference!$A$2:$D$34, 3, FALSE) &lt;= P47)
            ),
                "Exceeded",
                "OK"
            ),
            "No Regulation defined"
        )
    ),
    ""
)</f>
        <v/>
      </c>
      <c r="AB47" s="62" t="str">
        <f t="shared" si="0"/>
        <v/>
      </c>
    </row>
    <row r="48" spans="3:28" x14ac:dyDescent="0.2">
      <c r="C48" s="69"/>
      <c r="D48" s="70"/>
      <c r="R48" s="19"/>
      <c r="S48" s="34"/>
      <c r="T48" s="60" t="str">
        <f>IF(P48&lt;&gt;"",
    IF(OR(O48="", Q48="", R48=""),
        "Fill all the required columns",
        IFERROR(
            IF(OR(
                AND(R48="Marine Protected", VLOOKUP(O48, Reference!$A$2:$D$34, 4, FALSE) &lt;= P48),
                AND(R48="General Use", VLOOKUP(O48, Reference!$A$2:$D$34, 3, FALSE) &lt;= P48)
            ),
                "Exceeded",
                "OK"
            ),
            "No Regulation defined"
        )
    ),
    ""
)</f>
        <v/>
      </c>
      <c r="AB48" s="62" t="str">
        <f t="shared" si="0"/>
        <v/>
      </c>
    </row>
    <row r="49" spans="3:28" x14ac:dyDescent="0.2">
      <c r="C49" s="69"/>
      <c r="D49" s="70"/>
      <c r="R49" s="19"/>
      <c r="S49" s="34"/>
      <c r="T49" s="60" t="str">
        <f>IF(P49&lt;&gt;"",
    IF(OR(O49="", Q49="", R49=""),
        "Fill all the required columns",
        IFERROR(
            IF(OR(
                AND(R49="Marine Protected", VLOOKUP(O49, Reference!$A$2:$D$34, 4, FALSE) &lt;= P49),
                AND(R49="General Use", VLOOKUP(O49, Reference!$A$2:$D$34, 3, FALSE) &lt;= P49)
            ),
                "Exceeded",
                "OK"
            ),
            "No Regulation defined"
        )
    ),
    ""
)</f>
        <v/>
      </c>
      <c r="AB49" s="62" t="str">
        <f t="shared" si="0"/>
        <v/>
      </c>
    </row>
    <row r="50" spans="3:28" x14ac:dyDescent="0.2">
      <c r="C50" s="69"/>
      <c r="D50" s="70"/>
      <c r="R50" s="34"/>
      <c r="S50" s="34"/>
      <c r="T50" s="60" t="str">
        <f>IF(P50&lt;&gt;"",
    IF(OR(O50="", Q50="", R50=""),
        "Fill all the required columns",
        IFERROR(
            IF(OR(
                AND(R50="Marine Protected", VLOOKUP(O50, Reference!$A$2:$D$34, 4, FALSE) &lt;= P50),
                AND(R50="General Use", VLOOKUP(O50, Reference!$A$2:$D$34, 3, FALSE) &lt;= P50)
            ),
                "Exceeded",
                "OK"
            ),
            "No Regulation defined"
        )
    ),
    ""
)</f>
        <v/>
      </c>
      <c r="AB50" s="62" t="str">
        <f t="shared" si="0"/>
        <v/>
      </c>
    </row>
    <row r="51" spans="3:28" x14ac:dyDescent="0.2">
      <c r="C51" s="69"/>
      <c r="D51" s="70"/>
      <c r="R51" s="19"/>
      <c r="S51" s="34"/>
      <c r="T51" s="60" t="str">
        <f>IF(P51&lt;&gt;"",
    IF(OR(O51="", Q51="", R51=""),
        "Fill all the required columns",
        IFERROR(
            IF(OR(
                AND(R51="Marine Protected", VLOOKUP(O51, Reference!$A$2:$D$34, 4, FALSE) &lt;= P51),
                AND(R51="General Use", VLOOKUP(O51, Reference!$A$2:$D$34, 3, FALSE) &lt;= P51)
            ),
                "Exceeded",
                "OK"
            ),
            "No Regulation defined"
        )
    ),
    ""
)</f>
        <v/>
      </c>
      <c r="AB51" s="62" t="str">
        <f t="shared" si="0"/>
        <v/>
      </c>
    </row>
    <row r="52" spans="3:28" x14ac:dyDescent="0.2">
      <c r="C52" s="69"/>
      <c r="D52" s="70"/>
      <c r="R52" s="19"/>
      <c r="S52" s="34"/>
      <c r="T52" s="60" t="str">
        <f>IF(P52&lt;&gt;"",
    IF(OR(O52="", Q52="", R52=""),
        "Fill all the required columns",
        IFERROR(
            IF(OR(
                AND(R52="Marine Protected", VLOOKUP(O52, Reference!$A$2:$D$34, 4, FALSE) &lt;= P52),
                AND(R52="General Use", VLOOKUP(O52, Reference!$A$2:$D$34, 3, FALSE) &lt;= P52)
            ),
                "Exceeded",
                "OK"
            ),
            "No Regulation defined"
        )
    ),
    ""
)</f>
        <v/>
      </c>
      <c r="AB52" s="62" t="str">
        <f t="shared" si="0"/>
        <v/>
      </c>
    </row>
    <row r="53" spans="3:28" x14ac:dyDescent="0.2">
      <c r="C53" s="69"/>
      <c r="D53" s="70"/>
      <c r="R53" s="19"/>
      <c r="S53" s="34"/>
      <c r="T53" s="60" t="str">
        <f>IF(P53&lt;&gt;"",
    IF(OR(O53="", Q53="", R53=""),
        "Fill all the required columns",
        IFERROR(
            IF(OR(
                AND(R53="Marine Protected", VLOOKUP(O53, Reference!$A$2:$D$34, 4, FALSE) &lt;= P53),
                AND(R53="General Use", VLOOKUP(O53, Reference!$A$2:$D$34, 3, FALSE) &lt;= P53)
            ),
                "Exceeded",
                "OK"
            ),
            "No Regulation defined"
        )
    ),
    ""
)</f>
        <v/>
      </c>
      <c r="AB53" s="62" t="str">
        <f t="shared" si="0"/>
        <v/>
      </c>
    </row>
    <row r="54" spans="3:28" x14ac:dyDescent="0.2">
      <c r="C54" s="69"/>
      <c r="D54" s="70"/>
      <c r="R54" s="34"/>
      <c r="S54" s="34"/>
      <c r="T54" s="60" t="str">
        <f>IF(P54&lt;&gt;"",
    IF(OR(O54="", Q54="", R54=""),
        "Fill all the required columns",
        IFERROR(
            IF(OR(
                AND(R54="Marine Protected", VLOOKUP(O54, Reference!$A$2:$D$34, 4, FALSE) &lt;= P54),
                AND(R54="General Use", VLOOKUP(O54, Reference!$A$2:$D$34, 3, FALSE) &lt;= P54)
            ),
                "Exceeded",
                "OK"
            ),
            "No Regulation defined"
        )
    ),
    ""
)</f>
        <v/>
      </c>
      <c r="AB54" s="62" t="str">
        <f t="shared" si="0"/>
        <v/>
      </c>
    </row>
    <row r="55" spans="3:28" x14ac:dyDescent="0.2">
      <c r="C55" s="69"/>
      <c r="D55" s="70"/>
      <c r="R55" s="19"/>
      <c r="S55" s="34"/>
      <c r="T55" s="60" t="str">
        <f>IF(P55&lt;&gt;"",
    IF(OR(O55="", Q55="", R55=""),
        "Fill all the required columns",
        IFERROR(
            IF(OR(
                AND(R55="Marine Protected", VLOOKUP(O55, Reference!$A$2:$D$34, 4, FALSE) &lt;= P55),
                AND(R55="General Use", VLOOKUP(O55, Reference!$A$2:$D$34, 3, FALSE) &lt;= P55)
            ),
                "Exceeded",
                "OK"
            ),
            "No Regulation defined"
        )
    ),
    ""
)</f>
        <v/>
      </c>
      <c r="AB55" s="62" t="str">
        <f t="shared" si="0"/>
        <v/>
      </c>
    </row>
    <row r="56" spans="3:28" x14ac:dyDescent="0.2">
      <c r="C56" s="69"/>
      <c r="D56" s="70"/>
      <c r="R56" s="19"/>
      <c r="S56" s="34"/>
      <c r="T56" s="60" t="str">
        <f>IF(P56&lt;&gt;"",
    IF(OR(O56="", Q56="", R56=""),
        "Fill all the required columns",
        IFERROR(
            IF(OR(
                AND(R56="Marine Protected", VLOOKUP(O56, Reference!$A$2:$D$34, 4, FALSE) &lt;= P56),
                AND(R56="General Use", VLOOKUP(O56, Reference!$A$2:$D$34, 3, FALSE) &lt;= P56)
            ),
                "Exceeded",
                "OK"
            ),
            "No Regulation defined"
        )
    ),
    ""
)</f>
        <v/>
      </c>
      <c r="AB56" s="62" t="str">
        <f t="shared" si="0"/>
        <v/>
      </c>
    </row>
    <row r="57" spans="3:28" x14ac:dyDescent="0.2">
      <c r="C57" s="69"/>
      <c r="D57" s="70"/>
      <c r="R57" s="34"/>
      <c r="S57" s="34"/>
      <c r="T57" s="60" t="str">
        <f>IF(P57&lt;&gt;"",
    IF(OR(O57="", Q57="", R57=""),
        "Fill all the required columns",
        IFERROR(
            IF(OR(
                AND(R57="Marine Protected", VLOOKUP(O57, Reference!$A$2:$D$34, 4, FALSE) &lt;= P57),
                AND(R57="General Use", VLOOKUP(O57, Reference!$A$2:$D$34, 3, FALSE) &lt;= P57)
            ),
                "Exceeded",
                "OK"
            ),
            "No Regulation defined"
        )
    ),
    ""
)</f>
        <v/>
      </c>
      <c r="AB57" s="62" t="str">
        <f t="shared" si="0"/>
        <v/>
      </c>
    </row>
    <row r="58" spans="3:28" x14ac:dyDescent="0.2">
      <c r="C58" s="69"/>
      <c r="D58" s="70"/>
      <c r="R58" s="19"/>
      <c r="S58" s="34"/>
      <c r="T58" s="60" t="str">
        <f>IF(P58&lt;&gt;"",
    IF(OR(O58="", Q58="", R58=""),
        "Fill all the required columns",
        IFERROR(
            IF(OR(
                AND(R58="Marine Protected", VLOOKUP(O58, Reference!$A$2:$D$34, 4, FALSE) &lt;= P58),
                AND(R58="General Use", VLOOKUP(O58, Reference!$A$2:$D$34, 3, FALSE) &lt;= P58)
            ),
                "Exceeded",
                "OK"
            ),
            "No Regulation defined"
        )
    ),
    ""
)</f>
        <v/>
      </c>
      <c r="AB58" s="62" t="str">
        <f t="shared" si="0"/>
        <v/>
      </c>
    </row>
    <row r="59" spans="3:28" x14ac:dyDescent="0.2">
      <c r="C59" s="69"/>
      <c r="D59" s="70"/>
      <c r="R59" s="34"/>
      <c r="S59" s="34"/>
      <c r="T59" s="60" t="str">
        <f>IF(P59&lt;&gt;"",
    IF(OR(O59="", Q59="", R59=""),
        "Fill all the required columns",
        IFERROR(
            IF(OR(
                AND(R59="Marine Protected", VLOOKUP(O59, Reference!$A$2:$D$34, 4, FALSE) &lt;= P59),
                AND(R59="General Use", VLOOKUP(O59, Reference!$A$2:$D$34, 3, FALSE) &lt;= P59)
            ),
                "Exceeded",
                "OK"
            ),
            "No Regulation defined"
        )
    ),
    ""
)</f>
        <v/>
      </c>
      <c r="AA59" s="40"/>
      <c r="AB59" s="62" t="str">
        <f t="shared" si="0"/>
        <v/>
      </c>
    </row>
    <row r="60" spans="3:28" x14ac:dyDescent="0.2">
      <c r="C60" s="69"/>
      <c r="D60" s="70"/>
      <c r="R60" s="19"/>
      <c r="S60" s="34"/>
      <c r="T60" s="60" t="str">
        <f>IF(P60&lt;&gt;"",
    IF(OR(O60="", Q60="", R60=""),
        "Fill all the required columns",
        IFERROR(
            IF(OR(
                AND(R60="Marine Protected", VLOOKUP(O60, Reference!$A$2:$D$34, 4, FALSE) &lt;= P60),
                AND(R60="General Use", VLOOKUP(O60, Reference!$A$2:$D$34, 3, FALSE) &lt;= P60)
            ),
                "Exceeded",
                "OK"
            ),
            "No Regulation defined"
        )
    ),
    ""
)</f>
        <v/>
      </c>
      <c r="AB60" s="62" t="str">
        <f t="shared" si="0"/>
        <v/>
      </c>
    </row>
    <row r="61" spans="3:28" x14ac:dyDescent="0.2">
      <c r="C61" s="69"/>
      <c r="D61" s="70"/>
      <c r="R61" s="19"/>
      <c r="S61" s="34"/>
      <c r="T61" s="60" t="str">
        <f>IF(P61&lt;&gt;"",
    IF(OR(O61="", Q61="", R61=""),
        "Fill all the required columns",
        IFERROR(
            IF(OR(
                AND(R61="Marine Protected", VLOOKUP(O61, Reference!$A$2:$D$34, 4, FALSE) &lt;= P61),
                AND(R61="General Use", VLOOKUP(O61, Reference!$A$2:$D$34, 3, FALSE) &lt;= P61)
            ),
                "Exceeded",
                "OK"
            ),
            "No Regulation defined"
        )
    ),
    ""
)</f>
        <v/>
      </c>
      <c r="AA61" s="40"/>
      <c r="AB61" s="62" t="str">
        <f t="shared" si="0"/>
        <v/>
      </c>
    </row>
    <row r="62" spans="3:28" x14ac:dyDescent="0.2">
      <c r="C62" s="69"/>
      <c r="D62" s="70"/>
      <c r="R62" s="19"/>
      <c r="S62" s="34"/>
      <c r="T62" s="60" t="str">
        <f>IF(P62&lt;&gt;"",
    IF(OR(O62="", Q62="", R62=""),
        "Fill all the required columns",
        IFERROR(
            IF(OR(
                AND(R62="Marine Protected", VLOOKUP(O62, Reference!$A$2:$D$34, 4, FALSE) &lt;= P62),
                AND(R62="General Use", VLOOKUP(O62, Reference!$A$2:$D$34, 3, FALSE) &lt;= P62)
            ),
                "Exceeded",
                "OK"
            ),
            "No Regulation defined"
        )
    ),
    ""
)</f>
        <v/>
      </c>
      <c r="AA62" s="40"/>
      <c r="AB62" s="62" t="str">
        <f t="shared" si="0"/>
        <v/>
      </c>
    </row>
    <row r="63" spans="3:28" x14ac:dyDescent="0.2">
      <c r="C63" s="69"/>
      <c r="D63" s="70"/>
      <c r="R63" s="34"/>
      <c r="S63" s="34"/>
      <c r="T63" s="60" t="str">
        <f>IF(P63&lt;&gt;"",
    IF(OR(O63="", Q63="", R63=""),
        "Fill all the required columns",
        IFERROR(
            IF(OR(
                AND(R63="Marine Protected", VLOOKUP(O63, Reference!$A$2:$D$34, 4, FALSE) &lt;= P63),
                AND(R63="General Use", VLOOKUP(O63, Reference!$A$2:$D$34, 3, FALSE) &lt;= P63)
            ),
                "Exceeded",
                "OK"
            ),
            "No Regulation defined"
        )
    ),
    ""
)</f>
        <v/>
      </c>
      <c r="AA63" s="40"/>
      <c r="AB63" s="62" t="str">
        <f t="shared" si="0"/>
        <v/>
      </c>
    </row>
    <row r="64" spans="3:28" x14ac:dyDescent="0.2">
      <c r="C64" s="69"/>
      <c r="D64" s="70"/>
      <c r="R64" s="19"/>
      <c r="S64" s="34"/>
      <c r="T64" s="60" t="str">
        <f>IF(P64&lt;&gt;"",
    IF(OR(O64="", Q64="", R64=""),
        "Fill all the required columns",
        IFERROR(
            IF(OR(
                AND(R64="Marine Protected", VLOOKUP(O64, Reference!$A$2:$D$34, 4, FALSE) &lt;= P64),
                AND(R64="General Use", VLOOKUP(O64, Reference!$A$2:$D$34, 3, FALSE) &lt;= P64)
            ),
                "Exceeded",
                "OK"
            ),
            "No Regulation defined"
        )
    ),
    ""
)</f>
        <v/>
      </c>
      <c r="AA64" s="40"/>
      <c r="AB64" s="62" t="str">
        <f t="shared" si="0"/>
        <v/>
      </c>
    </row>
    <row r="65" spans="3:28" x14ac:dyDescent="0.2">
      <c r="C65" s="69"/>
      <c r="D65" s="70"/>
      <c r="R65" s="19"/>
      <c r="S65" s="34"/>
      <c r="T65" s="60" t="str">
        <f>IF(P65&lt;&gt;"",
    IF(OR(O65="", Q65="", R65=""),
        "Fill all the required columns",
        IFERROR(
            IF(OR(
                AND(R65="Marine Protected", VLOOKUP(O65, Reference!$A$2:$D$34, 4, FALSE) &lt;= P65),
                AND(R65="General Use", VLOOKUP(O65, Reference!$A$2:$D$34, 3, FALSE) &lt;= P65)
            ),
                "Exceeded",
                "OK"
            ),
            "No Regulation defined"
        )
    ),
    ""
)</f>
        <v/>
      </c>
      <c r="AA65" s="40"/>
      <c r="AB65" s="62" t="str">
        <f t="shared" si="0"/>
        <v/>
      </c>
    </row>
    <row r="66" spans="3:28" x14ac:dyDescent="0.2">
      <c r="C66" s="69"/>
      <c r="D66" s="70"/>
      <c r="R66" s="19"/>
      <c r="S66" s="34"/>
      <c r="T66" s="60" t="str">
        <f>IF(P66&lt;&gt;"",
    IF(OR(O66="", Q66="", R66=""),
        "Fill all the required columns",
        IFERROR(
            IF(OR(
                AND(R66="Marine Protected", VLOOKUP(O66, Reference!$A$2:$D$34, 4, FALSE) &lt;= P66),
                AND(R66="General Use", VLOOKUP(O66, Reference!$A$2:$D$34, 3, FALSE) &lt;= P66)
            ),
                "Exceeded",
                "OK"
            ),
            "No Regulation defined"
        )
    ),
    ""
)</f>
        <v/>
      </c>
      <c r="AA66" s="40"/>
      <c r="AB66" s="62" t="str">
        <f t="shared" si="0"/>
        <v/>
      </c>
    </row>
    <row r="67" spans="3:28" x14ac:dyDescent="0.2">
      <c r="C67" s="69"/>
      <c r="D67" s="70"/>
      <c r="R67" s="34"/>
      <c r="S67" s="34"/>
      <c r="T67" s="60" t="str">
        <f>IF(P67&lt;&gt;"",
    IF(OR(O67="", Q67="", R67=""),
        "Fill all the required columns",
        IFERROR(
            IF(OR(
                AND(R67="Marine Protected", VLOOKUP(O67, Reference!$A$2:$D$34, 4, FALSE) &lt;= P67),
                AND(R67="General Use", VLOOKUP(O67, Reference!$A$2:$D$34, 3, FALSE) &lt;= P67)
            ),
                "Exceeded",
                "OK"
            ),
            "No Regulation defined"
        )
    ),
    ""
)</f>
        <v/>
      </c>
      <c r="AA67" s="40"/>
      <c r="AB67" s="62" t="str">
        <f t="shared" ref="AB67:AB130" si="1">IF(COUNTA(A67, E67, F67, H67, I67, O67, P67, Q67, R67,S67) = 0, "", IF(COUNTA(A67, E67, F67, H67, I67, O67, P67, Q67, R67,S67) = 10, "OK", "Incomplete"))</f>
        <v/>
      </c>
    </row>
    <row r="68" spans="3:28" x14ac:dyDescent="0.2">
      <c r="C68" s="69"/>
      <c r="D68" s="70"/>
      <c r="R68" s="19"/>
      <c r="S68" s="34"/>
      <c r="T68" s="60" t="str">
        <f>IF(P68&lt;&gt;"",
    IF(OR(O68="", Q68="", R68=""),
        "Fill all the required columns",
        IFERROR(
            IF(OR(
                AND(R68="Marine Protected", VLOOKUP(O68, Reference!$A$2:$D$34, 4, FALSE) &lt;= P68),
                AND(R68="General Use", VLOOKUP(O68, Reference!$A$2:$D$34, 3, FALSE) &lt;= P68)
            ),
                "Exceeded",
                "OK"
            ),
            "No Regulation defined"
        )
    ),
    ""
)</f>
        <v/>
      </c>
      <c r="AA68" s="40"/>
      <c r="AB68" s="62" t="str">
        <f t="shared" si="1"/>
        <v/>
      </c>
    </row>
    <row r="69" spans="3:28" x14ac:dyDescent="0.2">
      <c r="C69" s="69"/>
      <c r="D69" s="70"/>
      <c r="R69" s="19"/>
      <c r="S69" s="34"/>
      <c r="T69" s="60" t="str">
        <f>IF(P69&lt;&gt;"",
    IF(OR(O69="", Q69="", R69=""),
        "Fill all the required columns",
        IFERROR(
            IF(OR(
                AND(R69="Marine Protected", VLOOKUP(O69, Reference!$A$2:$D$34, 4, FALSE) &lt;= P69),
                AND(R69="General Use", VLOOKUP(O69, Reference!$A$2:$D$34, 3, FALSE) &lt;= P69)
            ),
                "Exceeded",
                "OK"
            ),
            "No Regulation defined"
        )
    ),
    ""
)</f>
        <v/>
      </c>
      <c r="AB69" s="62" t="str">
        <f t="shared" si="1"/>
        <v/>
      </c>
    </row>
    <row r="70" spans="3:28" x14ac:dyDescent="0.2">
      <c r="C70" s="69"/>
      <c r="D70" s="70"/>
      <c r="R70" s="34"/>
      <c r="S70" s="34"/>
      <c r="T70" s="60" t="str">
        <f>IF(P70&lt;&gt;"",
    IF(OR(O70="", Q70="", R70=""),
        "Fill all the required columns",
        IFERROR(
            IF(OR(
                AND(R70="Marine Protected", VLOOKUP(O70, Reference!$A$2:$D$34, 4, FALSE) &lt;= P70),
                AND(R70="General Use", VLOOKUP(O70, Reference!$A$2:$D$34, 3, FALSE) &lt;= P70)
            ),
                "Exceeded",
                "OK"
            ),
            "No Regulation defined"
        )
    ),
    ""
)</f>
        <v/>
      </c>
      <c r="AB70" s="62" t="str">
        <f t="shared" si="1"/>
        <v/>
      </c>
    </row>
    <row r="71" spans="3:28" x14ac:dyDescent="0.2">
      <c r="C71" s="69"/>
      <c r="D71" s="70"/>
      <c r="R71" s="19"/>
      <c r="S71" s="34"/>
      <c r="T71" s="60" t="str">
        <f>IF(P71&lt;&gt;"",
    IF(OR(O71="", Q71="", R71=""),
        "Fill all the required columns",
        IFERROR(
            IF(OR(
                AND(R71="Marine Protected", VLOOKUP(O71, Reference!$A$2:$D$34, 4, FALSE) &lt;= P71),
                AND(R71="General Use", VLOOKUP(O71, Reference!$A$2:$D$34, 3, FALSE) &lt;= P71)
            ),
                "Exceeded",
                "OK"
            ),
            "No Regulation defined"
        )
    ),
    ""
)</f>
        <v/>
      </c>
      <c r="AB71" s="62" t="str">
        <f t="shared" si="1"/>
        <v/>
      </c>
    </row>
    <row r="72" spans="3:28" x14ac:dyDescent="0.2">
      <c r="C72" s="69"/>
      <c r="D72" s="70"/>
      <c r="R72" s="19"/>
      <c r="S72" s="34"/>
      <c r="T72" s="60" t="str">
        <f>IF(P72&lt;&gt;"",
    IF(OR(O72="", Q72="", R72=""),
        "Fill all the required columns",
        IFERROR(
            IF(OR(
                AND(R72="Marine Protected", VLOOKUP(O72, Reference!$A$2:$D$34, 4, FALSE) &lt;= P72),
                AND(R72="General Use", VLOOKUP(O72, Reference!$A$2:$D$34, 3, FALSE) &lt;= P72)
            ),
                "Exceeded",
                "OK"
            ),
            "No Regulation defined"
        )
    ),
    ""
)</f>
        <v/>
      </c>
      <c r="AB72" s="62" t="str">
        <f t="shared" si="1"/>
        <v/>
      </c>
    </row>
    <row r="73" spans="3:28" x14ac:dyDescent="0.2">
      <c r="C73" s="69"/>
      <c r="D73" s="70"/>
      <c r="R73" s="19"/>
      <c r="S73" s="34"/>
      <c r="T73" s="60" t="str">
        <f>IF(P73&lt;&gt;"",
    IF(OR(O73="", Q73="", R73=""),
        "Fill all the required columns",
        IFERROR(
            IF(OR(
                AND(R73="Marine Protected", VLOOKUP(O73, Reference!$A$2:$D$34, 4, FALSE) &lt;= P73),
                AND(R73="General Use", VLOOKUP(O73, Reference!$A$2:$D$34, 3, FALSE) &lt;= P73)
            ),
                "Exceeded",
                "OK"
            ),
            "No Regulation defined"
        )
    ),
    ""
)</f>
        <v/>
      </c>
      <c r="AB73" s="62" t="str">
        <f t="shared" si="1"/>
        <v/>
      </c>
    </row>
    <row r="74" spans="3:28" x14ac:dyDescent="0.2">
      <c r="C74" s="69"/>
      <c r="D74" s="70"/>
      <c r="R74" s="34"/>
      <c r="S74" s="34"/>
      <c r="T74" s="60" t="str">
        <f>IF(P74&lt;&gt;"",
    IF(OR(O74="", Q74="", R74=""),
        "Fill all the required columns",
        IFERROR(
            IF(OR(
                AND(R74="Marine Protected", VLOOKUP(O74, Reference!$A$2:$D$34, 4, FALSE) &lt;= P74),
                AND(R74="General Use", VLOOKUP(O74, Reference!$A$2:$D$34, 3, FALSE) &lt;= P74)
            ),
                "Exceeded",
                "OK"
            ),
            "No Regulation defined"
        )
    ),
    ""
)</f>
        <v/>
      </c>
      <c r="AB74" s="62" t="str">
        <f t="shared" si="1"/>
        <v/>
      </c>
    </row>
    <row r="75" spans="3:28" x14ac:dyDescent="0.2">
      <c r="C75" s="69"/>
      <c r="D75" s="70"/>
      <c r="R75" s="19"/>
      <c r="S75" s="34"/>
      <c r="T75" s="60" t="str">
        <f>IF(P75&lt;&gt;"",
    IF(OR(O75="", Q75="", R75=""),
        "Fill all the required columns",
        IFERROR(
            IF(OR(
                AND(R75="Marine Protected", VLOOKUP(O75, Reference!$A$2:$D$34, 4, FALSE) &lt;= P75),
                AND(R75="General Use", VLOOKUP(O75, Reference!$A$2:$D$34, 3, FALSE) &lt;= P75)
            ),
                "Exceeded",
                "OK"
            ),
            "No Regulation defined"
        )
    ),
    ""
)</f>
        <v/>
      </c>
      <c r="AA75" s="40"/>
      <c r="AB75" s="62" t="str">
        <f t="shared" si="1"/>
        <v/>
      </c>
    </row>
    <row r="76" spans="3:28" x14ac:dyDescent="0.2">
      <c r="C76" s="69"/>
      <c r="D76" s="70"/>
      <c r="R76" s="19"/>
      <c r="S76" s="34"/>
      <c r="T76" s="60" t="str">
        <f>IF(P76&lt;&gt;"",
    IF(OR(O76="", Q76="", R76=""),
        "Fill all the required columns",
        IFERROR(
            IF(OR(
                AND(R76="Marine Protected", VLOOKUP(O76, Reference!$A$2:$D$34, 4, FALSE) &lt;= P76),
                AND(R76="General Use", VLOOKUP(O76, Reference!$A$2:$D$34, 3, FALSE) &lt;= P76)
            ),
                "Exceeded",
                "OK"
            ),
            "No Regulation defined"
        )
    ),
    ""
)</f>
        <v/>
      </c>
      <c r="AB76" s="62" t="str">
        <f t="shared" si="1"/>
        <v/>
      </c>
    </row>
    <row r="77" spans="3:28" x14ac:dyDescent="0.2">
      <c r="C77" s="69"/>
      <c r="D77" s="70"/>
      <c r="R77" s="19"/>
      <c r="S77" s="34"/>
      <c r="T77" s="60" t="str">
        <f>IF(P77&lt;&gt;"",
    IF(OR(O77="", Q77="", R77=""),
        "Fill all the required columns",
        IFERROR(
            IF(OR(
                AND(R77="Marine Protected", VLOOKUP(O77, Reference!$A$2:$D$34, 4, FALSE) &lt;= P77),
                AND(R77="General Use", VLOOKUP(O77, Reference!$A$2:$D$34, 3, FALSE) &lt;= P77)
            ),
                "Exceeded",
                "OK"
            ),
            "No Regulation defined"
        )
    ),
    ""
)</f>
        <v/>
      </c>
      <c r="AB77" s="62" t="str">
        <f t="shared" si="1"/>
        <v/>
      </c>
    </row>
    <row r="78" spans="3:28" x14ac:dyDescent="0.2">
      <c r="C78" s="69"/>
      <c r="D78" s="70"/>
      <c r="R78" s="34"/>
      <c r="S78" s="34"/>
      <c r="T78" s="60" t="str">
        <f>IF(P78&lt;&gt;"",
    IF(OR(O78="", Q78="", R78=""),
        "Fill all the required columns",
        IFERROR(
            IF(OR(
                AND(R78="Marine Protected", VLOOKUP(O78, Reference!$A$2:$D$34, 4, FALSE) &lt;= P78),
                AND(R78="General Use", VLOOKUP(O78, Reference!$A$2:$D$34, 3, FALSE) &lt;= P78)
            ),
                "Exceeded",
                "OK"
            ),
            "No Regulation defined"
        )
    ),
    ""
)</f>
        <v/>
      </c>
      <c r="AB78" s="62" t="str">
        <f t="shared" si="1"/>
        <v/>
      </c>
    </row>
    <row r="79" spans="3:28" x14ac:dyDescent="0.2">
      <c r="C79" s="69"/>
      <c r="D79" s="70"/>
      <c r="R79" s="19"/>
      <c r="S79" s="34"/>
      <c r="T79" s="60" t="str">
        <f>IF(P79&lt;&gt;"",
    IF(OR(O79="", Q79="", R79=""),
        "Fill all the required columns",
        IFERROR(
            IF(OR(
                AND(R79="Marine Protected", VLOOKUP(O79, Reference!$A$2:$D$34, 4, FALSE) &lt;= P79),
                AND(R79="General Use", VLOOKUP(O79, Reference!$A$2:$D$34, 3, FALSE) &lt;= P79)
            ),
                "Exceeded",
                "OK"
            ),
            "No Regulation defined"
        )
    ),
    ""
)</f>
        <v/>
      </c>
      <c r="AB79" s="62" t="str">
        <f t="shared" si="1"/>
        <v/>
      </c>
    </row>
    <row r="80" spans="3:28" x14ac:dyDescent="0.2">
      <c r="C80" s="69"/>
      <c r="D80" s="70"/>
      <c r="R80" s="19"/>
      <c r="S80" s="34"/>
      <c r="T80" s="60" t="str">
        <f>IF(P80&lt;&gt;"",
    IF(OR(O80="", Q80="", R80=""),
        "Fill all the required columns",
        IFERROR(
            IF(OR(
                AND(R80="Marine Protected", VLOOKUP(O80, Reference!$A$2:$D$34, 4, FALSE) &lt;= P80),
                AND(R80="General Use", VLOOKUP(O80, Reference!$A$2:$D$34, 3, FALSE) &lt;= P80)
            ),
                "Exceeded",
                "OK"
            ),
            "No Regulation defined"
        )
    ),
    ""
)</f>
        <v/>
      </c>
      <c r="AB80" s="62" t="str">
        <f t="shared" si="1"/>
        <v/>
      </c>
    </row>
    <row r="81" spans="3:28" x14ac:dyDescent="0.2">
      <c r="C81" s="69"/>
      <c r="D81" s="70"/>
      <c r="R81" s="34"/>
      <c r="S81" s="34"/>
      <c r="T81" s="60" t="str">
        <f>IF(P81&lt;&gt;"",
    IF(OR(O81="", Q81="", R81=""),
        "Fill all the required columns",
        IFERROR(
            IF(OR(
                AND(R81="Marine Protected", VLOOKUP(O81, Reference!$A$2:$D$34, 4, FALSE) &lt;= P81),
                AND(R81="General Use", VLOOKUP(O81, Reference!$A$2:$D$34, 3, FALSE) &lt;= P81)
            ),
                "Exceeded",
                "OK"
            ),
            "No Regulation defined"
        )
    ),
    ""
)</f>
        <v/>
      </c>
      <c r="AB81" s="62" t="str">
        <f t="shared" si="1"/>
        <v/>
      </c>
    </row>
    <row r="82" spans="3:28" x14ac:dyDescent="0.2">
      <c r="C82" s="69"/>
      <c r="D82" s="70"/>
      <c r="R82" s="19"/>
      <c r="S82" s="34"/>
      <c r="T82" s="60" t="str">
        <f>IF(P82&lt;&gt;"",
    IF(OR(O82="", Q82="", R82=""),
        "Fill all the required columns",
        IFERROR(
            IF(OR(
                AND(R82="Marine Protected", VLOOKUP(O82, Reference!$A$2:$D$34, 4, FALSE) &lt;= P82),
                AND(R82="General Use", VLOOKUP(O82, Reference!$A$2:$D$34, 3, FALSE) &lt;= P82)
            ),
                "Exceeded",
                "OK"
            ),
            "No Regulation defined"
        )
    ),
    ""
)</f>
        <v/>
      </c>
      <c r="AB82" s="62" t="str">
        <f t="shared" si="1"/>
        <v/>
      </c>
    </row>
    <row r="83" spans="3:28" x14ac:dyDescent="0.2">
      <c r="C83" s="69"/>
      <c r="D83" s="70"/>
      <c r="R83" s="19"/>
      <c r="S83" s="34"/>
      <c r="T83" s="60" t="str">
        <f>IF(P83&lt;&gt;"",
    IF(OR(O83="", Q83="", R83=""),
        "Fill all the required columns",
        IFERROR(
            IF(OR(
                AND(R83="Marine Protected", VLOOKUP(O83, Reference!$A$2:$D$34, 4, FALSE) &lt;= P83),
                AND(R83="General Use", VLOOKUP(O83, Reference!$A$2:$D$34, 3, FALSE) &lt;= P83)
            ),
                "Exceeded",
                "OK"
            ),
            "No Regulation defined"
        )
    ),
    ""
)</f>
        <v/>
      </c>
      <c r="AB83" s="62" t="str">
        <f t="shared" si="1"/>
        <v/>
      </c>
    </row>
    <row r="84" spans="3:28" x14ac:dyDescent="0.2">
      <c r="C84" s="69"/>
      <c r="D84" s="70"/>
      <c r="R84" s="19"/>
      <c r="S84" s="34"/>
      <c r="T84" s="60" t="str">
        <f>IF(P84&lt;&gt;"",
    IF(OR(O84="", Q84="", R84=""),
        "Fill all the required columns",
        IFERROR(
            IF(OR(
                AND(R84="Marine Protected", VLOOKUP(O84, Reference!$A$2:$D$34, 4, FALSE) &lt;= P84),
                AND(R84="General Use", VLOOKUP(O84, Reference!$A$2:$D$34, 3, FALSE) &lt;= P84)
            ),
                "Exceeded",
                "OK"
            ),
            "No Regulation defined"
        )
    ),
    ""
)</f>
        <v/>
      </c>
      <c r="AB84" s="62" t="str">
        <f t="shared" si="1"/>
        <v/>
      </c>
    </row>
    <row r="85" spans="3:28" x14ac:dyDescent="0.2">
      <c r="C85" s="69"/>
      <c r="D85" s="70"/>
      <c r="R85" s="34"/>
      <c r="S85" s="34"/>
      <c r="T85" s="60" t="str">
        <f>IF(P85&lt;&gt;"",
    IF(OR(O85="", Q85="", R85=""),
        "Fill all the required columns",
        IFERROR(
            IF(OR(
                AND(R85="Marine Protected", VLOOKUP(O85, Reference!$A$2:$D$34, 4, FALSE) &lt;= P85),
                AND(R85="General Use", VLOOKUP(O85, Reference!$A$2:$D$34, 3, FALSE) &lt;= P85)
            ),
                "Exceeded",
                "OK"
            ),
            "No Regulation defined"
        )
    ),
    ""
)</f>
        <v/>
      </c>
      <c r="AB85" s="62" t="str">
        <f t="shared" si="1"/>
        <v/>
      </c>
    </row>
    <row r="86" spans="3:28" x14ac:dyDescent="0.2">
      <c r="C86" s="69"/>
      <c r="D86" s="70"/>
      <c r="R86" s="19"/>
      <c r="S86" s="34"/>
      <c r="T86" s="60" t="str">
        <f>IF(P86&lt;&gt;"",
    IF(OR(O86="", Q86="", R86=""),
        "Fill all the required columns",
        IFERROR(
            IF(OR(
                AND(R86="Marine Protected", VLOOKUP(O86, Reference!$A$2:$D$34, 4, FALSE) &lt;= P86),
                AND(R86="General Use", VLOOKUP(O86, Reference!$A$2:$D$34, 3, FALSE) &lt;= P86)
            ),
                "Exceeded",
                "OK"
            ),
            "No Regulation defined"
        )
    ),
    ""
)</f>
        <v/>
      </c>
      <c r="AB86" s="62" t="str">
        <f t="shared" si="1"/>
        <v/>
      </c>
    </row>
    <row r="87" spans="3:28" x14ac:dyDescent="0.2">
      <c r="C87" s="69"/>
      <c r="D87" s="70"/>
      <c r="R87" s="19"/>
      <c r="S87" s="34"/>
      <c r="T87" s="60" t="str">
        <f>IF(P87&lt;&gt;"",
    IF(OR(O87="", Q87="", R87=""),
        "Fill all the required columns",
        IFERROR(
            IF(OR(
                AND(R87="Marine Protected", VLOOKUP(O87, Reference!$A$2:$D$34, 4, FALSE) &lt;= P87),
                AND(R87="General Use", VLOOKUP(O87, Reference!$A$2:$D$34, 3, FALSE) &lt;= P87)
            ),
                "Exceeded",
                "OK"
            ),
            "No Regulation defined"
        )
    ),
    ""
)</f>
        <v/>
      </c>
      <c r="AB87" s="62" t="str">
        <f t="shared" si="1"/>
        <v/>
      </c>
    </row>
    <row r="88" spans="3:28" x14ac:dyDescent="0.2">
      <c r="C88" s="69"/>
      <c r="D88" s="70"/>
      <c r="R88" s="19"/>
      <c r="S88" s="34"/>
      <c r="T88" s="60" t="str">
        <f>IF(P88&lt;&gt;"",
    IF(OR(O88="", Q88="", R88=""),
        "Fill all the required columns",
        IFERROR(
            IF(OR(
                AND(R88="Marine Protected", VLOOKUP(O88, Reference!$A$2:$D$34, 4, FALSE) &lt;= P88),
                AND(R88="General Use", VLOOKUP(O88, Reference!$A$2:$D$34, 3, FALSE) &lt;= P88)
            ),
                "Exceeded",
                "OK"
            ),
            "No Regulation defined"
        )
    ),
    ""
)</f>
        <v/>
      </c>
      <c r="AB88" s="62" t="str">
        <f t="shared" si="1"/>
        <v/>
      </c>
    </row>
    <row r="89" spans="3:28" x14ac:dyDescent="0.2">
      <c r="C89" s="69"/>
      <c r="D89" s="70"/>
      <c r="R89" s="34"/>
      <c r="S89" s="34"/>
      <c r="T89" s="60" t="str">
        <f>IF(P89&lt;&gt;"",
    IF(OR(O89="", Q89="", R89=""),
        "Fill all the required columns",
        IFERROR(
            IF(OR(
                AND(R89="Marine Protected", VLOOKUP(O89, Reference!$A$2:$D$34, 4, FALSE) &lt;= P89),
                AND(R89="General Use", VLOOKUP(O89, Reference!$A$2:$D$34, 3, FALSE) &lt;= P89)
            ),
                "Exceeded",
                "OK"
            ),
            "No Regulation defined"
        )
    ),
    ""
)</f>
        <v/>
      </c>
      <c r="AB89" s="62" t="str">
        <f t="shared" si="1"/>
        <v/>
      </c>
    </row>
    <row r="90" spans="3:28" x14ac:dyDescent="0.2">
      <c r="C90" s="69"/>
      <c r="D90" s="70"/>
      <c r="R90" s="19"/>
      <c r="S90" s="34"/>
      <c r="T90" s="60" t="str">
        <f>IF(P90&lt;&gt;"",
    IF(OR(O90="", Q90="", R90=""),
        "Fill all the required columns",
        IFERROR(
            IF(OR(
                AND(R90="Marine Protected", VLOOKUP(O90, Reference!$A$2:$D$34, 4, FALSE) &lt;= P90),
                AND(R90="General Use", VLOOKUP(O90, Reference!$A$2:$D$34, 3, FALSE) &lt;= P90)
            ),
                "Exceeded",
                "OK"
            ),
            "No Regulation defined"
        )
    ),
    ""
)</f>
        <v/>
      </c>
      <c r="AB90" s="62" t="str">
        <f t="shared" si="1"/>
        <v/>
      </c>
    </row>
    <row r="91" spans="3:28" x14ac:dyDescent="0.2">
      <c r="C91" s="69"/>
      <c r="D91" s="70"/>
      <c r="R91" s="19"/>
      <c r="S91" s="34"/>
      <c r="T91" s="60" t="str">
        <f>IF(P91&lt;&gt;"",
    IF(OR(O91="", Q91="", R91=""),
        "Fill all the required columns",
        IFERROR(
            IF(OR(
                AND(R91="Marine Protected", VLOOKUP(O91, Reference!$A$2:$D$34, 4, FALSE) &lt;= P91),
                AND(R91="General Use", VLOOKUP(O91, Reference!$A$2:$D$34, 3, FALSE) &lt;= P91)
            ),
                "Exceeded",
                "OK"
            ),
            "No Regulation defined"
        )
    ),
    ""
)</f>
        <v/>
      </c>
      <c r="AB91" s="62" t="str">
        <f t="shared" si="1"/>
        <v/>
      </c>
    </row>
    <row r="92" spans="3:28" x14ac:dyDescent="0.2">
      <c r="C92" s="69"/>
      <c r="D92" s="70"/>
      <c r="S92" s="34"/>
      <c r="T92" s="60" t="str">
        <f>IF(P92&lt;&gt;"",
    IF(OR(O92="", Q92="", R92=""),
        "Fill all the required columns",
        IFERROR(
            IF(OR(
                AND(R92="Marine Protected", VLOOKUP(O92, Reference!$A$2:$D$34, 4, FALSE) &lt;= P92),
                AND(R92="General Use", VLOOKUP(O92, Reference!$A$2:$D$34, 3, FALSE) &lt;= P92)
            ),
                "Exceeded",
                "OK"
            ),
            "No Regulation defined"
        )
    ),
    ""
)</f>
        <v/>
      </c>
      <c r="AB92" s="62" t="str">
        <f t="shared" si="1"/>
        <v/>
      </c>
    </row>
    <row r="93" spans="3:28" x14ac:dyDescent="0.2">
      <c r="C93" s="69"/>
      <c r="D93" s="70"/>
      <c r="S93" s="34"/>
      <c r="T93" s="60" t="str">
        <f>IF(P93&lt;&gt;"",
    IF(OR(O93="", Q93="", R93=""),
        "Fill all the required columns",
        IFERROR(
            IF(OR(
                AND(R93="Marine Protected", VLOOKUP(O93, Reference!$A$2:$D$34, 4, FALSE) &lt;= P93),
                AND(R93="General Use", VLOOKUP(O93, Reference!$A$2:$D$34, 3, FALSE) &lt;= P93)
            ),
                "Exceeded",
                "OK"
            ),
            "No Regulation defined"
        )
    ),
    ""
)</f>
        <v/>
      </c>
      <c r="AB93" s="62" t="str">
        <f t="shared" si="1"/>
        <v/>
      </c>
    </row>
    <row r="94" spans="3:28" x14ac:dyDescent="0.2">
      <c r="C94" s="69"/>
      <c r="D94" s="70"/>
      <c r="S94" s="34"/>
      <c r="T94" s="60" t="str">
        <f>IF(P94&lt;&gt;"",
    IF(OR(O94="", Q94="", R94=""),
        "Fill all the required columns",
        IFERROR(
            IF(OR(
                AND(R94="Marine Protected", VLOOKUP(O94, Reference!$A$2:$D$34, 4, FALSE) &lt;= P94),
                AND(R94="General Use", VLOOKUP(O94, Reference!$A$2:$D$34, 3, FALSE) &lt;= P94)
            ),
                "Exceeded",
                "OK"
            ),
            "No Regulation defined"
        )
    ),
    ""
)</f>
        <v/>
      </c>
      <c r="AB94" s="62" t="str">
        <f t="shared" si="1"/>
        <v/>
      </c>
    </row>
    <row r="95" spans="3:28" x14ac:dyDescent="0.2">
      <c r="C95" s="69"/>
      <c r="D95" s="70"/>
      <c r="S95" s="34"/>
      <c r="T95" s="60" t="str">
        <f>IF(P95&lt;&gt;"",
    IF(OR(O95="", Q95="", R95=""),
        "Fill all the required columns",
        IFERROR(
            IF(OR(
                AND(R95="Marine Protected", VLOOKUP(O95, Reference!$A$2:$D$34, 4, FALSE) &lt;= P95),
                AND(R95="General Use", VLOOKUP(O95, Reference!$A$2:$D$34, 3, FALSE) &lt;= P95)
            ),
                "Exceeded",
                "OK"
            ),
            "No Regulation defined"
        )
    ),
    ""
)</f>
        <v/>
      </c>
      <c r="AB95" s="62" t="str">
        <f t="shared" si="1"/>
        <v/>
      </c>
    </row>
    <row r="96" spans="3:28" x14ac:dyDescent="0.2">
      <c r="C96" s="69"/>
      <c r="D96" s="70"/>
      <c r="S96" s="34"/>
      <c r="T96" s="60" t="str">
        <f>IF(P96&lt;&gt;"",
    IF(OR(O96="", Q96="", R96=""),
        "Fill all the required columns",
        IFERROR(
            IF(OR(
                AND(R96="Marine Protected", VLOOKUP(O96, Reference!$A$2:$D$34, 4, FALSE) &lt;= P96),
                AND(R96="General Use", VLOOKUP(O96, Reference!$A$2:$D$34, 3, FALSE) &lt;= P96)
            ),
                "Exceeded",
                "OK"
            ),
            "No Regulation defined"
        )
    ),
    ""
)</f>
        <v/>
      </c>
      <c r="AB96" s="62" t="str">
        <f t="shared" si="1"/>
        <v/>
      </c>
    </row>
    <row r="97" spans="3:28" x14ac:dyDescent="0.2">
      <c r="C97" s="69"/>
      <c r="D97" s="70"/>
      <c r="S97" s="34"/>
      <c r="T97" s="60" t="str">
        <f>IF(P97&lt;&gt;"",
    IF(OR(O97="", Q97="", R97=""),
        "Fill all the required columns",
        IFERROR(
            IF(OR(
                AND(R97="Marine Protected", VLOOKUP(O97, Reference!$A$2:$D$34, 4, FALSE) &lt;= P97),
                AND(R97="General Use", VLOOKUP(O97, Reference!$A$2:$D$34, 3, FALSE) &lt;= P97)
            ),
                "Exceeded",
                "OK"
            ),
            "No Regulation defined"
        )
    ),
    ""
)</f>
        <v/>
      </c>
      <c r="AB97" s="62" t="str">
        <f t="shared" si="1"/>
        <v/>
      </c>
    </row>
    <row r="98" spans="3:28" x14ac:dyDescent="0.2">
      <c r="C98" s="69"/>
      <c r="D98" s="70"/>
      <c r="S98" s="34"/>
      <c r="T98" s="60" t="str">
        <f>IF(P98&lt;&gt;"",
    IF(OR(O98="", Q98="", R98=""),
        "Fill all the required columns",
        IFERROR(
            IF(OR(
                AND(R98="Marine Protected", VLOOKUP(O98, Reference!$A$2:$D$34, 4, FALSE) &lt;= P98),
                AND(R98="General Use", VLOOKUP(O98, Reference!$A$2:$D$34, 3, FALSE) &lt;= P98)
            ),
                "Exceeded",
                "OK"
            ),
            "No Regulation defined"
        )
    ),
    ""
)</f>
        <v/>
      </c>
      <c r="AB98" s="62" t="str">
        <f t="shared" si="1"/>
        <v/>
      </c>
    </row>
    <row r="99" spans="3:28" x14ac:dyDescent="0.2">
      <c r="C99" s="69"/>
      <c r="D99" s="70"/>
      <c r="S99" s="34"/>
      <c r="T99" s="60" t="str">
        <f>IF(P99&lt;&gt;"",
    IF(OR(O99="", Q99="", R99=""),
        "Fill all the required columns",
        IFERROR(
            IF(OR(
                AND(R99="Marine Protected", VLOOKUP(O99, Reference!$A$2:$D$34, 4, FALSE) &lt;= P99),
                AND(R99="General Use", VLOOKUP(O99, Reference!$A$2:$D$34, 3, FALSE) &lt;= P99)
            ),
                "Exceeded",
                "OK"
            ),
            "No Regulation defined"
        )
    ),
    ""
)</f>
        <v/>
      </c>
      <c r="AB99" s="62" t="str">
        <f t="shared" si="1"/>
        <v/>
      </c>
    </row>
    <row r="100" spans="3:28" x14ac:dyDescent="0.2">
      <c r="C100" s="69"/>
      <c r="D100" s="70"/>
      <c r="S100" s="34"/>
      <c r="T100" s="60" t="str">
        <f>IF(P100&lt;&gt;"",
    IF(OR(O100="", Q100="", R100=""),
        "Fill all the required columns",
        IFERROR(
            IF(OR(
                AND(R100="Marine Protected", VLOOKUP(O100, Reference!$A$2:$D$34, 4, FALSE) &lt;= P100),
                AND(R100="General Use", VLOOKUP(O100, Reference!$A$2:$D$34, 3, FALSE) &lt;= P100)
            ),
                "Exceeded",
                "OK"
            ),
            "No Regulation defined"
        )
    ),
    ""
)</f>
        <v/>
      </c>
      <c r="AB100" s="62" t="str">
        <f t="shared" si="1"/>
        <v/>
      </c>
    </row>
    <row r="101" spans="3:28" x14ac:dyDescent="0.2">
      <c r="C101" s="69"/>
      <c r="D101" s="70"/>
      <c r="S101" s="34"/>
      <c r="T101" s="60" t="str">
        <f>IF(P101&lt;&gt;"",
    IF(OR(O101="", Q101="", R101=""),
        "Fill all the required columns",
        IFERROR(
            IF(OR(
                AND(R101="Marine Protected", VLOOKUP(O101, Reference!$A$2:$D$34, 4, FALSE) &lt;= P101),
                AND(R101="General Use", VLOOKUP(O101, Reference!$A$2:$D$34, 3, FALSE) &lt;= P101)
            ),
                "Exceeded",
                "OK"
            ),
            "No Regulation defined"
        )
    ),
    ""
)</f>
        <v/>
      </c>
      <c r="AB101" s="62" t="str">
        <f t="shared" si="1"/>
        <v/>
      </c>
    </row>
    <row r="102" spans="3:28" x14ac:dyDescent="0.2">
      <c r="C102" s="69"/>
      <c r="D102" s="70"/>
      <c r="S102" s="34"/>
      <c r="T102" s="60" t="str">
        <f>IF(P102&lt;&gt;"",
    IF(OR(O102="", Q102="", R102=""),
        "Fill all the required columns",
        IFERROR(
            IF(OR(
                AND(R102="Marine Protected", VLOOKUP(O102, Reference!$A$2:$D$34, 4, FALSE) &lt;= P102),
                AND(R102="General Use", VLOOKUP(O102, Reference!$A$2:$D$34, 3, FALSE) &lt;= P102)
            ),
                "Exceeded",
                "OK"
            ),
            "No Regulation defined"
        )
    ),
    ""
)</f>
        <v/>
      </c>
      <c r="AB102" s="62" t="str">
        <f t="shared" si="1"/>
        <v/>
      </c>
    </row>
    <row r="103" spans="3:28" x14ac:dyDescent="0.2">
      <c r="C103" s="69"/>
      <c r="D103" s="70"/>
      <c r="S103" s="34"/>
      <c r="T103" s="60" t="str">
        <f>IF(P103&lt;&gt;"",
    IF(OR(O103="", Q103="", R103=""),
        "Fill all the required columns",
        IFERROR(
            IF(OR(
                AND(R103="Marine Protected", VLOOKUP(O103, Reference!$A$2:$D$34, 4, FALSE) &lt;= P103),
                AND(R103="General Use", VLOOKUP(O103, Reference!$A$2:$D$34, 3, FALSE) &lt;= P103)
            ),
                "Exceeded",
                "OK"
            ),
            "No Regulation defined"
        )
    ),
    ""
)</f>
        <v/>
      </c>
      <c r="AB103" s="62" t="str">
        <f t="shared" si="1"/>
        <v/>
      </c>
    </row>
    <row r="104" spans="3:28" x14ac:dyDescent="0.2">
      <c r="C104" s="69"/>
      <c r="D104" s="70"/>
      <c r="S104" s="34"/>
      <c r="T104" s="60" t="str">
        <f>IF(P104&lt;&gt;"",
    IF(OR(O104="", Q104="", R104=""),
        "Fill all the required columns",
        IFERROR(
            IF(OR(
                AND(R104="Marine Protected", VLOOKUP(O104, Reference!$A$2:$D$34, 4, FALSE) &lt;= P104),
                AND(R104="General Use", VLOOKUP(O104, Reference!$A$2:$D$34, 3, FALSE) &lt;= P104)
            ),
                "Exceeded",
                "OK"
            ),
            "No Regulation defined"
        )
    ),
    ""
)</f>
        <v/>
      </c>
      <c r="AB104" s="62" t="str">
        <f t="shared" si="1"/>
        <v/>
      </c>
    </row>
    <row r="105" spans="3:28" x14ac:dyDescent="0.2">
      <c r="C105" s="69"/>
      <c r="D105" s="70"/>
      <c r="S105" s="34"/>
      <c r="T105" s="60" t="str">
        <f>IF(P105&lt;&gt;"",
    IF(OR(O105="", Q105="", R105=""),
        "Fill all the required columns",
        IFERROR(
            IF(OR(
                AND(R105="Marine Protected", VLOOKUP(O105, Reference!$A$2:$D$34, 4, FALSE) &lt;= P105),
                AND(R105="General Use", VLOOKUP(O105, Reference!$A$2:$D$34, 3, FALSE) &lt;= P105)
            ),
                "Exceeded",
                "OK"
            ),
            "No Regulation defined"
        )
    ),
    ""
)</f>
        <v/>
      </c>
      <c r="AB105" s="62" t="str">
        <f t="shared" si="1"/>
        <v/>
      </c>
    </row>
    <row r="106" spans="3:28" x14ac:dyDescent="0.2">
      <c r="C106" s="69"/>
      <c r="D106" s="70"/>
      <c r="S106" s="34"/>
      <c r="T106" s="60" t="str">
        <f>IF(P106&lt;&gt;"",
    IF(OR(O106="", Q106="", R106=""),
        "Fill all the required columns",
        IFERROR(
            IF(OR(
                AND(R106="Marine Protected", VLOOKUP(O106, Reference!$A$2:$D$34, 4, FALSE) &lt;= P106),
                AND(R106="General Use", VLOOKUP(O106, Reference!$A$2:$D$34, 3, FALSE) &lt;= P106)
            ),
                "Exceeded",
                "OK"
            ),
            "No Regulation defined"
        )
    ),
    ""
)</f>
        <v/>
      </c>
      <c r="AB106" s="62" t="str">
        <f t="shared" si="1"/>
        <v/>
      </c>
    </row>
    <row r="107" spans="3:28" x14ac:dyDescent="0.2">
      <c r="C107" s="69"/>
      <c r="D107" s="70"/>
      <c r="S107" s="34"/>
      <c r="T107" s="60" t="str">
        <f>IF(P107&lt;&gt;"",
    IF(OR(O107="", Q107="", R107=""),
        "Fill all the required columns",
        IFERROR(
            IF(OR(
                AND(R107="Marine Protected", VLOOKUP(O107, Reference!$A$2:$D$34, 4, FALSE) &lt;= P107),
                AND(R107="General Use", VLOOKUP(O107, Reference!$A$2:$D$34, 3, FALSE) &lt;= P107)
            ),
                "Exceeded",
                "OK"
            ),
            "No Regulation defined"
        )
    ),
    ""
)</f>
        <v/>
      </c>
      <c r="AB107" s="62" t="str">
        <f t="shared" si="1"/>
        <v/>
      </c>
    </row>
    <row r="108" spans="3:28" x14ac:dyDescent="0.2">
      <c r="C108" s="69"/>
      <c r="D108" s="70"/>
      <c r="S108" s="34"/>
      <c r="T108" s="60" t="str">
        <f>IF(P108&lt;&gt;"",
    IF(OR(O108="", Q108="", R108=""),
        "Fill all the required columns",
        IFERROR(
            IF(OR(
                AND(R108="Marine Protected", VLOOKUP(O108, Reference!$A$2:$D$34, 4, FALSE) &lt;= P108),
                AND(R108="General Use", VLOOKUP(O108, Reference!$A$2:$D$34, 3, FALSE) &lt;= P108)
            ),
                "Exceeded",
                "OK"
            ),
            "No Regulation defined"
        )
    ),
    ""
)</f>
        <v/>
      </c>
      <c r="AB108" s="62" t="str">
        <f t="shared" si="1"/>
        <v/>
      </c>
    </row>
    <row r="109" spans="3:28" x14ac:dyDescent="0.2">
      <c r="C109" s="69"/>
      <c r="D109" s="70"/>
      <c r="S109" s="34"/>
      <c r="T109" s="60" t="str">
        <f>IF(P109&lt;&gt;"",
    IF(OR(O109="", Q109="", R109=""),
        "Fill all the required columns",
        IFERROR(
            IF(OR(
                AND(R109="Marine Protected", VLOOKUP(O109, Reference!$A$2:$D$34, 4, FALSE) &lt;= P109),
                AND(R109="General Use", VLOOKUP(O109, Reference!$A$2:$D$34, 3, FALSE) &lt;= P109)
            ),
                "Exceeded",
                "OK"
            ),
            "No Regulation defined"
        )
    ),
    ""
)</f>
        <v/>
      </c>
      <c r="AB109" s="62" t="str">
        <f t="shared" si="1"/>
        <v/>
      </c>
    </row>
    <row r="110" spans="3:28" x14ac:dyDescent="0.2">
      <c r="C110" s="69"/>
      <c r="D110" s="70"/>
      <c r="S110" s="34"/>
      <c r="T110" s="60" t="str">
        <f>IF(P110&lt;&gt;"",
    IF(OR(O110="", Q110="", R110=""),
        "Fill all the required columns",
        IFERROR(
            IF(OR(
                AND(R110="Marine Protected", VLOOKUP(O110, Reference!$A$2:$D$34, 4, FALSE) &lt;= P110),
                AND(R110="General Use", VLOOKUP(O110, Reference!$A$2:$D$34, 3, FALSE) &lt;= P110)
            ),
                "Exceeded",
                "OK"
            ),
            "No Regulation defined"
        )
    ),
    ""
)</f>
        <v/>
      </c>
      <c r="AB110" s="62" t="str">
        <f t="shared" si="1"/>
        <v/>
      </c>
    </row>
    <row r="111" spans="3:28" x14ac:dyDescent="0.2">
      <c r="C111" s="69"/>
      <c r="D111" s="70"/>
      <c r="S111" s="34"/>
      <c r="T111" s="60" t="str">
        <f>IF(P111&lt;&gt;"",
    IF(OR(O111="", Q111="", R111=""),
        "Fill all the required columns",
        IFERROR(
            IF(OR(
                AND(R111="Marine Protected", VLOOKUP(O111, Reference!$A$2:$D$34, 4, FALSE) &lt;= P111),
                AND(R111="General Use", VLOOKUP(O111, Reference!$A$2:$D$34, 3, FALSE) &lt;= P111)
            ),
                "Exceeded",
                "OK"
            ),
            "No Regulation defined"
        )
    ),
    ""
)</f>
        <v/>
      </c>
      <c r="AB111" s="62" t="str">
        <f t="shared" si="1"/>
        <v/>
      </c>
    </row>
    <row r="112" spans="3:28" x14ac:dyDescent="0.2">
      <c r="C112" s="69"/>
      <c r="D112" s="70"/>
      <c r="S112" s="34"/>
      <c r="T112" s="60" t="str">
        <f>IF(P112&lt;&gt;"",
    IF(OR(O112="", Q112="", R112=""),
        "Fill all the required columns",
        IFERROR(
            IF(OR(
                AND(R112="Marine Protected", VLOOKUP(O112, Reference!$A$2:$D$34, 4, FALSE) &lt;= P112),
                AND(R112="General Use", VLOOKUP(O112, Reference!$A$2:$D$34, 3, FALSE) &lt;= P112)
            ),
                "Exceeded",
                "OK"
            ),
            "No Regulation defined"
        )
    ),
    ""
)</f>
        <v/>
      </c>
      <c r="AB112" s="62" t="str">
        <f t="shared" si="1"/>
        <v/>
      </c>
    </row>
    <row r="113" spans="3:28" x14ac:dyDescent="0.2">
      <c r="C113" s="69"/>
      <c r="D113" s="70"/>
      <c r="S113" s="34"/>
      <c r="T113" s="60" t="str">
        <f>IF(P113&lt;&gt;"",
    IF(OR(O113="", Q113="", R113=""),
        "Fill all the required columns",
        IFERROR(
            IF(OR(
                AND(R113="Marine Protected", VLOOKUP(O113, Reference!$A$2:$D$34, 4, FALSE) &lt;= P113),
                AND(R113="General Use", VLOOKUP(O113, Reference!$A$2:$D$34, 3, FALSE) &lt;= P113)
            ),
                "Exceeded",
                "OK"
            ),
            "No Regulation defined"
        )
    ),
    ""
)</f>
        <v/>
      </c>
      <c r="AB113" s="62" t="str">
        <f t="shared" si="1"/>
        <v/>
      </c>
    </row>
    <row r="114" spans="3:28" x14ac:dyDescent="0.2">
      <c r="C114" s="69"/>
      <c r="D114" s="70"/>
      <c r="S114" s="34"/>
      <c r="T114" s="60" t="str">
        <f>IF(P114&lt;&gt;"",
    IF(OR(O114="", Q114="", R114=""),
        "Fill all the required columns",
        IFERROR(
            IF(OR(
                AND(R114="Marine Protected", VLOOKUP(O114, Reference!$A$2:$D$34, 4, FALSE) &lt;= P114),
                AND(R114="General Use", VLOOKUP(O114, Reference!$A$2:$D$34, 3, FALSE) &lt;= P114)
            ),
                "Exceeded",
                "OK"
            ),
            "No Regulation defined"
        )
    ),
    ""
)</f>
        <v/>
      </c>
      <c r="AB114" s="62" t="str">
        <f t="shared" si="1"/>
        <v/>
      </c>
    </row>
    <row r="115" spans="3:28" x14ac:dyDescent="0.2">
      <c r="C115" s="69"/>
      <c r="D115" s="70"/>
      <c r="S115" s="34"/>
      <c r="T115" s="60" t="str">
        <f>IF(P115&lt;&gt;"",
    IF(OR(O115="", Q115="", R115=""),
        "Fill all the required columns",
        IFERROR(
            IF(OR(
                AND(R115="Marine Protected", VLOOKUP(O115, Reference!$A$2:$D$34, 4, FALSE) &lt;= P115),
                AND(R115="General Use", VLOOKUP(O115, Reference!$A$2:$D$34, 3, FALSE) &lt;= P115)
            ),
                "Exceeded",
                "OK"
            ),
            "No Regulation defined"
        )
    ),
    ""
)</f>
        <v/>
      </c>
      <c r="AB115" s="62" t="str">
        <f t="shared" si="1"/>
        <v/>
      </c>
    </row>
    <row r="116" spans="3:28" x14ac:dyDescent="0.2">
      <c r="C116" s="69"/>
      <c r="D116" s="70"/>
      <c r="S116" s="34"/>
      <c r="T116" s="60" t="str">
        <f>IF(P116&lt;&gt;"",
    IF(OR(O116="", Q116="", R116=""),
        "Fill all the required columns",
        IFERROR(
            IF(OR(
                AND(R116="Marine Protected", VLOOKUP(O116, Reference!$A$2:$D$34, 4, FALSE) &lt;= P116),
                AND(R116="General Use", VLOOKUP(O116, Reference!$A$2:$D$34, 3, FALSE) &lt;= P116)
            ),
                "Exceeded",
                "OK"
            ),
            "No Regulation defined"
        )
    ),
    ""
)</f>
        <v/>
      </c>
      <c r="AB116" s="62" t="str">
        <f t="shared" si="1"/>
        <v/>
      </c>
    </row>
    <row r="117" spans="3:28" x14ac:dyDescent="0.2">
      <c r="C117" s="69"/>
      <c r="D117" s="70"/>
      <c r="S117" s="34"/>
      <c r="T117" s="60" t="str">
        <f>IF(P117&lt;&gt;"",
    IF(OR(O117="", Q117="", R117=""),
        "Fill all the required columns",
        IFERROR(
            IF(OR(
                AND(R117="Marine Protected", VLOOKUP(O117, Reference!$A$2:$D$34, 4, FALSE) &lt;= P117),
                AND(R117="General Use", VLOOKUP(O117, Reference!$A$2:$D$34, 3, FALSE) &lt;= P117)
            ),
                "Exceeded",
                "OK"
            ),
            "No Regulation defined"
        )
    ),
    ""
)</f>
        <v/>
      </c>
      <c r="AB117" s="62" t="str">
        <f t="shared" si="1"/>
        <v/>
      </c>
    </row>
    <row r="118" spans="3:28" x14ac:dyDescent="0.2">
      <c r="C118" s="69"/>
      <c r="D118" s="70"/>
      <c r="S118" s="34"/>
      <c r="T118" s="60" t="str">
        <f>IF(P118&lt;&gt;"",
    IF(OR(O118="", Q118="", R118=""),
        "Fill all the required columns",
        IFERROR(
            IF(OR(
                AND(R118="Marine Protected", VLOOKUP(O118, Reference!$A$2:$D$34, 4, FALSE) &lt;= P118),
                AND(R118="General Use", VLOOKUP(O118, Reference!$A$2:$D$34, 3, FALSE) &lt;= P118)
            ),
                "Exceeded",
                "OK"
            ),
            "No Regulation defined"
        )
    ),
    ""
)</f>
        <v/>
      </c>
      <c r="AB118" s="62" t="str">
        <f t="shared" si="1"/>
        <v/>
      </c>
    </row>
    <row r="119" spans="3:28" x14ac:dyDescent="0.2">
      <c r="C119" s="69"/>
      <c r="D119" s="70"/>
      <c r="S119" s="34"/>
      <c r="T119" s="60" t="str">
        <f>IF(P119&lt;&gt;"",
    IF(OR(O119="", Q119="", R119=""),
        "Fill all the required columns",
        IFERROR(
            IF(OR(
                AND(R119="Marine Protected", VLOOKUP(O119, Reference!$A$2:$D$34, 4, FALSE) &lt;= P119),
                AND(R119="General Use", VLOOKUP(O119, Reference!$A$2:$D$34, 3, FALSE) &lt;= P119)
            ),
                "Exceeded",
                "OK"
            ),
            "No Regulation defined"
        )
    ),
    ""
)</f>
        <v/>
      </c>
      <c r="AB119" s="62" t="str">
        <f t="shared" si="1"/>
        <v/>
      </c>
    </row>
    <row r="120" spans="3:28" x14ac:dyDescent="0.2">
      <c r="C120" s="69"/>
      <c r="D120" s="70"/>
      <c r="S120" s="34"/>
      <c r="T120" s="60" t="str">
        <f>IF(P120&lt;&gt;"",
    IF(OR(O120="", Q120="", R120=""),
        "Fill all the required columns",
        IFERROR(
            IF(OR(
                AND(R120="Marine Protected", VLOOKUP(O120, Reference!$A$2:$D$34, 4, FALSE) &lt;= P120),
                AND(R120="General Use", VLOOKUP(O120, Reference!$A$2:$D$34, 3, FALSE) &lt;= P120)
            ),
                "Exceeded",
                "OK"
            ),
            "No Regulation defined"
        )
    ),
    ""
)</f>
        <v/>
      </c>
      <c r="AB120" s="62" t="str">
        <f t="shared" si="1"/>
        <v/>
      </c>
    </row>
    <row r="121" spans="3:28" x14ac:dyDescent="0.2">
      <c r="C121" s="69"/>
      <c r="D121" s="70"/>
      <c r="S121" s="34"/>
      <c r="T121" s="60" t="str">
        <f>IF(P121&lt;&gt;"",
    IF(OR(O121="", Q121="", R121=""),
        "Fill all the required columns",
        IFERROR(
            IF(OR(
                AND(R121="Marine Protected", VLOOKUP(O121, Reference!$A$2:$D$34, 4, FALSE) &lt;= P121),
                AND(R121="General Use", VLOOKUP(O121, Reference!$A$2:$D$34, 3, FALSE) &lt;= P121)
            ),
                "Exceeded",
                "OK"
            ),
            "No Regulation defined"
        )
    ),
    ""
)</f>
        <v/>
      </c>
      <c r="AB121" s="62" t="str">
        <f t="shared" si="1"/>
        <v/>
      </c>
    </row>
    <row r="122" spans="3:28" x14ac:dyDescent="0.2">
      <c r="C122" s="69"/>
      <c r="D122" s="70"/>
      <c r="S122" s="34"/>
      <c r="T122" s="60" t="str">
        <f>IF(P122&lt;&gt;"",
    IF(OR(O122="", Q122="", R122=""),
        "Fill all the required columns",
        IFERROR(
            IF(OR(
                AND(R122="Marine Protected", VLOOKUP(O122, Reference!$A$2:$D$34, 4, FALSE) &lt;= P122),
                AND(R122="General Use", VLOOKUP(O122, Reference!$A$2:$D$34, 3, FALSE) &lt;= P122)
            ),
                "Exceeded",
                "OK"
            ),
            "No Regulation defined"
        )
    ),
    ""
)</f>
        <v/>
      </c>
      <c r="AB122" s="62" t="str">
        <f t="shared" si="1"/>
        <v/>
      </c>
    </row>
    <row r="123" spans="3:28" x14ac:dyDescent="0.2">
      <c r="C123" s="69"/>
      <c r="D123" s="70"/>
      <c r="S123" s="34"/>
      <c r="T123" s="60" t="str">
        <f>IF(P123&lt;&gt;"",
    IF(OR(O123="", Q123="", R123=""),
        "Fill all the required columns",
        IFERROR(
            IF(OR(
                AND(R123="Marine Protected", VLOOKUP(O123, Reference!$A$2:$D$34, 4, FALSE) &lt;= P123),
                AND(R123="General Use", VLOOKUP(O123, Reference!$A$2:$D$34, 3, FALSE) &lt;= P123)
            ),
                "Exceeded",
                "OK"
            ),
            "No Regulation defined"
        )
    ),
    ""
)</f>
        <v/>
      </c>
      <c r="AB123" s="62" t="str">
        <f t="shared" si="1"/>
        <v/>
      </c>
    </row>
    <row r="124" spans="3:28" x14ac:dyDescent="0.2">
      <c r="C124" s="69"/>
      <c r="D124" s="70"/>
      <c r="S124" s="34"/>
      <c r="T124" s="60" t="str">
        <f>IF(P124&lt;&gt;"",
    IF(OR(O124="", Q124="", R124=""),
        "Fill all the required columns",
        IFERROR(
            IF(OR(
                AND(R124="Marine Protected", VLOOKUP(O124, Reference!$A$2:$D$34, 4, FALSE) &lt;= P124),
                AND(R124="General Use", VLOOKUP(O124, Reference!$A$2:$D$34, 3, FALSE) &lt;= P124)
            ),
                "Exceeded",
                "OK"
            ),
            "No Regulation defined"
        )
    ),
    ""
)</f>
        <v/>
      </c>
      <c r="AB124" s="62" t="str">
        <f t="shared" si="1"/>
        <v/>
      </c>
    </row>
    <row r="125" spans="3:28" x14ac:dyDescent="0.2">
      <c r="C125" s="69"/>
      <c r="D125" s="70"/>
      <c r="S125" s="34"/>
      <c r="T125" s="60" t="str">
        <f>IF(P125&lt;&gt;"",
    IF(OR(O125="", Q125="", R125=""),
        "Fill all the required columns",
        IFERROR(
            IF(OR(
                AND(R125="Marine Protected", VLOOKUP(O125, Reference!$A$2:$D$34, 4, FALSE) &lt;= P125),
                AND(R125="General Use", VLOOKUP(O125, Reference!$A$2:$D$34, 3, FALSE) &lt;= P125)
            ),
                "Exceeded",
                "OK"
            ),
            "No Regulation defined"
        )
    ),
    ""
)</f>
        <v/>
      </c>
      <c r="AB125" s="62" t="str">
        <f t="shared" si="1"/>
        <v/>
      </c>
    </row>
    <row r="126" spans="3:28" x14ac:dyDescent="0.2">
      <c r="C126" s="69"/>
      <c r="D126" s="70"/>
      <c r="S126" s="34"/>
      <c r="T126" s="60" t="str">
        <f>IF(P126&lt;&gt;"",
    IF(OR(O126="", Q126="", R126=""),
        "Fill all the required columns",
        IFERROR(
            IF(OR(
                AND(R126="Marine Protected", VLOOKUP(O126, Reference!$A$2:$D$34, 4, FALSE) &lt;= P126),
                AND(R126="General Use", VLOOKUP(O126, Reference!$A$2:$D$34, 3, FALSE) &lt;= P126)
            ),
                "Exceeded",
                "OK"
            ),
            "No Regulation defined"
        )
    ),
    ""
)</f>
        <v/>
      </c>
      <c r="AB126" s="62" t="str">
        <f t="shared" si="1"/>
        <v/>
      </c>
    </row>
    <row r="127" spans="3:28" x14ac:dyDescent="0.2">
      <c r="C127" s="69"/>
      <c r="D127" s="70"/>
      <c r="S127" s="34"/>
      <c r="T127" s="60" t="str">
        <f>IF(P127&lt;&gt;"",
    IF(OR(O127="", Q127="", R127=""),
        "Fill all the required columns",
        IFERROR(
            IF(OR(
                AND(R127="Marine Protected", VLOOKUP(O127, Reference!$A$2:$D$34, 4, FALSE) &lt;= P127),
                AND(R127="General Use", VLOOKUP(O127, Reference!$A$2:$D$34, 3, FALSE) &lt;= P127)
            ),
                "Exceeded",
                "OK"
            ),
            "No Regulation defined"
        )
    ),
    ""
)</f>
        <v/>
      </c>
      <c r="AB127" s="62" t="str">
        <f t="shared" si="1"/>
        <v/>
      </c>
    </row>
    <row r="128" spans="3:28" x14ac:dyDescent="0.2">
      <c r="C128" s="69"/>
      <c r="D128" s="70"/>
      <c r="S128" s="34"/>
      <c r="T128" s="60" t="str">
        <f>IF(P128&lt;&gt;"",
    IF(OR(O128="", Q128="", R128=""),
        "Fill all the required columns",
        IFERROR(
            IF(OR(
                AND(R128="Marine Protected", VLOOKUP(O128, Reference!$A$2:$D$34, 4, FALSE) &lt;= P128),
                AND(R128="General Use", VLOOKUP(O128, Reference!$A$2:$D$34, 3, FALSE) &lt;= P128)
            ),
                "Exceeded",
                "OK"
            ),
            "No Regulation defined"
        )
    ),
    ""
)</f>
        <v/>
      </c>
      <c r="AB128" s="62" t="str">
        <f t="shared" si="1"/>
        <v/>
      </c>
    </row>
    <row r="129" spans="3:28" x14ac:dyDescent="0.2">
      <c r="C129" s="69"/>
      <c r="D129" s="70"/>
      <c r="S129" s="34"/>
      <c r="T129" s="60" t="str">
        <f>IF(P129&lt;&gt;"",
    IF(OR(O129="", Q129="", R129=""),
        "Fill all the required columns",
        IFERROR(
            IF(OR(
                AND(R129="Marine Protected", VLOOKUP(O129, Reference!$A$2:$D$34, 4, FALSE) &lt;= P129),
                AND(R129="General Use", VLOOKUP(O129, Reference!$A$2:$D$34, 3, FALSE) &lt;= P129)
            ),
                "Exceeded",
                "OK"
            ),
            "No Regulation defined"
        )
    ),
    ""
)</f>
        <v/>
      </c>
      <c r="AB129" s="62" t="str">
        <f t="shared" si="1"/>
        <v/>
      </c>
    </row>
    <row r="130" spans="3:28" x14ac:dyDescent="0.2">
      <c r="C130" s="69"/>
      <c r="D130" s="70"/>
      <c r="S130" s="34"/>
      <c r="T130" s="60" t="str">
        <f>IF(P130&lt;&gt;"",
    IF(OR(O130="", Q130="", R130=""),
        "Fill all the required columns",
        IFERROR(
            IF(OR(
                AND(R130="Marine Protected", VLOOKUP(O130, Reference!$A$2:$D$34, 4, FALSE) &lt;= P130),
                AND(R130="General Use", VLOOKUP(O130, Reference!$A$2:$D$34, 3, FALSE) &lt;= P130)
            ),
                "Exceeded",
                "OK"
            ),
            "No Regulation defined"
        )
    ),
    ""
)</f>
        <v/>
      </c>
      <c r="AB130" s="62" t="str">
        <f t="shared" si="1"/>
        <v/>
      </c>
    </row>
    <row r="131" spans="3:28" x14ac:dyDescent="0.2">
      <c r="C131" s="69"/>
      <c r="D131" s="70"/>
      <c r="S131" s="34"/>
      <c r="T131" s="60" t="str">
        <f>IF(P131&lt;&gt;"",
    IF(OR(O131="", Q131="", R131=""),
        "Fill all the required columns",
        IFERROR(
            IF(OR(
                AND(R131="Marine Protected", VLOOKUP(O131, Reference!$A$2:$D$34, 4, FALSE) &lt;= P131),
                AND(R131="General Use", VLOOKUP(O131, Reference!$A$2:$D$34, 3, FALSE) &lt;= P131)
            ),
                "Exceeded",
                "OK"
            ),
            "No Regulation defined"
        )
    ),
    ""
)</f>
        <v/>
      </c>
      <c r="AB131" s="62" t="str">
        <f t="shared" ref="AB131:AB194" si="2">IF(COUNTA(A131, E131, F131, H131, I131, O131, P131, Q131, R131,S131) = 0, "", IF(COUNTA(A131, E131, F131, H131, I131, O131, P131, Q131, R131,S131) = 10, "OK", "Incomplete"))</f>
        <v/>
      </c>
    </row>
    <row r="132" spans="3:28" x14ac:dyDescent="0.2">
      <c r="C132" s="69"/>
      <c r="D132" s="70"/>
      <c r="S132" s="34"/>
      <c r="T132" s="60" t="str">
        <f>IF(P132&lt;&gt;"",
    IF(OR(O132="", Q132="", R132=""),
        "Fill all the required columns",
        IFERROR(
            IF(OR(
                AND(R132="Marine Protected", VLOOKUP(O132, Reference!$A$2:$D$34, 4, FALSE) &lt;= P132),
                AND(R132="General Use", VLOOKUP(O132, Reference!$A$2:$D$34, 3, FALSE) &lt;= P132)
            ),
                "Exceeded",
                "OK"
            ),
            "No Regulation defined"
        )
    ),
    ""
)</f>
        <v/>
      </c>
      <c r="AB132" s="62" t="str">
        <f t="shared" si="2"/>
        <v/>
      </c>
    </row>
    <row r="133" spans="3:28" x14ac:dyDescent="0.2">
      <c r="C133" s="69"/>
      <c r="D133" s="70"/>
      <c r="S133" s="34"/>
      <c r="T133" s="60" t="str">
        <f>IF(P133&lt;&gt;"",
    IF(OR(O133="", Q133="", R133=""),
        "Fill all the required columns",
        IFERROR(
            IF(OR(
                AND(R133="Marine Protected", VLOOKUP(O133, Reference!$A$2:$D$34, 4, FALSE) &lt;= P133),
                AND(R133="General Use", VLOOKUP(O133, Reference!$A$2:$D$34, 3, FALSE) &lt;= P133)
            ),
                "Exceeded",
                "OK"
            ),
            "No Regulation defined"
        )
    ),
    ""
)</f>
        <v/>
      </c>
      <c r="AB133" s="62" t="str">
        <f t="shared" si="2"/>
        <v/>
      </c>
    </row>
    <row r="134" spans="3:28" x14ac:dyDescent="0.2">
      <c r="C134" s="69"/>
      <c r="D134" s="70"/>
      <c r="S134" s="34"/>
      <c r="T134" s="60" t="str">
        <f>IF(P134&lt;&gt;"",
    IF(OR(O134="", Q134="", R134=""),
        "Fill all the required columns",
        IFERROR(
            IF(OR(
                AND(R134="Marine Protected", VLOOKUP(O134, Reference!$A$2:$D$34, 4, FALSE) &lt;= P134),
                AND(R134="General Use", VLOOKUP(O134, Reference!$A$2:$D$34, 3, FALSE) &lt;= P134)
            ),
                "Exceeded",
                "OK"
            ),
            "No Regulation defined"
        )
    ),
    ""
)</f>
        <v/>
      </c>
      <c r="AB134" s="62" t="str">
        <f t="shared" si="2"/>
        <v/>
      </c>
    </row>
    <row r="135" spans="3:28" x14ac:dyDescent="0.2">
      <c r="C135" s="69"/>
      <c r="D135" s="70"/>
      <c r="S135" s="34"/>
      <c r="T135" s="60" t="str">
        <f>IF(P135&lt;&gt;"",
    IF(OR(O135="", Q135="", R135=""),
        "Fill all the required columns",
        IFERROR(
            IF(OR(
                AND(R135="Marine Protected", VLOOKUP(O135, Reference!$A$2:$D$34, 4, FALSE) &lt;= P135),
                AND(R135="General Use", VLOOKUP(O135, Reference!$A$2:$D$34, 3, FALSE) &lt;= P135)
            ),
                "Exceeded",
                "OK"
            ),
            "No Regulation defined"
        )
    ),
    ""
)</f>
        <v/>
      </c>
      <c r="AB135" s="62" t="str">
        <f t="shared" si="2"/>
        <v/>
      </c>
    </row>
    <row r="136" spans="3:28" x14ac:dyDescent="0.2">
      <c r="C136" s="69"/>
      <c r="D136" s="70"/>
      <c r="S136" s="34"/>
      <c r="T136" s="60" t="str">
        <f>IF(P136&lt;&gt;"",
    IF(OR(O136="", Q136="", R136=""),
        "Fill all the required columns",
        IFERROR(
            IF(OR(
                AND(R136="Marine Protected", VLOOKUP(O136, Reference!$A$2:$D$34, 4, FALSE) &lt;= P136),
                AND(R136="General Use", VLOOKUP(O136, Reference!$A$2:$D$34, 3, FALSE) &lt;= P136)
            ),
                "Exceeded",
                "OK"
            ),
            "No Regulation defined"
        )
    ),
    ""
)</f>
        <v/>
      </c>
      <c r="AB136" s="62" t="str">
        <f t="shared" si="2"/>
        <v/>
      </c>
    </row>
    <row r="137" spans="3:28" x14ac:dyDescent="0.2">
      <c r="C137" s="69"/>
      <c r="D137" s="70"/>
      <c r="S137" s="34"/>
      <c r="T137" s="60" t="str">
        <f>IF(P137&lt;&gt;"",
    IF(OR(O137="", Q137="", R137=""),
        "Fill all the required columns",
        IFERROR(
            IF(OR(
                AND(R137="Marine Protected", VLOOKUP(O137, Reference!$A$2:$D$34, 4, FALSE) &lt;= P137),
                AND(R137="General Use", VLOOKUP(O137, Reference!$A$2:$D$34, 3, FALSE) &lt;= P137)
            ),
                "Exceeded",
                "OK"
            ),
            "No Regulation defined"
        )
    ),
    ""
)</f>
        <v/>
      </c>
      <c r="AB137" s="62" t="str">
        <f t="shared" si="2"/>
        <v/>
      </c>
    </row>
    <row r="138" spans="3:28" x14ac:dyDescent="0.2">
      <c r="C138" s="69"/>
      <c r="D138" s="70"/>
      <c r="S138" s="34"/>
      <c r="T138" s="60" t="str">
        <f>IF(P138&lt;&gt;"",
    IF(OR(O138="", Q138="", R138=""),
        "Fill all the required columns",
        IFERROR(
            IF(OR(
                AND(R138="Marine Protected", VLOOKUP(O138, Reference!$A$2:$D$34, 4, FALSE) &lt;= P138),
                AND(R138="General Use", VLOOKUP(O138, Reference!$A$2:$D$34, 3, FALSE) &lt;= P138)
            ),
                "Exceeded",
                "OK"
            ),
            "No Regulation defined"
        )
    ),
    ""
)</f>
        <v/>
      </c>
      <c r="AB138" s="62" t="str">
        <f t="shared" si="2"/>
        <v/>
      </c>
    </row>
    <row r="139" spans="3:28" x14ac:dyDescent="0.2">
      <c r="C139" s="69"/>
      <c r="D139" s="70"/>
      <c r="S139" s="34"/>
      <c r="T139" s="60" t="str">
        <f>IF(P139&lt;&gt;"",
    IF(OR(O139="", Q139="", R139=""),
        "Fill all the required columns",
        IFERROR(
            IF(OR(
                AND(R139="Marine Protected", VLOOKUP(O139, Reference!$A$2:$D$34, 4, FALSE) &lt;= P139),
                AND(R139="General Use", VLOOKUP(O139, Reference!$A$2:$D$34, 3, FALSE) &lt;= P139)
            ),
                "Exceeded",
                "OK"
            ),
            "No Regulation defined"
        )
    ),
    ""
)</f>
        <v/>
      </c>
      <c r="AB139" s="62" t="str">
        <f t="shared" si="2"/>
        <v/>
      </c>
    </row>
    <row r="140" spans="3:28" x14ac:dyDescent="0.2">
      <c r="C140" s="69"/>
      <c r="D140" s="70"/>
      <c r="S140" s="34"/>
      <c r="T140" s="60" t="str">
        <f>IF(P140&lt;&gt;"",
    IF(OR(O140="", Q140="", R140=""),
        "Fill all the required columns",
        IFERROR(
            IF(OR(
                AND(R140="Marine Protected", VLOOKUP(O140, Reference!$A$2:$D$34, 4, FALSE) &lt;= P140),
                AND(R140="General Use", VLOOKUP(O140, Reference!$A$2:$D$34, 3, FALSE) &lt;= P140)
            ),
                "Exceeded",
                "OK"
            ),
            "No Regulation defined"
        )
    ),
    ""
)</f>
        <v/>
      </c>
      <c r="AB140" s="62" t="str">
        <f t="shared" si="2"/>
        <v/>
      </c>
    </row>
    <row r="141" spans="3:28" x14ac:dyDescent="0.2">
      <c r="C141" s="69"/>
      <c r="D141" s="70"/>
      <c r="S141" s="34"/>
      <c r="T141" s="60" t="str">
        <f>IF(P141&lt;&gt;"",
    IF(OR(O141="", Q141="", R141=""),
        "Fill all the required columns",
        IFERROR(
            IF(OR(
                AND(R141="Marine Protected", VLOOKUP(O141, Reference!$A$2:$D$34, 4, FALSE) &lt;= P141),
                AND(R141="General Use", VLOOKUP(O141, Reference!$A$2:$D$34, 3, FALSE) &lt;= P141)
            ),
                "Exceeded",
                "OK"
            ),
            "No Regulation defined"
        )
    ),
    ""
)</f>
        <v/>
      </c>
      <c r="AB141" s="62" t="str">
        <f t="shared" si="2"/>
        <v/>
      </c>
    </row>
    <row r="142" spans="3:28" x14ac:dyDescent="0.2">
      <c r="C142" s="69"/>
      <c r="D142" s="70"/>
      <c r="S142" s="34"/>
      <c r="T142" s="60" t="str">
        <f>IF(P142&lt;&gt;"",
    IF(OR(O142="", Q142="", R142=""),
        "Fill all the required columns",
        IFERROR(
            IF(OR(
                AND(R142="Marine Protected", VLOOKUP(O142, Reference!$A$2:$D$34, 4, FALSE) &lt;= P142),
                AND(R142="General Use", VLOOKUP(O142, Reference!$A$2:$D$34, 3, FALSE) &lt;= P142)
            ),
                "Exceeded",
                "OK"
            ),
            "No Regulation defined"
        )
    ),
    ""
)</f>
        <v/>
      </c>
      <c r="AB142" s="62" t="str">
        <f t="shared" si="2"/>
        <v/>
      </c>
    </row>
    <row r="143" spans="3:28" x14ac:dyDescent="0.2">
      <c r="C143" s="69"/>
      <c r="D143" s="70"/>
      <c r="S143" s="34"/>
      <c r="T143" s="60" t="str">
        <f>IF(P143&lt;&gt;"",
    IF(OR(O143="", Q143="", R143=""),
        "Fill all the required columns",
        IFERROR(
            IF(OR(
                AND(R143="Marine Protected", VLOOKUP(O143, Reference!$A$2:$D$34, 4, FALSE) &lt;= P143),
                AND(R143="General Use", VLOOKUP(O143, Reference!$A$2:$D$34, 3, FALSE) &lt;= P143)
            ),
                "Exceeded",
                "OK"
            ),
            "No Regulation defined"
        )
    ),
    ""
)</f>
        <v/>
      </c>
      <c r="AB143" s="62" t="str">
        <f t="shared" si="2"/>
        <v/>
      </c>
    </row>
    <row r="144" spans="3:28" x14ac:dyDescent="0.2">
      <c r="C144" s="69"/>
      <c r="D144" s="70"/>
      <c r="S144" s="34"/>
      <c r="T144" s="60" t="str">
        <f>IF(P144&lt;&gt;"",
    IF(OR(O144="", Q144="", R144=""),
        "Fill all the required columns",
        IFERROR(
            IF(OR(
                AND(R144="Marine Protected", VLOOKUP(O144, Reference!$A$2:$D$34, 4, FALSE) &lt;= P144),
                AND(R144="General Use", VLOOKUP(O144, Reference!$A$2:$D$34, 3, FALSE) &lt;= P144)
            ),
                "Exceeded",
                "OK"
            ),
            "No Regulation defined"
        )
    ),
    ""
)</f>
        <v/>
      </c>
      <c r="AB144" s="62" t="str">
        <f t="shared" si="2"/>
        <v/>
      </c>
    </row>
    <row r="145" spans="3:28" x14ac:dyDescent="0.2">
      <c r="C145" s="69"/>
      <c r="D145" s="70"/>
      <c r="S145" s="34"/>
      <c r="T145" s="60" t="str">
        <f>IF(P145&lt;&gt;"",
    IF(OR(O145="", Q145="", R145=""),
        "Fill all the required columns",
        IFERROR(
            IF(OR(
                AND(R145="Marine Protected", VLOOKUP(O145, Reference!$A$2:$D$34, 4, FALSE) &lt;= P145),
                AND(R145="General Use", VLOOKUP(O145, Reference!$A$2:$D$34, 3, FALSE) &lt;= P145)
            ),
                "Exceeded",
                "OK"
            ),
            "No Regulation defined"
        )
    ),
    ""
)</f>
        <v/>
      </c>
      <c r="AB145" s="62" t="str">
        <f t="shared" si="2"/>
        <v/>
      </c>
    </row>
    <row r="146" spans="3:28" x14ac:dyDescent="0.2">
      <c r="C146" s="69"/>
      <c r="D146" s="70"/>
      <c r="S146" s="34"/>
      <c r="T146" s="60" t="str">
        <f>IF(P146&lt;&gt;"",
    IF(OR(O146="", Q146="", R146=""),
        "Fill all the required columns",
        IFERROR(
            IF(OR(
                AND(R146="Marine Protected", VLOOKUP(O146, Reference!$A$2:$D$34, 4, FALSE) &lt;= P146),
                AND(R146="General Use", VLOOKUP(O146, Reference!$A$2:$D$34, 3, FALSE) &lt;= P146)
            ),
                "Exceeded",
                "OK"
            ),
            "No Regulation defined"
        )
    ),
    ""
)</f>
        <v/>
      </c>
      <c r="AB146" s="62" t="str">
        <f t="shared" si="2"/>
        <v/>
      </c>
    </row>
    <row r="147" spans="3:28" x14ac:dyDescent="0.2">
      <c r="C147" s="69"/>
      <c r="D147" s="70"/>
      <c r="S147" s="34"/>
      <c r="T147" s="60" t="str">
        <f>IF(P147&lt;&gt;"",
    IF(OR(O147="", Q147="", R147=""),
        "Fill all the required columns",
        IFERROR(
            IF(OR(
                AND(R147="Marine Protected", VLOOKUP(O147, Reference!$A$2:$D$34, 4, FALSE) &lt;= P147),
                AND(R147="General Use", VLOOKUP(O147, Reference!$A$2:$D$34, 3, FALSE) &lt;= P147)
            ),
                "Exceeded",
                "OK"
            ),
            "No Regulation defined"
        )
    ),
    ""
)</f>
        <v/>
      </c>
      <c r="AB147" s="62" t="str">
        <f t="shared" si="2"/>
        <v/>
      </c>
    </row>
    <row r="148" spans="3:28" x14ac:dyDescent="0.2">
      <c r="C148" s="69"/>
      <c r="D148" s="70"/>
      <c r="S148" s="34"/>
      <c r="T148" s="60" t="str">
        <f>IF(P148&lt;&gt;"",
    IF(OR(O148="", Q148="", R148=""),
        "Fill all the required columns",
        IFERROR(
            IF(OR(
                AND(R148="Marine Protected", VLOOKUP(O148, Reference!$A$2:$D$34, 4, FALSE) &lt;= P148),
                AND(R148="General Use", VLOOKUP(O148, Reference!$A$2:$D$34, 3, FALSE) &lt;= P148)
            ),
                "Exceeded",
                "OK"
            ),
            "No Regulation defined"
        )
    ),
    ""
)</f>
        <v/>
      </c>
      <c r="AB148" s="62" t="str">
        <f t="shared" si="2"/>
        <v/>
      </c>
    </row>
    <row r="149" spans="3:28" x14ac:dyDescent="0.2">
      <c r="C149" s="69"/>
      <c r="D149" s="70"/>
      <c r="S149" s="34"/>
      <c r="T149" s="60" t="str">
        <f>IF(P149&lt;&gt;"",
    IF(OR(O149="", Q149="", R149=""),
        "Fill all the required columns",
        IFERROR(
            IF(OR(
                AND(R149="Marine Protected", VLOOKUP(O149, Reference!$A$2:$D$34, 4, FALSE) &lt;= P149),
                AND(R149="General Use", VLOOKUP(O149, Reference!$A$2:$D$34, 3, FALSE) &lt;= P149)
            ),
                "Exceeded",
                "OK"
            ),
            "No Regulation defined"
        )
    ),
    ""
)</f>
        <v/>
      </c>
      <c r="AB149" s="62" t="str">
        <f t="shared" si="2"/>
        <v/>
      </c>
    </row>
    <row r="150" spans="3:28" x14ac:dyDescent="0.2">
      <c r="C150" s="69"/>
      <c r="D150" s="70"/>
      <c r="S150" s="34"/>
      <c r="T150" s="60" t="str">
        <f>IF(P150&lt;&gt;"",
    IF(OR(O150="", Q150="", R150=""),
        "Fill all the required columns",
        IFERROR(
            IF(OR(
                AND(R150="Marine Protected", VLOOKUP(O150, Reference!$A$2:$D$34, 4, FALSE) &lt;= P150),
                AND(R150="General Use", VLOOKUP(O150, Reference!$A$2:$D$34, 3, FALSE) &lt;= P150)
            ),
                "Exceeded",
                "OK"
            ),
            "No Regulation defined"
        )
    ),
    ""
)</f>
        <v/>
      </c>
      <c r="AB150" s="62" t="str">
        <f t="shared" si="2"/>
        <v/>
      </c>
    </row>
    <row r="151" spans="3:28" x14ac:dyDescent="0.2">
      <c r="C151" s="69"/>
      <c r="D151" s="70"/>
      <c r="S151" s="34"/>
      <c r="T151" s="60" t="str">
        <f>IF(P151&lt;&gt;"",
    IF(OR(O151="", Q151="", R151=""),
        "Fill all the required columns",
        IFERROR(
            IF(OR(
                AND(R151="Marine Protected", VLOOKUP(O151, Reference!$A$2:$D$34, 4, FALSE) &lt;= P151),
                AND(R151="General Use", VLOOKUP(O151, Reference!$A$2:$D$34, 3, FALSE) &lt;= P151)
            ),
                "Exceeded",
                "OK"
            ),
            "No Regulation defined"
        )
    ),
    ""
)</f>
        <v/>
      </c>
      <c r="AB151" s="62" t="str">
        <f t="shared" si="2"/>
        <v/>
      </c>
    </row>
    <row r="152" spans="3:28" x14ac:dyDescent="0.2">
      <c r="C152" s="69"/>
      <c r="D152" s="70"/>
      <c r="S152" s="34"/>
      <c r="T152" s="60" t="str">
        <f>IF(P152&lt;&gt;"",
    IF(OR(O152="", Q152="", R152=""),
        "Fill all the required columns",
        IFERROR(
            IF(OR(
                AND(R152="Marine Protected", VLOOKUP(O152, Reference!$A$2:$D$34, 4, FALSE) &lt;= P152),
                AND(R152="General Use", VLOOKUP(O152, Reference!$A$2:$D$34, 3, FALSE) &lt;= P152)
            ),
                "Exceeded",
                "OK"
            ),
            "No Regulation defined"
        )
    ),
    ""
)</f>
        <v/>
      </c>
      <c r="AB152" s="62" t="str">
        <f t="shared" si="2"/>
        <v/>
      </c>
    </row>
    <row r="153" spans="3:28" x14ac:dyDescent="0.2">
      <c r="C153" s="69"/>
      <c r="D153" s="70"/>
      <c r="S153" s="34"/>
      <c r="T153" s="60" t="str">
        <f>IF(P153&lt;&gt;"",
    IF(OR(O153="", Q153="", R153=""),
        "Fill all the required columns",
        IFERROR(
            IF(OR(
                AND(R153="Marine Protected", VLOOKUP(O153, Reference!$A$2:$D$34, 4, FALSE) &lt;= P153),
                AND(R153="General Use", VLOOKUP(O153, Reference!$A$2:$D$34, 3, FALSE) &lt;= P153)
            ),
                "Exceeded",
                "OK"
            ),
            "No Regulation defined"
        )
    ),
    ""
)</f>
        <v/>
      </c>
      <c r="AB153" s="62" t="str">
        <f t="shared" si="2"/>
        <v/>
      </c>
    </row>
    <row r="154" spans="3:28" x14ac:dyDescent="0.2">
      <c r="C154" s="69"/>
      <c r="D154" s="70"/>
      <c r="S154" s="34"/>
      <c r="T154" s="60" t="str">
        <f>IF(P154&lt;&gt;"",
    IF(OR(O154="", Q154="", R154=""),
        "Fill all the required columns",
        IFERROR(
            IF(OR(
                AND(R154="Marine Protected", VLOOKUP(O154, Reference!$A$2:$D$34, 4, FALSE) &lt;= P154),
                AND(R154="General Use", VLOOKUP(O154, Reference!$A$2:$D$34, 3, FALSE) &lt;= P154)
            ),
                "Exceeded",
                "OK"
            ),
            "No Regulation defined"
        )
    ),
    ""
)</f>
        <v/>
      </c>
      <c r="AB154" s="62" t="str">
        <f t="shared" si="2"/>
        <v/>
      </c>
    </row>
    <row r="155" spans="3:28" x14ac:dyDescent="0.2">
      <c r="C155" s="69"/>
      <c r="D155" s="70"/>
      <c r="S155" s="34"/>
      <c r="T155" s="60" t="str">
        <f>IF(P155&lt;&gt;"",
    IF(OR(O155="", Q155="", R155=""),
        "Fill all the required columns",
        IFERROR(
            IF(OR(
                AND(R155="Marine Protected", VLOOKUP(O155, Reference!$A$2:$D$34, 4, FALSE) &lt;= P155),
                AND(R155="General Use", VLOOKUP(O155, Reference!$A$2:$D$34, 3, FALSE) &lt;= P155)
            ),
                "Exceeded",
                "OK"
            ),
            "No Regulation defined"
        )
    ),
    ""
)</f>
        <v/>
      </c>
      <c r="AB155" s="62" t="str">
        <f t="shared" si="2"/>
        <v/>
      </c>
    </row>
    <row r="156" spans="3:28" x14ac:dyDescent="0.2">
      <c r="C156" s="69"/>
      <c r="D156" s="70"/>
      <c r="S156" s="34"/>
      <c r="T156" s="60" t="str">
        <f>IF(P156&lt;&gt;"",
    IF(OR(O156="", Q156="", R156=""),
        "Fill all the required columns",
        IFERROR(
            IF(OR(
                AND(R156="Marine Protected", VLOOKUP(O156, Reference!$A$2:$D$34, 4, FALSE) &lt;= P156),
                AND(R156="General Use", VLOOKUP(O156, Reference!$A$2:$D$34, 3, FALSE) &lt;= P156)
            ),
                "Exceeded",
                "OK"
            ),
            "No Regulation defined"
        )
    ),
    ""
)</f>
        <v/>
      </c>
      <c r="AB156" s="62" t="str">
        <f t="shared" si="2"/>
        <v/>
      </c>
    </row>
    <row r="157" spans="3:28" x14ac:dyDescent="0.2">
      <c r="C157" s="69"/>
      <c r="D157" s="70"/>
      <c r="S157" s="34"/>
      <c r="T157" s="60" t="str">
        <f>IF(P157&lt;&gt;"",
    IF(OR(O157="", Q157="", R157=""),
        "Fill all the required columns",
        IFERROR(
            IF(OR(
                AND(R157="Marine Protected", VLOOKUP(O157, Reference!$A$2:$D$34, 4, FALSE) &lt;= P157),
                AND(R157="General Use", VLOOKUP(O157, Reference!$A$2:$D$34, 3, FALSE) &lt;= P157)
            ),
                "Exceeded",
                "OK"
            ),
            "No Regulation defined"
        )
    ),
    ""
)</f>
        <v/>
      </c>
      <c r="AB157" s="62" t="str">
        <f t="shared" si="2"/>
        <v/>
      </c>
    </row>
    <row r="158" spans="3:28" x14ac:dyDescent="0.2">
      <c r="C158" s="69"/>
      <c r="D158" s="70"/>
      <c r="S158" s="34"/>
      <c r="T158" s="60" t="str">
        <f>IF(P158&lt;&gt;"",
    IF(OR(O158="", Q158="", R158=""),
        "Fill all the required columns",
        IFERROR(
            IF(OR(
                AND(R158="Marine Protected", VLOOKUP(O158, Reference!$A$2:$D$34, 4, FALSE) &lt;= P158),
                AND(R158="General Use", VLOOKUP(O158, Reference!$A$2:$D$34, 3, FALSE) &lt;= P158)
            ),
                "Exceeded",
                "OK"
            ),
            "No Regulation defined"
        )
    ),
    ""
)</f>
        <v/>
      </c>
      <c r="AB158" s="62" t="str">
        <f t="shared" si="2"/>
        <v/>
      </c>
    </row>
    <row r="159" spans="3:28" x14ac:dyDescent="0.2">
      <c r="C159" s="69"/>
      <c r="D159" s="70"/>
      <c r="S159" s="34"/>
      <c r="T159" s="60" t="str">
        <f>IF(P159&lt;&gt;"",
    IF(OR(O159="", Q159="", R159=""),
        "Fill all the required columns",
        IFERROR(
            IF(OR(
                AND(R159="Marine Protected", VLOOKUP(O159, Reference!$A$2:$D$34, 4, FALSE) &lt;= P159),
                AND(R159="General Use", VLOOKUP(O159, Reference!$A$2:$D$34, 3, FALSE) &lt;= P159)
            ),
                "Exceeded",
                "OK"
            ),
            "No Regulation defined"
        )
    ),
    ""
)</f>
        <v/>
      </c>
      <c r="AB159" s="62" t="str">
        <f t="shared" si="2"/>
        <v/>
      </c>
    </row>
    <row r="160" spans="3:28" x14ac:dyDescent="0.2">
      <c r="C160" s="69"/>
      <c r="D160" s="70"/>
      <c r="S160" s="34"/>
      <c r="T160" s="60" t="str">
        <f>IF(P160&lt;&gt;"",
    IF(OR(O160="", Q160="", R160=""),
        "Fill all the required columns",
        IFERROR(
            IF(OR(
                AND(R160="Marine Protected", VLOOKUP(O160, Reference!$A$2:$D$34, 4, FALSE) &lt;= P160),
                AND(R160="General Use", VLOOKUP(O160, Reference!$A$2:$D$34, 3, FALSE) &lt;= P160)
            ),
                "Exceeded",
                "OK"
            ),
            "No Regulation defined"
        )
    ),
    ""
)</f>
        <v/>
      </c>
      <c r="AB160" s="62" t="str">
        <f t="shared" si="2"/>
        <v/>
      </c>
    </row>
    <row r="161" spans="3:28" x14ac:dyDescent="0.2">
      <c r="C161" s="69"/>
      <c r="D161" s="70"/>
      <c r="S161" s="34"/>
      <c r="T161" s="60" t="str">
        <f>IF(P161&lt;&gt;"",
    IF(OR(O161="", Q161="", R161=""),
        "Fill all the required columns",
        IFERROR(
            IF(OR(
                AND(R161="Marine Protected", VLOOKUP(O161, Reference!$A$2:$D$34, 4, FALSE) &lt;= P161),
                AND(R161="General Use", VLOOKUP(O161, Reference!$A$2:$D$34, 3, FALSE) &lt;= P161)
            ),
                "Exceeded",
                "OK"
            ),
            "No Regulation defined"
        )
    ),
    ""
)</f>
        <v/>
      </c>
      <c r="AB161" s="62" t="str">
        <f t="shared" si="2"/>
        <v/>
      </c>
    </row>
    <row r="162" spans="3:28" x14ac:dyDescent="0.2">
      <c r="C162" s="69"/>
      <c r="D162" s="70"/>
      <c r="S162" s="34"/>
      <c r="T162" s="60" t="str">
        <f>IF(P162&lt;&gt;"",
    IF(OR(O162="", Q162="", R162=""),
        "Fill all the required columns",
        IFERROR(
            IF(OR(
                AND(R162="Marine Protected", VLOOKUP(O162, Reference!$A$2:$D$34, 4, FALSE) &lt;= P162),
                AND(R162="General Use", VLOOKUP(O162, Reference!$A$2:$D$34, 3, FALSE) &lt;= P162)
            ),
                "Exceeded",
                "OK"
            ),
            "No Regulation defined"
        )
    ),
    ""
)</f>
        <v/>
      </c>
      <c r="AB162" s="62" t="str">
        <f t="shared" si="2"/>
        <v/>
      </c>
    </row>
    <row r="163" spans="3:28" x14ac:dyDescent="0.2">
      <c r="C163" s="69"/>
      <c r="D163" s="70"/>
      <c r="S163" s="34"/>
      <c r="T163" s="60" t="str">
        <f>IF(P163&lt;&gt;"",
    IF(OR(O163="", Q163="", R163=""),
        "Fill all the required columns",
        IFERROR(
            IF(OR(
                AND(R163="Marine Protected", VLOOKUP(O163, Reference!$A$2:$D$34, 4, FALSE) &lt;= P163),
                AND(R163="General Use", VLOOKUP(O163, Reference!$A$2:$D$34, 3, FALSE) &lt;= P163)
            ),
                "Exceeded",
                "OK"
            ),
            "No Regulation defined"
        )
    ),
    ""
)</f>
        <v/>
      </c>
      <c r="AB163" s="62" t="str">
        <f t="shared" si="2"/>
        <v/>
      </c>
    </row>
    <row r="164" spans="3:28" x14ac:dyDescent="0.2">
      <c r="C164" s="69"/>
      <c r="D164" s="70"/>
      <c r="S164" s="34"/>
      <c r="T164" s="60" t="str">
        <f>IF(P164&lt;&gt;"",
    IF(OR(O164="", Q164="", R164=""),
        "Fill all the required columns",
        IFERROR(
            IF(OR(
                AND(R164="Marine Protected", VLOOKUP(O164, Reference!$A$2:$D$34, 4, FALSE) &lt;= P164),
                AND(R164="General Use", VLOOKUP(O164, Reference!$A$2:$D$34, 3, FALSE) &lt;= P164)
            ),
                "Exceeded",
                "OK"
            ),
            "No Regulation defined"
        )
    ),
    ""
)</f>
        <v/>
      </c>
      <c r="AB164" s="62" t="str">
        <f t="shared" si="2"/>
        <v/>
      </c>
    </row>
    <row r="165" spans="3:28" x14ac:dyDescent="0.2">
      <c r="C165" s="69"/>
      <c r="D165" s="70"/>
      <c r="S165" s="34"/>
      <c r="T165" s="60" t="str">
        <f>IF(P165&lt;&gt;"",
    IF(OR(O165="", Q165="", R165=""),
        "Fill all the required columns",
        IFERROR(
            IF(OR(
                AND(R165="Marine Protected", VLOOKUP(O165, Reference!$A$2:$D$34, 4, FALSE) &lt;= P165),
                AND(R165="General Use", VLOOKUP(O165, Reference!$A$2:$D$34, 3, FALSE) &lt;= P165)
            ),
                "Exceeded",
                "OK"
            ),
            "No Regulation defined"
        )
    ),
    ""
)</f>
        <v/>
      </c>
      <c r="AB165" s="62" t="str">
        <f t="shared" si="2"/>
        <v/>
      </c>
    </row>
    <row r="166" spans="3:28" x14ac:dyDescent="0.2">
      <c r="C166" s="69"/>
      <c r="D166" s="70"/>
      <c r="S166" s="34"/>
      <c r="T166" s="60" t="str">
        <f>IF(P166&lt;&gt;"",
    IF(OR(O166="", Q166="", R166=""),
        "Fill all the required columns",
        IFERROR(
            IF(OR(
                AND(R166="Marine Protected", VLOOKUP(O166, Reference!$A$2:$D$34, 4, FALSE) &lt;= P166),
                AND(R166="General Use", VLOOKUP(O166, Reference!$A$2:$D$34, 3, FALSE) &lt;= P166)
            ),
                "Exceeded",
                "OK"
            ),
            "No Regulation defined"
        )
    ),
    ""
)</f>
        <v/>
      </c>
      <c r="AB166" s="62" t="str">
        <f t="shared" si="2"/>
        <v/>
      </c>
    </row>
    <row r="167" spans="3:28" x14ac:dyDescent="0.2">
      <c r="C167" s="69"/>
      <c r="D167" s="70"/>
      <c r="S167" s="34"/>
      <c r="T167" s="60" t="str">
        <f>IF(P167&lt;&gt;"",
    IF(OR(O167="", Q167="", R167=""),
        "Fill all the required columns",
        IFERROR(
            IF(OR(
                AND(R167="Marine Protected", VLOOKUP(O167, Reference!$A$2:$D$34, 4, FALSE) &lt;= P167),
                AND(R167="General Use", VLOOKUP(O167, Reference!$A$2:$D$34, 3, FALSE) &lt;= P167)
            ),
                "Exceeded",
                "OK"
            ),
            "No Regulation defined"
        )
    ),
    ""
)</f>
        <v/>
      </c>
      <c r="AB167" s="62" t="str">
        <f t="shared" si="2"/>
        <v/>
      </c>
    </row>
    <row r="168" spans="3:28" x14ac:dyDescent="0.2">
      <c r="C168" s="69"/>
      <c r="D168" s="70"/>
      <c r="S168" s="34"/>
      <c r="T168" s="60" t="str">
        <f>IF(P168&lt;&gt;"",
    IF(OR(O168="", Q168="", R168=""),
        "Fill all the required columns",
        IFERROR(
            IF(OR(
                AND(R168="Marine Protected", VLOOKUP(O168, Reference!$A$2:$D$34, 4, FALSE) &lt;= P168),
                AND(R168="General Use", VLOOKUP(O168, Reference!$A$2:$D$34, 3, FALSE) &lt;= P168)
            ),
                "Exceeded",
                "OK"
            ),
            "No Regulation defined"
        )
    ),
    ""
)</f>
        <v/>
      </c>
      <c r="AB168" s="62" t="str">
        <f t="shared" si="2"/>
        <v/>
      </c>
    </row>
    <row r="169" spans="3:28" x14ac:dyDescent="0.2">
      <c r="C169" s="69"/>
      <c r="D169" s="70"/>
      <c r="S169" s="34"/>
      <c r="T169" s="60" t="str">
        <f>IF(P169&lt;&gt;"",
    IF(OR(O169="", Q169="", R169=""),
        "Fill all the required columns",
        IFERROR(
            IF(OR(
                AND(R169="Marine Protected", VLOOKUP(O169, Reference!$A$2:$D$34, 4, FALSE) &lt;= P169),
                AND(R169="General Use", VLOOKUP(O169, Reference!$A$2:$D$34, 3, FALSE) &lt;= P169)
            ),
                "Exceeded",
                "OK"
            ),
            "No Regulation defined"
        )
    ),
    ""
)</f>
        <v/>
      </c>
      <c r="AB169" s="62" t="str">
        <f t="shared" si="2"/>
        <v/>
      </c>
    </row>
    <row r="170" spans="3:28" x14ac:dyDescent="0.2">
      <c r="C170" s="69"/>
      <c r="D170" s="70"/>
      <c r="S170" s="34"/>
      <c r="T170" s="60" t="str">
        <f>IF(P170&lt;&gt;"",
    IF(OR(O170="", Q170="", R170=""),
        "Fill all the required columns",
        IFERROR(
            IF(OR(
                AND(R170="Marine Protected", VLOOKUP(O170, Reference!$A$2:$D$34, 4, FALSE) &lt;= P170),
                AND(R170="General Use", VLOOKUP(O170, Reference!$A$2:$D$34, 3, FALSE) &lt;= P170)
            ),
                "Exceeded",
                "OK"
            ),
            "No Regulation defined"
        )
    ),
    ""
)</f>
        <v/>
      </c>
      <c r="AB170" s="62" t="str">
        <f t="shared" si="2"/>
        <v/>
      </c>
    </row>
    <row r="171" spans="3:28" x14ac:dyDescent="0.2">
      <c r="C171" s="69"/>
      <c r="D171" s="70"/>
      <c r="S171" s="34"/>
      <c r="T171" s="60" t="str">
        <f>IF(P171&lt;&gt;"",
    IF(OR(O171="", Q171="", R171=""),
        "Fill all the required columns",
        IFERROR(
            IF(OR(
                AND(R171="Marine Protected", VLOOKUP(O171, Reference!$A$2:$D$34, 4, FALSE) &lt;= P171),
                AND(R171="General Use", VLOOKUP(O171, Reference!$A$2:$D$34, 3, FALSE) &lt;= P171)
            ),
                "Exceeded",
                "OK"
            ),
            "No Regulation defined"
        )
    ),
    ""
)</f>
        <v/>
      </c>
      <c r="AB171" s="62" t="str">
        <f t="shared" si="2"/>
        <v/>
      </c>
    </row>
    <row r="172" spans="3:28" x14ac:dyDescent="0.2">
      <c r="C172" s="69"/>
      <c r="D172" s="70"/>
      <c r="S172" s="34"/>
      <c r="T172" s="60" t="str">
        <f>IF(P172&lt;&gt;"",
    IF(OR(O172="", Q172="", R172=""),
        "Fill all the required columns",
        IFERROR(
            IF(OR(
                AND(R172="Marine Protected", VLOOKUP(O172, Reference!$A$2:$D$34, 4, FALSE) &lt;= P172),
                AND(R172="General Use", VLOOKUP(O172, Reference!$A$2:$D$34, 3, FALSE) &lt;= P172)
            ),
                "Exceeded",
                "OK"
            ),
            "No Regulation defined"
        )
    ),
    ""
)</f>
        <v/>
      </c>
      <c r="AB172" s="62" t="str">
        <f t="shared" si="2"/>
        <v/>
      </c>
    </row>
    <row r="173" spans="3:28" x14ac:dyDescent="0.2">
      <c r="C173" s="69"/>
      <c r="D173" s="70"/>
      <c r="S173" s="34"/>
      <c r="T173" s="60" t="str">
        <f>IF(P173&lt;&gt;"",
    IF(OR(O173="", Q173="", R173=""),
        "Fill all the required columns",
        IFERROR(
            IF(OR(
                AND(R173="Marine Protected", VLOOKUP(O173, Reference!$A$2:$D$34, 4, FALSE) &lt;= P173),
                AND(R173="General Use", VLOOKUP(O173, Reference!$A$2:$D$34, 3, FALSE) &lt;= P173)
            ),
                "Exceeded",
                "OK"
            ),
            "No Regulation defined"
        )
    ),
    ""
)</f>
        <v/>
      </c>
      <c r="AB173" s="62" t="str">
        <f t="shared" si="2"/>
        <v/>
      </c>
    </row>
    <row r="174" spans="3:28" x14ac:dyDescent="0.2">
      <c r="C174" s="69"/>
      <c r="D174" s="70"/>
      <c r="S174" s="34"/>
      <c r="T174" s="60" t="str">
        <f>IF(P174&lt;&gt;"",
    IF(OR(O174="", Q174="", R174=""),
        "Fill all the required columns",
        IFERROR(
            IF(OR(
                AND(R174="Marine Protected", VLOOKUP(O174, Reference!$A$2:$D$34, 4, FALSE) &lt;= P174),
                AND(R174="General Use", VLOOKUP(O174, Reference!$A$2:$D$34, 3, FALSE) &lt;= P174)
            ),
                "Exceeded",
                "OK"
            ),
            "No Regulation defined"
        )
    ),
    ""
)</f>
        <v/>
      </c>
      <c r="AB174" s="62" t="str">
        <f t="shared" si="2"/>
        <v/>
      </c>
    </row>
    <row r="175" spans="3:28" x14ac:dyDescent="0.2">
      <c r="C175" s="69"/>
      <c r="D175" s="70"/>
      <c r="S175" s="34"/>
      <c r="T175" s="60" t="str">
        <f>IF(P175&lt;&gt;"",
    IF(OR(O175="", Q175="", R175=""),
        "Fill all the required columns",
        IFERROR(
            IF(OR(
                AND(R175="Marine Protected", VLOOKUP(O175, Reference!$A$2:$D$34, 4, FALSE) &lt;= P175),
                AND(R175="General Use", VLOOKUP(O175, Reference!$A$2:$D$34, 3, FALSE) &lt;= P175)
            ),
                "Exceeded",
                "OK"
            ),
            "No Regulation defined"
        )
    ),
    ""
)</f>
        <v/>
      </c>
      <c r="AB175" s="62" t="str">
        <f t="shared" si="2"/>
        <v/>
      </c>
    </row>
    <row r="176" spans="3:28" x14ac:dyDescent="0.2">
      <c r="C176" s="69"/>
      <c r="D176" s="70"/>
      <c r="S176" s="34"/>
      <c r="T176" s="60" t="str">
        <f>IF(P176&lt;&gt;"",
    IF(OR(O176="", Q176="", R176=""),
        "Fill all the required columns",
        IFERROR(
            IF(OR(
                AND(R176="Marine Protected", VLOOKUP(O176, Reference!$A$2:$D$34, 4, FALSE) &lt;= P176),
                AND(R176="General Use", VLOOKUP(O176, Reference!$A$2:$D$34, 3, FALSE) &lt;= P176)
            ),
                "Exceeded",
                "OK"
            ),
            "No Regulation defined"
        )
    ),
    ""
)</f>
        <v/>
      </c>
      <c r="AB176" s="62" t="str">
        <f t="shared" si="2"/>
        <v/>
      </c>
    </row>
    <row r="177" spans="3:28" x14ac:dyDescent="0.2">
      <c r="C177" s="69"/>
      <c r="D177" s="70"/>
      <c r="S177" s="34"/>
      <c r="T177" s="60" t="str">
        <f>IF(P177&lt;&gt;"",
    IF(OR(O177="", Q177="", R177=""),
        "Fill all the required columns",
        IFERROR(
            IF(OR(
                AND(R177="Marine Protected", VLOOKUP(O177, Reference!$A$2:$D$34, 4, FALSE) &lt;= P177),
                AND(R177="General Use", VLOOKUP(O177, Reference!$A$2:$D$34, 3, FALSE) &lt;= P177)
            ),
                "Exceeded",
                "OK"
            ),
            "No Regulation defined"
        )
    ),
    ""
)</f>
        <v/>
      </c>
      <c r="AB177" s="62" t="str">
        <f t="shared" si="2"/>
        <v/>
      </c>
    </row>
    <row r="178" spans="3:28" x14ac:dyDescent="0.2">
      <c r="C178" s="69"/>
      <c r="D178" s="70"/>
      <c r="S178" s="34"/>
      <c r="T178" s="60" t="str">
        <f>IF(P178&lt;&gt;"",
    IF(OR(O178="", Q178="", R178=""),
        "Fill all the required columns",
        IFERROR(
            IF(OR(
                AND(R178="Marine Protected", VLOOKUP(O178, Reference!$A$2:$D$34, 4, FALSE) &lt;= P178),
                AND(R178="General Use", VLOOKUP(O178, Reference!$A$2:$D$34, 3, FALSE) &lt;= P178)
            ),
                "Exceeded",
                "OK"
            ),
            "No Regulation defined"
        )
    ),
    ""
)</f>
        <v/>
      </c>
      <c r="AB178" s="62" t="str">
        <f t="shared" si="2"/>
        <v/>
      </c>
    </row>
    <row r="179" spans="3:28" x14ac:dyDescent="0.2">
      <c r="C179" s="69"/>
      <c r="D179" s="70"/>
      <c r="S179" s="34"/>
      <c r="T179" s="60" t="str">
        <f>IF(P179&lt;&gt;"",
    IF(OR(O179="", Q179="", R179=""),
        "Fill all the required columns",
        IFERROR(
            IF(OR(
                AND(R179="Marine Protected", VLOOKUP(O179, Reference!$A$2:$D$34, 4, FALSE) &lt;= P179),
                AND(R179="General Use", VLOOKUP(O179, Reference!$A$2:$D$34, 3, FALSE) &lt;= P179)
            ),
                "Exceeded",
                "OK"
            ),
            "No Regulation defined"
        )
    ),
    ""
)</f>
        <v/>
      </c>
      <c r="AB179" s="62" t="str">
        <f t="shared" si="2"/>
        <v/>
      </c>
    </row>
    <row r="180" spans="3:28" x14ac:dyDescent="0.2">
      <c r="C180" s="69"/>
      <c r="D180" s="70"/>
      <c r="S180" s="34"/>
      <c r="T180" s="60" t="str">
        <f>IF(P180&lt;&gt;"",
    IF(OR(O180="", Q180="", R180=""),
        "Fill all the required columns",
        IFERROR(
            IF(OR(
                AND(R180="Marine Protected", VLOOKUP(O180, Reference!$A$2:$D$34, 4, FALSE) &lt;= P180),
                AND(R180="General Use", VLOOKUP(O180, Reference!$A$2:$D$34, 3, FALSE) &lt;= P180)
            ),
                "Exceeded",
                "OK"
            ),
            "No Regulation defined"
        )
    ),
    ""
)</f>
        <v/>
      </c>
      <c r="AB180" s="62" t="str">
        <f t="shared" si="2"/>
        <v/>
      </c>
    </row>
    <row r="181" spans="3:28" x14ac:dyDescent="0.2">
      <c r="C181" s="69"/>
      <c r="D181" s="70"/>
      <c r="S181" s="34"/>
      <c r="T181" s="60" t="str">
        <f>IF(P181&lt;&gt;"",
    IF(OR(O181="", Q181="", R181=""),
        "Fill all the required columns",
        IFERROR(
            IF(OR(
                AND(R181="Marine Protected", VLOOKUP(O181, Reference!$A$2:$D$34, 4, FALSE) &lt;= P181),
                AND(R181="General Use", VLOOKUP(O181, Reference!$A$2:$D$34, 3, FALSE) &lt;= P181)
            ),
                "Exceeded",
                "OK"
            ),
            "No Regulation defined"
        )
    ),
    ""
)</f>
        <v/>
      </c>
      <c r="AB181" s="62" t="str">
        <f t="shared" si="2"/>
        <v/>
      </c>
    </row>
    <row r="182" spans="3:28" x14ac:dyDescent="0.2">
      <c r="C182" s="69"/>
      <c r="D182" s="70"/>
      <c r="S182" s="34"/>
      <c r="T182" s="60" t="str">
        <f>IF(P182&lt;&gt;"",
    IF(OR(O182="", Q182="", R182=""),
        "Fill all the required columns",
        IFERROR(
            IF(OR(
                AND(R182="Marine Protected", VLOOKUP(O182, Reference!$A$2:$D$34, 4, FALSE) &lt;= P182),
                AND(R182="General Use", VLOOKUP(O182, Reference!$A$2:$D$34, 3, FALSE) &lt;= P182)
            ),
                "Exceeded",
                "OK"
            ),
            "No Regulation defined"
        )
    ),
    ""
)</f>
        <v/>
      </c>
      <c r="AB182" s="62" t="str">
        <f t="shared" si="2"/>
        <v/>
      </c>
    </row>
    <row r="183" spans="3:28" x14ac:dyDescent="0.2">
      <c r="C183" s="69"/>
      <c r="D183" s="70"/>
      <c r="S183" s="34"/>
      <c r="T183" s="60" t="str">
        <f>IF(P183&lt;&gt;"",
    IF(OR(O183="", Q183="", R183=""),
        "Fill all the required columns",
        IFERROR(
            IF(OR(
                AND(R183="Marine Protected", VLOOKUP(O183, Reference!$A$2:$D$34, 4, FALSE) &lt;= P183),
                AND(R183="General Use", VLOOKUP(O183, Reference!$A$2:$D$34, 3, FALSE) &lt;= P183)
            ),
                "Exceeded",
                "OK"
            ),
            "No Regulation defined"
        )
    ),
    ""
)</f>
        <v/>
      </c>
      <c r="AB183" s="62" t="str">
        <f t="shared" si="2"/>
        <v/>
      </c>
    </row>
    <row r="184" spans="3:28" x14ac:dyDescent="0.2">
      <c r="C184" s="69"/>
      <c r="D184" s="70"/>
      <c r="S184" s="34"/>
      <c r="T184" s="60" t="str">
        <f>IF(P184&lt;&gt;"",
    IF(OR(O184="", Q184="", R184=""),
        "Fill all the required columns",
        IFERROR(
            IF(OR(
                AND(R184="Marine Protected", VLOOKUP(O184, Reference!$A$2:$D$34, 4, FALSE) &lt;= P184),
                AND(R184="General Use", VLOOKUP(O184, Reference!$A$2:$D$34, 3, FALSE) &lt;= P184)
            ),
                "Exceeded",
                "OK"
            ),
            "No Regulation defined"
        )
    ),
    ""
)</f>
        <v/>
      </c>
      <c r="AB184" s="62" t="str">
        <f t="shared" si="2"/>
        <v/>
      </c>
    </row>
    <row r="185" spans="3:28" x14ac:dyDescent="0.2">
      <c r="C185" s="69"/>
      <c r="D185" s="70"/>
      <c r="S185" s="34"/>
      <c r="T185" s="60" t="str">
        <f>IF(P185&lt;&gt;"",
    IF(OR(O185="", Q185="", R185=""),
        "Fill all the required columns",
        IFERROR(
            IF(OR(
                AND(R185="Marine Protected", VLOOKUP(O185, Reference!$A$2:$D$34, 4, FALSE) &lt;= P185),
                AND(R185="General Use", VLOOKUP(O185, Reference!$A$2:$D$34, 3, FALSE) &lt;= P185)
            ),
                "Exceeded",
                "OK"
            ),
            "No Regulation defined"
        )
    ),
    ""
)</f>
        <v/>
      </c>
      <c r="AB185" s="62" t="str">
        <f t="shared" si="2"/>
        <v/>
      </c>
    </row>
    <row r="186" spans="3:28" x14ac:dyDescent="0.2">
      <c r="C186" s="69"/>
      <c r="D186" s="70"/>
      <c r="S186" s="34"/>
      <c r="T186" s="60" t="str">
        <f>IF(P186&lt;&gt;"",
    IF(OR(O186="", Q186="", R186=""),
        "Fill all the required columns",
        IFERROR(
            IF(OR(
                AND(R186="Marine Protected", VLOOKUP(O186, Reference!$A$2:$D$34, 4, FALSE) &lt;= P186),
                AND(R186="General Use", VLOOKUP(O186, Reference!$A$2:$D$34, 3, FALSE) &lt;= P186)
            ),
                "Exceeded",
                "OK"
            ),
            "No Regulation defined"
        )
    ),
    ""
)</f>
        <v/>
      </c>
      <c r="AB186" s="62" t="str">
        <f t="shared" si="2"/>
        <v/>
      </c>
    </row>
    <row r="187" spans="3:28" x14ac:dyDescent="0.2">
      <c r="C187" s="69"/>
      <c r="D187" s="70"/>
      <c r="S187" s="34"/>
      <c r="T187" s="60" t="str">
        <f>IF(P187&lt;&gt;"",
    IF(OR(O187="", Q187="", R187=""),
        "Fill all the required columns",
        IFERROR(
            IF(OR(
                AND(R187="Marine Protected", VLOOKUP(O187, Reference!$A$2:$D$34, 4, FALSE) &lt;= P187),
                AND(R187="General Use", VLOOKUP(O187, Reference!$A$2:$D$34, 3, FALSE) &lt;= P187)
            ),
                "Exceeded",
                "OK"
            ),
            "No Regulation defined"
        )
    ),
    ""
)</f>
        <v/>
      </c>
      <c r="AB187" s="62" t="str">
        <f t="shared" si="2"/>
        <v/>
      </c>
    </row>
    <row r="188" spans="3:28" x14ac:dyDescent="0.2">
      <c r="C188" s="69"/>
      <c r="D188" s="70"/>
      <c r="S188" s="34"/>
      <c r="T188" s="60" t="str">
        <f>IF(P188&lt;&gt;"",
    IF(OR(O188="", Q188="", R188=""),
        "Fill all the required columns",
        IFERROR(
            IF(OR(
                AND(R188="Marine Protected", VLOOKUP(O188, Reference!$A$2:$D$34, 4, FALSE) &lt;= P188),
                AND(R188="General Use", VLOOKUP(O188, Reference!$A$2:$D$34, 3, FALSE) &lt;= P188)
            ),
                "Exceeded",
                "OK"
            ),
            "No Regulation defined"
        )
    ),
    ""
)</f>
        <v/>
      </c>
      <c r="AB188" s="62" t="str">
        <f t="shared" si="2"/>
        <v/>
      </c>
    </row>
    <row r="189" spans="3:28" x14ac:dyDescent="0.2">
      <c r="C189" s="69"/>
      <c r="D189" s="70"/>
      <c r="S189" s="34"/>
      <c r="T189" s="60" t="str">
        <f>IF(P189&lt;&gt;"",
    IF(OR(O189="", Q189="", R189=""),
        "Fill all the required columns",
        IFERROR(
            IF(OR(
                AND(R189="Marine Protected", VLOOKUP(O189, Reference!$A$2:$D$34, 4, FALSE) &lt;= P189),
                AND(R189="General Use", VLOOKUP(O189, Reference!$A$2:$D$34, 3, FALSE) &lt;= P189)
            ),
                "Exceeded",
                "OK"
            ),
            "No Regulation defined"
        )
    ),
    ""
)</f>
        <v/>
      </c>
      <c r="AB189" s="62" t="str">
        <f t="shared" si="2"/>
        <v/>
      </c>
    </row>
    <row r="190" spans="3:28" x14ac:dyDescent="0.2">
      <c r="C190" s="69"/>
      <c r="D190" s="70"/>
      <c r="S190" s="34"/>
      <c r="T190" s="60" t="str">
        <f>IF(P190&lt;&gt;"",
    IF(OR(O190="", Q190="", R190=""),
        "Fill all the required columns",
        IFERROR(
            IF(OR(
                AND(R190="Marine Protected", VLOOKUP(O190, Reference!$A$2:$D$34, 4, FALSE) &lt;= P190),
                AND(R190="General Use", VLOOKUP(O190, Reference!$A$2:$D$34, 3, FALSE) &lt;= P190)
            ),
                "Exceeded",
                "OK"
            ),
            "No Regulation defined"
        )
    ),
    ""
)</f>
        <v/>
      </c>
      <c r="AB190" s="62" t="str">
        <f t="shared" si="2"/>
        <v/>
      </c>
    </row>
    <row r="191" spans="3:28" x14ac:dyDescent="0.2">
      <c r="C191" s="69"/>
      <c r="D191" s="70"/>
      <c r="S191" s="34"/>
      <c r="T191" s="60" t="str">
        <f>IF(P191&lt;&gt;"",
    IF(OR(O191="", Q191="", R191=""),
        "Fill all the required columns",
        IFERROR(
            IF(OR(
                AND(R191="Marine Protected", VLOOKUP(O191, Reference!$A$2:$D$34, 4, FALSE) &lt;= P191),
                AND(R191="General Use", VLOOKUP(O191, Reference!$A$2:$D$34, 3, FALSE) &lt;= P191)
            ),
                "Exceeded",
                "OK"
            ),
            "No Regulation defined"
        )
    ),
    ""
)</f>
        <v/>
      </c>
      <c r="AB191" s="62" t="str">
        <f t="shared" si="2"/>
        <v/>
      </c>
    </row>
    <row r="192" spans="3:28" x14ac:dyDescent="0.2">
      <c r="C192" s="69"/>
      <c r="D192" s="70"/>
      <c r="S192" s="34"/>
      <c r="T192" s="60" t="str">
        <f>IF(P192&lt;&gt;"",
    IF(OR(O192="", Q192="", R192=""),
        "Fill all the required columns",
        IFERROR(
            IF(OR(
                AND(R192="Marine Protected", VLOOKUP(O192, Reference!$A$2:$D$34, 4, FALSE) &lt;= P192),
                AND(R192="General Use", VLOOKUP(O192, Reference!$A$2:$D$34, 3, FALSE) &lt;= P192)
            ),
                "Exceeded",
                "OK"
            ),
            "No Regulation defined"
        )
    ),
    ""
)</f>
        <v/>
      </c>
      <c r="AB192" s="62" t="str">
        <f t="shared" si="2"/>
        <v/>
      </c>
    </row>
    <row r="193" spans="3:28" x14ac:dyDescent="0.2">
      <c r="C193" s="69"/>
      <c r="D193" s="70"/>
      <c r="S193" s="34"/>
      <c r="T193" s="60" t="str">
        <f>IF(P193&lt;&gt;"",
    IF(OR(O193="", Q193="", R193=""),
        "Fill all the required columns",
        IFERROR(
            IF(OR(
                AND(R193="Marine Protected", VLOOKUP(O193, Reference!$A$2:$D$34, 4, FALSE) &lt;= P193),
                AND(R193="General Use", VLOOKUP(O193, Reference!$A$2:$D$34, 3, FALSE) &lt;= P193)
            ),
                "Exceeded",
                "OK"
            ),
            "No Regulation defined"
        )
    ),
    ""
)</f>
        <v/>
      </c>
      <c r="AB193" s="62" t="str">
        <f t="shared" si="2"/>
        <v/>
      </c>
    </row>
    <row r="194" spans="3:28" x14ac:dyDescent="0.2">
      <c r="C194" s="69"/>
      <c r="D194" s="70"/>
      <c r="S194" s="34"/>
      <c r="T194" s="60" t="str">
        <f>IF(P194&lt;&gt;"",
    IF(OR(O194="", Q194="", R194=""),
        "Fill all the required columns",
        IFERROR(
            IF(OR(
                AND(R194="Marine Protected", VLOOKUP(O194, Reference!$A$2:$D$34, 4, FALSE) &lt;= P194),
                AND(R194="General Use", VLOOKUP(O194, Reference!$A$2:$D$34, 3, FALSE) &lt;= P194)
            ),
                "Exceeded",
                "OK"
            ),
            "No Regulation defined"
        )
    ),
    ""
)</f>
        <v/>
      </c>
      <c r="AB194" s="62" t="str">
        <f t="shared" si="2"/>
        <v/>
      </c>
    </row>
    <row r="195" spans="3:28" x14ac:dyDescent="0.2">
      <c r="C195" s="69"/>
      <c r="D195" s="70"/>
      <c r="S195" s="34"/>
      <c r="T195" s="60" t="str">
        <f>IF(P195&lt;&gt;"",
    IF(OR(O195="", Q195="", R195=""),
        "Fill all the required columns",
        IFERROR(
            IF(OR(
                AND(R195="Marine Protected", VLOOKUP(O195, Reference!$A$2:$D$34, 4, FALSE) &lt;= P195),
                AND(R195="General Use", VLOOKUP(O195, Reference!$A$2:$D$34, 3, FALSE) &lt;= P195)
            ),
                "Exceeded",
                "OK"
            ),
            "No Regulation defined"
        )
    ),
    ""
)</f>
        <v/>
      </c>
      <c r="AB195" s="62" t="str">
        <f t="shared" ref="AB195:AB258" si="3">IF(COUNTA(A195, E195, F195, H195, I195, O195, P195, Q195, R195,S195) = 0, "", IF(COUNTA(A195, E195, F195, H195, I195, O195, P195, Q195, R195,S195) = 10, "OK", "Incomplete"))</f>
        <v/>
      </c>
    </row>
    <row r="196" spans="3:28" x14ac:dyDescent="0.2">
      <c r="C196" s="69"/>
      <c r="D196" s="70"/>
      <c r="S196" s="34"/>
      <c r="T196" s="60" t="str">
        <f>IF(P196&lt;&gt;"",
    IF(OR(O196="", Q196="", R196=""),
        "Fill all the required columns",
        IFERROR(
            IF(OR(
                AND(R196="Marine Protected", VLOOKUP(O196, Reference!$A$2:$D$34, 4, FALSE) &lt;= P196),
                AND(R196="General Use", VLOOKUP(O196, Reference!$A$2:$D$34, 3, FALSE) &lt;= P196)
            ),
                "Exceeded",
                "OK"
            ),
            "No Regulation defined"
        )
    ),
    ""
)</f>
        <v/>
      </c>
      <c r="AB196" s="62" t="str">
        <f t="shared" si="3"/>
        <v/>
      </c>
    </row>
    <row r="197" spans="3:28" x14ac:dyDescent="0.2">
      <c r="C197" s="69"/>
      <c r="D197" s="70"/>
      <c r="S197" s="34"/>
      <c r="T197" s="60" t="str">
        <f>IF(P197&lt;&gt;"",
    IF(OR(O197="", Q197="", R197=""),
        "Fill all the required columns",
        IFERROR(
            IF(OR(
                AND(R197="Marine Protected", VLOOKUP(O197, Reference!$A$2:$D$34, 4, FALSE) &lt;= P197),
                AND(R197="General Use", VLOOKUP(O197, Reference!$A$2:$D$34, 3, FALSE) &lt;= P197)
            ),
                "Exceeded",
                "OK"
            ),
            "No Regulation defined"
        )
    ),
    ""
)</f>
        <v/>
      </c>
      <c r="AB197" s="62" t="str">
        <f t="shared" si="3"/>
        <v/>
      </c>
    </row>
    <row r="198" spans="3:28" x14ac:dyDescent="0.2">
      <c r="C198" s="69"/>
      <c r="D198" s="70"/>
      <c r="S198" s="34"/>
      <c r="T198" s="60" t="str">
        <f>IF(P198&lt;&gt;"",
    IF(OR(O198="", Q198="", R198=""),
        "Fill all the required columns",
        IFERROR(
            IF(OR(
                AND(R198="Marine Protected", VLOOKUP(O198, Reference!$A$2:$D$34, 4, FALSE) &lt;= P198),
                AND(R198="General Use", VLOOKUP(O198, Reference!$A$2:$D$34, 3, FALSE) &lt;= P198)
            ),
                "Exceeded",
                "OK"
            ),
            "No Regulation defined"
        )
    ),
    ""
)</f>
        <v/>
      </c>
      <c r="AB198" s="62" t="str">
        <f t="shared" si="3"/>
        <v/>
      </c>
    </row>
    <row r="199" spans="3:28" x14ac:dyDescent="0.2">
      <c r="C199" s="69"/>
      <c r="D199" s="70"/>
      <c r="S199" s="34"/>
      <c r="T199" s="60" t="str">
        <f>IF(P199&lt;&gt;"",
    IF(OR(O199="", Q199="", R199=""),
        "Fill all the required columns",
        IFERROR(
            IF(OR(
                AND(R199="Marine Protected", VLOOKUP(O199, Reference!$A$2:$D$34, 4, FALSE) &lt;= P199),
                AND(R199="General Use", VLOOKUP(O199, Reference!$A$2:$D$34, 3, FALSE) &lt;= P199)
            ),
                "Exceeded",
                "OK"
            ),
            "No Regulation defined"
        )
    ),
    ""
)</f>
        <v/>
      </c>
      <c r="AB199" s="62" t="str">
        <f t="shared" si="3"/>
        <v/>
      </c>
    </row>
    <row r="200" spans="3:28" x14ac:dyDescent="0.2">
      <c r="C200" s="69"/>
      <c r="D200" s="70"/>
      <c r="S200" s="34"/>
      <c r="T200" s="60" t="str">
        <f>IF(P200&lt;&gt;"",
    IF(OR(O200="", Q200="", R200=""),
        "Fill all the required columns",
        IFERROR(
            IF(OR(
                AND(R200="Marine Protected", VLOOKUP(O200, Reference!$A$2:$D$34, 4, FALSE) &lt;= P200),
                AND(R200="General Use", VLOOKUP(O200, Reference!$A$2:$D$34, 3, FALSE) &lt;= P200)
            ),
                "Exceeded",
                "OK"
            ),
            "No Regulation defined"
        )
    ),
    ""
)</f>
        <v/>
      </c>
      <c r="AB200" s="62" t="str">
        <f t="shared" si="3"/>
        <v/>
      </c>
    </row>
    <row r="201" spans="3:28" x14ac:dyDescent="0.2">
      <c r="C201" s="69"/>
      <c r="D201" s="70"/>
      <c r="S201" s="34"/>
      <c r="T201" s="60" t="str">
        <f>IF(P201&lt;&gt;"",
    IF(OR(O201="", Q201="", R201=""),
        "Fill all the required columns",
        IFERROR(
            IF(OR(
                AND(R201="Marine Protected", VLOOKUP(O201, Reference!$A$2:$D$34, 4, FALSE) &lt;= P201),
                AND(R201="General Use", VLOOKUP(O201, Reference!$A$2:$D$34, 3, FALSE) &lt;= P201)
            ),
                "Exceeded",
                "OK"
            ),
            "No Regulation defined"
        )
    ),
    ""
)</f>
        <v/>
      </c>
      <c r="AB201" s="62" t="str">
        <f t="shared" si="3"/>
        <v/>
      </c>
    </row>
    <row r="202" spans="3:28" x14ac:dyDescent="0.2">
      <c r="C202" s="69"/>
      <c r="D202" s="70"/>
      <c r="S202" s="34"/>
      <c r="T202" s="60" t="str">
        <f>IF(P202&lt;&gt;"",
    IF(OR(O202="", Q202="", R202=""),
        "Fill all the required columns",
        IFERROR(
            IF(OR(
                AND(R202="Marine Protected", VLOOKUP(O202, Reference!$A$2:$D$34, 4, FALSE) &lt;= P202),
                AND(R202="General Use", VLOOKUP(O202, Reference!$A$2:$D$34, 3, FALSE) &lt;= P202)
            ),
                "Exceeded",
                "OK"
            ),
            "No Regulation defined"
        )
    ),
    ""
)</f>
        <v/>
      </c>
      <c r="AB202" s="62" t="str">
        <f t="shared" si="3"/>
        <v/>
      </c>
    </row>
    <row r="203" spans="3:28" x14ac:dyDescent="0.2">
      <c r="C203" s="69"/>
      <c r="D203" s="70"/>
      <c r="S203" s="34"/>
      <c r="T203" s="60" t="str">
        <f>IF(P203&lt;&gt;"",
    IF(OR(O203="", Q203="", R203=""),
        "Fill all the required columns",
        IFERROR(
            IF(OR(
                AND(R203="Marine Protected", VLOOKUP(O203, Reference!$A$2:$D$34, 4, FALSE) &lt;= P203),
                AND(R203="General Use", VLOOKUP(O203, Reference!$A$2:$D$34, 3, FALSE) &lt;= P203)
            ),
                "Exceeded",
                "OK"
            ),
            "No Regulation defined"
        )
    ),
    ""
)</f>
        <v/>
      </c>
      <c r="AB203" s="62" t="str">
        <f t="shared" si="3"/>
        <v/>
      </c>
    </row>
    <row r="204" spans="3:28" x14ac:dyDescent="0.2">
      <c r="C204" s="69"/>
      <c r="D204" s="70"/>
      <c r="S204" s="34"/>
      <c r="T204" s="60" t="str">
        <f>IF(P204&lt;&gt;"",
    IF(OR(O204="", Q204="", R204=""),
        "Fill all the required columns",
        IFERROR(
            IF(OR(
                AND(R204="Marine Protected", VLOOKUP(O204, Reference!$A$2:$D$34, 4, FALSE) &lt;= P204),
                AND(R204="General Use", VLOOKUP(O204, Reference!$A$2:$D$34, 3, FALSE) &lt;= P204)
            ),
                "Exceeded",
                "OK"
            ),
            "No Regulation defined"
        )
    ),
    ""
)</f>
        <v/>
      </c>
      <c r="AB204" s="62" t="str">
        <f t="shared" si="3"/>
        <v/>
      </c>
    </row>
    <row r="205" spans="3:28" x14ac:dyDescent="0.2">
      <c r="C205" s="69"/>
      <c r="D205" s="70"/>
      <c r="S205" s="34"/>
      <c r="T205" s="60" t="str">
        <f>IF(P205&lt;&gt;"",
    IF(OR(O205="", Q205="", R205=""),
        "Fill all the required columns",
        IFERROR(
            IF(OR(
                AND(R205="Marine Protected", VLOOKUP(O205, Reference!$A$2:$D$34, 4, FALSE) &lt;= P205),
                AND(R205="General Use", VLOOKUP(O205, Reference!$A$2:$D$34, 3, FALSE) &lt;= P205)
            ),
                "Exceeded",
                "OK"
            ),
            "No Regulation defined"
        )
    ),
    ""
)</f>
        <v/>
      </c>
      <c r="AB205" s="62" t="str">
        <f t="shared" si="3"/>
        <v/>
      </c>
    </row>
    <row r="206" spans="3:28" x14ac:dyDescent="0.2">
      <c r="C206" s="69"/>
      <c r="D206" s="70"/>
      <c r="S206" s="34"/>
      <c r="T206" s="60" t="str">
        <f>IF(P206&lt;&gt;"",
    IF(OR(O206="", Q206="", R206=""),
        "Fill all the required columns",
        IFERROR(
            IF(OR(
                AND(R206="Marine Protected", VLOOKUP(O206, Reference!$A$2:$D$34, 4, FALSE) &lt;= P206),
                AND(R206="General Use", VLOOKUP(O206, Reference!$A$2:$D$34, 3, FALSE) &lt;= P206)
            ),
                "Exceeded",
                "OK"
            ),
            "No Regulation defined"
        )
    ),
    ""
)</f>
        <v/>
      </c>
      <c r="AB206" s="62" t="str">
        <f t="shared" si="3"/>
        <v/>
      </c>
    </row>
    <row r="207" spans="3:28" x14ac:dyDescent="0.2">
      <c r="C207" s="69"/>
      <c r="D207" s="70"/>
      <c r="S207" s="34"/>
      <c r="T207" s="60" t="str">
        <f>IF(P207&lt;&gt;"",
    IF(OR(O207="", Q207="", R207=""),
        "Fill all the required columns",
        IFERROR(
            IF(OR(
                AND(R207="Marine Protected", VLOOKUP(O207, Reference!$A$2:$D$34, 4, FALSE) &lt;= P207),
                AND(R207="General Use", VLOOKUP(O207, Reference!$A$2:$D$34, 3, FALSE) &lt;= P207)
            ),
                "Exceeded",
                "OK"
            ),
            "No Regulation defined"
        )
    ),
    ""
)</f>
        <v/>
      </c>
      <c r="AB207" s="62" t="str">
        <f t="shared" si="3"/>
        <v/>
      </c>
    </row>
    <row r="208" spans="3:28" x14ac:dyDescent="0.2">
      <c r="C208" s="69"/>
      <c r="D208" s="70"/>
      <c r="S208" s="34"/>
      <c r="T208" s="60" t="str">
        <f>IF(P208&lt;&gt;"",
    IF(OR(O208="", Q208="", R208=""),
        "Fill all the required columns",
        IFERROR(
            IF(OR(
                AND(R208="Marine Protected", VLOOKUP(O208, Reference!$A$2:$D$34, 4, FALSE) &lt;= P208),
                AND(R208="General Use", VLOOKUP(O208, Reference!$A$2:$D$34, 3, FALSE) &lt;= P208)
            ),
                "Exceeded",
                "OK"
            ),
            "No Regulation defined"
        )
    ),
    ""
)</f>
        <v/>
      </c>
      <c r="AB208" s="62" t="str">
        <f t="shared" si="3"/>
        <v/>
      </c>
    </row>
    <row r="209" spans="3:28" x14ac:dyDescent="0.2">
      <c r="C209" s="69"/>
      <c r="D209" s="70"/>
      <c r="S209" s="34"/>
      <c r="T209" s="60" t="str">
        <f>IF(P209&lt;&gt;"",
    IF(OR(O209="", Q209="", R209=""),
        "Fill all the required columns",
        IFERROR(
            IF(OR(
                AND(R209="Marine Protected", VLOOKUP(O209, Reference!$A$2:$D$34, 4, FALSE) &lt;= P209),
                AND(R209="General Use", VLOOKUP(O209, Reference!$A$2:$D$34, 3, FALSE) &lt;= P209)
            ),
                "Exceeded",
                "OK"
            ),
            "No Regulation defined"
        )
    ),
    ""
)</f>
        <v/>
      </c>
      <c r="AB209" s="62" t="str">
        <f t="shared" si="3"/>
        <v/>
      </c>
    </row>
    <row r="210" spans="3:28" x14ac:dyDescent="0.2">
      <c r="C210" s="69"/>
      <c r="D210" s="70"/>
      <c r="S210" s="34"/>
      <c r="T210" s="60" t="str">
        <f>IF(P210&lt;&gt;"",
    IF(OR(O210="", Q210="", R210=""),
        "Fill all the required columns",
        IFERROR(
            IF(OR(
                AND(R210="Marine Protected", VLOOKUP(O210, Reference!$A$2:$D$34, 4, FALSE) &lt;= P210),
                AND(R210="General Use", VLOOKUP(O210, Reference!$A$2:$D$34, 3, FALSE) &lt;= P210)
            ),
                "Exceeded",
                "OK"
            ),
            "No Regulation defined"
        )
    ),
    ""
)</f>
        <v/>
      </c>
      <c r="AB210" s="62" t="str">
        <f t="shared" si="3"/>
        <v/>
      </c>
    </row>
    <row r="211" spans="3:28" x14ac:dyDescent="0.2">
      <c r="C211" s="69"/>
      <c r="D211" s="70"/>
      <c r="S211" s="34"/>
      <c r="T211" s="60" t="str">
        <f>IF(P211&lt;&gt;"",
    IF(OR(O211="", Q211="", R211=""),
        "Fill all the required columns",
        IFERROR(
            IF(OR(
                AND(R211="Marine Protected", VLOOKUP(O211, Reference!$A$2:$D$34, 4, FALSE) &lt;= P211),
                AND(R211="General Use", VLOOKUP(O211, Reference!$A$2:$D$34, 3, FALSE) &lt;= P211)
            ),
                "Exceeded",
                "OK"
            ),
            "No Regulation defined"
        )
    ),
    ""
)</f>
        <v/>
      </c>
      <c r="AB211" s="62" t="str">
        <f t="shared" si="3"/>
        <v/>
      </c>
    </row>
    <row r="212" spans="3:28" x14ac:dyDescent="0.2">
      <c r="C212" s="69"/>
      <c r="D212" s="70"/>
      <c r="S212" s="34"/>
      <c r="T212" s="60" t="str">
        <f>IF(P212&lt;&gt;"",
    IF(OR(O212="", Q212="", R212=""),
        "Fill all the required columns",
        IFERROR(
            IF(OR(
                AND(R212="Marine Protected", VLOOKUP(O212, Reference!$A$2:$D$34, 4, FALSE) &lt;= P212),
                AND(R212="General Use", VLOOKUP(O212, Reference!$A$2:$D$34, 3, FALSE) &lt;= P212)
            ),
                "Exceeded",
                "OK"
            ),
            "No Regulation defined"
        )
    ),
    ""
)</f>
        <v/>
      </c>
      <c r="AB212" s="62" t="str">
        <f t="shared" si="3"/>
        <v/>
      </c>
    </row>
    <row r="213" spans="3:28" x14ac:dyDescent="0.2">
      <c r="C213" s="69"/>
      <c r="D213" s="70"/>
      <c r="S213" s="34"/>
      <c r="T213" s="60" t="str">
        <f>IF(P213&lt;&gt;"",
    IF(OR(O213="", Q213="", R213=""),
        "Fill all the required columns",
        IFERROR(
            IF(OR(
                AND(R213="Marine Protected", VLOOKUP(O213, Reference!$A$2:$D$34, 4, FALSE) &lt;= P213),
                AND(R213="General Use", VLOOKUP(O213, Reference!$A$2:$D$34, 3, FALSE) &lt;= P213)
            ),
                "Exceeded",
                "OK"
            ),
            "No Regulation defined"
        )
    ),
    ""
)</f>
        <v/>
      </c>
      <c r="AB213" s="62" t="str">
        <f t="shared" si="3"/>
        <v/>
      </c>
    </row>
    <row r="214" spans="3:28" x14ac:dyDescent="0.2">
      <c r="C214" s="69"/>
      <c r="D214" s="70"/>
      <c r="S214" s="34"/>
      <c r="T214" s="60" t="str">
        <f>IF(P214&lt;&gt;"",
    IF(OR(O214="", Q214="", R214=""),
        "Fill all the required columns",
        IFERROR(
            IF(OR(
                AND(R214="Marine Protected", VLOOKUP(O214, Reference!$A$2:$D$34, 4, FALSE) &lt;= P214),
                AND(R214="General Use", VLOOKUP(O214, Reference!$A$2:$D$34, 3, FALSE) &lt;= P214)
            ),
                "Exceeded",
                "OK"
            ),
            "No Regulation defined"
        )
    ),
    ""
)</f>
        <v/>
      </c>
      <c r="AB214" s="62" t="str">
        <f t="shared" si="3"/>
        <v/>
      </c>
    </row>
    <row r="215" spans="3:28" x14ac:dyDescent="0.2">
      <c r="C215" s="69"/>
      <c r="D215" s="70"/>
      <c r="S215" s="34"/>
      <c r="T215" s="60" t="str">
        <f>IF(P215&lt;&gt;"",
    IF(OR(O215="", Q215="", R215=""),
        "Fill all the required columns",
        IFERROR(
            IF(OR(
                AND(R215="Marine Protected", VLOOKUP(O215, Reference!$A$2:$D$34, 4, FALSE) &lt;= P215),
                AND(R215="General Use", VLOOKUP(O215, Reference!$A$2:$D$34, 3, FALSE) &lt;= P215)
            ),
                "Exceeded",
                "OK"
            ),
            "No Regulation defined"
        )
    ),
    ""
)</f>
        <v/>
      </c>
      <c r="AB215" s="62" t="str">
        <f t="shared" si="3"/>
        <v/>
      </c>
    </row>
    <row r="216" spans="3:28" x14ac:dyDescent="0.2">
      <c r="C216" s="69"/>
      <c r="D216" s="70"/>
      <c r="S216" s="34"/>
      <c r="T216" s="60" t="str">
        <f>IF(P216&lt;&gt;"",
    IF(OR(O216="", Q216="", R216=""),
        "Fill all the required columns",
        IFERROR(
            IF(OR(
                AND(R216="Marine Protected", VLOOKUP(O216, Reference!$A$2:$D$34, 4, FALSE) &lt;= P216),
                AND(R216="General Use", VLOOKUP(O216, Reference!$A$2:$D$34, 3, FALSE) &lt;= P216)
            ),
                "Exceeded",
                "OK"
            ),
            "No Regulation defined"
        )
    ),
    ""
)</f>
        <v/>
      </c>
      <c r="AB216" s="62" t="str">
        <f t="shared" si="3"/>
        <v/>
      </c>
    </row>
    <row r="217" spans="3:28" x14ac:dyDescent="0.2">
      <c r="C217" s="69"/>
      <c r="D217" s="70"/>
      <c r="S217" s="34"/>
      <c r="T217" s="60" t="str">
        <f>IF(P217&lt;&gt;"",
    IF(OR(O217="", Q217="", R217=""),
        "Fill all the required columns",
        IFERROR(
            IF(OR(
                AND(R217="Marine Protected", VLOOKUP(O217, Reference!$A$2:$D$34, 4, FALSE) &lt;= P217),
                AND(R217="General Use", VLOOKUP(O217, Reference!$A$2:$D$34, 3, FALSE) &lt;= P217)
            ),
                "Exceeded",
                "OK"
            ),
            "No Regulation defined"
        )
    ),
    ""
)</f>
        <v/>
      </c>
      <c r="AB217" s="62" t="str">
        <f t="shared" si="3"/>
        <v/>
      </c>
    </row>
    <row r="218" spans="3:28" x14ac:dyDescent="0.2">
      <c r="C218" s="69"/>
      <c r="D218" s="70"/>
      <c r="S218" s="34"/>
      <c r="T218" s="60" t="str">
        <f>IF(P218&lt;&gt;"",
    IF(OR(O218="", Q218="", R218=""),
        "Fill all the required columns",
        IFERROR(
            IF(OR(
                AND(R218="Marine Protected", VLOOKUP(O218, Reference!$A$2:$D$34, 4, FALSE) &lt;= P218),
                AND(R218="General Use", VLOOKUP(O218, Reference!$A$2:$D$34, 3, FALSE) &lt;= P218)
            ),
                "Exceeded",
                "OK"
            ),
            "No Regulation defined"
        )
    ),
    ""
)</f>
        <v/>
      </c>
      <c r="AB218" s="62" t="str">
        <f t="shared" si="3"/>
        <v/>
      </c>
    </row>
    <row r="219" spans="3:28" x14ac:dyDescent="0.2">
      <c r="C219" s="69"/>
      <c r="D219" s="70"/>
      <c r="S219" s="34"/>
      <c r="T219" s="60" t="str">
        <f>IF(P219&lt;&gt;"",
    IF(OR(O219="", Q219="", R219=""),
        "Fill all the required columns",
        IFERROR(
            IF(OR(
                AND(R219="Marine Protected", VLOOKUP(O219, Reference!$A$2:$D$34, 4, FALSE) &lt;= P219),
                AND(R219="General Use", VLOOKUP(O219, Reference!$A$2:$D$34, 3, FALSE) &lt;= P219)
            ),
                "Exceeded",
                "OK"
            ),
            "No Regulation defined"
        )
    ),
    ""
)</f>
        <v/>
      </c>
      <c r="AB219" s="62" t="str">
        <f t="shared" si="3"/>
        <v/>
      </c>
    </row>
    <row r="220" spans="3:28" x14ac:dyDescent="0.2">
      <c r="C220" s="69"/>
      <c r="D220" s="70"/>
      <c r="S220" s="34"/>
      <c r="T220" s="60" t="str">
        <f>IF(P220&lt;&gt;"",
    IF(OR(O220="", Q220="", R220=""),
        "Fill all the required columns",
        IFERROR(
            IF(OR(
                AND(R220="Marine Protected", VLOOKUP(O220, Reference!$A$2:$D$34, 4, FALSE) &lt;= P220),
                AND(R220="General Use", VLOOKUP(O220, Reference!$A$2:$D$34, 3, FALSE) &lt;= P220)
            ),
                "Exceeded",
                "OK"
            ),
            "No Regulation defined"
        )
    ),
    ""
)</f>
        <v/>
      </c>
      <c r="AB220" s="62" t="str">
        <f t="shared" si="3"/>
        <v/>
      </c>
    </row>
    <row r="221" spans="3:28" x14ac:dyDescent="0.2">
      <c r="C221" s="69"/>
      <c r="D221" s="70"/>
      <c r="S221" s="34"/>
      <c r="T221" s="60" t="str">
        <f>IF(P221&lt;&gt;"",
    IF(OR(O221="", Q221="", R221=""),
        "Fill all the required columns",
        IFERROR(
            IF(OR(
                AND(R221="Marine Protected", VLOOKUP(O221, Reference!$A$2:$D$34, 4, FALSE) &lt;= P221),
                AND(R221="General Use", VLOOKUP(O221, Reference!$A$2:$D$34, 3, FALSE) &lt;= P221)
            ),
                "Exceeded",
                "OK"
            ),
            "No Regulation defined"
        )
    ),
    ""
)</f>
        <v/>
      </c>
      <c r="AB221" s="62" t="str">
        <f t="shared" si="3"/>
        <v/>
      </c>
    </row>
    <row r="222" spans="3:28" x14ac:dyDescent="0.2">
      <c r="C222" s="69"/>
      <c r="D222" s="70"/>
      <c r="S222" s="34"/>
      <c r="T222" s="60" t="str">
        <f>IF(P222&lt;&gt;"",
    IF(OR(O222="", Q222="", R222=""),
        "Fill all the required columns",
        IFERROR(
            IF(OR(
                AND(R222="Marine Protected", VLOOKUP(O222, Reference!$A$2:$D$34, 4, FALSE) &lt;= P222),
                AND(R222="General Use", VLOOKUP(O222, Reference!$A$2:$D$34, 3, FALSE) &lt;= P222)
            ),
                "Exceeded",
                "OK"
            ),
            "No Regulation defined"
        )
    ),
    ""
)</f>
        <v/>
      </c>
      <c r="AB222" s="62" t="str">
        <f t="shared" si="3"/>
        <v/>
      </c>
    </row>
    <row r="223" spans="3:28" x14ac:dyDescent="0.2">
      <c r="C223" s="69"/>
      <c r="D223" s="70"/>
      <c r="S223" s="34"/>
      <c r="T223" s="60" t="str">
        <f>IF(P223&lt;&gt;"",
    IF(OR(O223="", Q223="", R223=""),
        "Fill all the required columns",
        IFERROR(
            IF(OR(
                AND(R223="Marine Protected", VLOOKUP(O223, Reference!$A$2:$D$34, 4, FALSE) &lt;= P223),
                AND(R223="General Use", VLOOKUP(O223, Reference!$A$2:$D$34, 3, FALSE) &lt;= P223)
            ),
                "Exceeded",
                "OK"
            ),
            "No Regulation defined"
        )
    ),
    ""
)</f>
        <v/>
      </c>
      <c r="AB223" s="62" t="str">
        <f t="shared" si="3"/>
        <v/>
      </c>
    </row>
    <row r="224" spans="3:28" x14ac:dyDescent="0.2">
      <c r="C224" s="69"/>
      <c r="D224" s="70"/>
      <c r="S224" s="34"/>
      <c r="T224" s="60" t="str">
        <f>IF(P224&lt;&gt;"",
    IF(OR(O224="", Q224="", R224=""),
        "Fill all the required columns",
        IFERROR(
            IF(OR(
                AND(R224="Marine Protected", VLOOKUP(O224, Reference!$A$2:$D$34, 4, FALSE) &lt;= P224),
                AND(R224="General Use", VLOOKUP(O224, Reference!$A$2:$D$34, 3, FALSE) &lt;= P224)
            ),
                "Exceeded",
                "OK"
            ),
            "No Regulation defined"
        )
    ),
    ""
)</f>
        <v/>
      </c>
      <c r="AB224" s="62" t="str">
        <f t="shared" si="3"/>
        <v/>
      </c>
    </row>
    <row r="225" spans="3:28" x14ac:dyDescent="0.2">
      <c r="C225" s="69"/>
      <c r="D225" s="70"/>
      <c r="S225" s="34"/>
      <c r="T225" s="60" t="str">
        <f>IF(P225&lt;&gt;"",
    IF(OR(O225="", Q225="", R225=""),
        "Fill all the required columns",
        IFERROR(
            IF(OR(
                AND(R225="Marine Protected", VLOOKUP(O225, Reference!$A$2:$D$34, 4, FALSE) &lt;= P225),
                AND(R225="General Use", VLOOKUP(O225, Reference!$A$2:$D$34, 3, FALSE) &lt;= P225)
            ),
                "Exceeded",
                "OK"
            ),
            "No Regulation defined"
        )
    ),
    ""
)</f>
        <v/>
      </c>
      <c r="AB225" s="62" t="str">
        <f t="shared" si="3"/>
        <v/>
      </c>
    </row>
    <row r="226" spans="3:28" x14ac:dyDescent="0.2">
      <c r="C226" s="69"/>
      <c r="D226" s="70"/>
      <c r="S226" s="34"/>
      <c r="T226" s="60" t="str">
        <f>IF(P226&lt;&gt;"",
    IF(OR(O226="", Q226="", R226=""),
        "Fill all the required columns",
        IFERROR(
            IF(OR(
                AND(R226="Marine Protected", VLOOKUP(O226, Reference!$A$2:$D$34, 4, FALSE) &lt;= P226),
                AND(R226="General Use", VLOOKUP(O226, Reference!$A$2:$D$34, 3, FALSE) &lt;= P226)
            ),
                "Exceeded",
                "OK"
            ),
            "No Regulation defined"
        )
    ),
    ""
)</f>
        <v/>
      </c>
      <c r="AB226" s="62" t="str">
        <f t="shared" si="3"/>
        <v/>
      </c>
    </row>
    <row r="227" spans="3:28" x14ac:dyDescent="0.2">
      <c r="C227" s="69"/>
      <c r="D227" s="70"/>
      <c r="S227" s="34"/>
      <c r="T227" s="60" t="str">
        <f>IF(P227&lt;&gt;"",
    IF(OR(O227="", Q227="", R227=""),
        "Fill all the required columns",
        IFERROR(
            IF(OR(
                AND(R227="Marine Protected", VLOOKUP(O227, Reference!$A$2:$D$34, 4, FALSE) &lt;= P227),
                AND(R227="General Use", VLOOKUP(O227, Reference!$A$2:$D$34, 3, FALSE) &lt;= P227)
            ),
                "Exceeded",
                "OK"
            ),
            "No Regulation defined"
        )
    ),
    ""
)</f>
        <v/>
      </c>
      <c r="AB227" s="62" t="str">
        <f t="shared" si="3"/>
        <v/>
      </c>
    </row>
    <row r="228" spans="3:28" x14ac:dyDescent="0.2">
      <c r="C228" s="69"/>
      <c r="D228" s="70"/>
      <c r="S228" s="34"/>
      <c r="T228" s="60" t="str">
        <f>IF(P228&lt;&gt;"",
    IF(OR(O228="", Q228="", R228=""),
        "Fill all the required columns",
        IFERROR(
            IF(OR(
                AND(R228="Marine Protected", VLOOKUP(O228, Reference!$A$2:$D$34, 4, FALSE) &lt;= P228),
                AND(R228="General Use", VLOOKUP(O228, Reference!$A$2:$D$34, 3, FALSE) &lt;= P228)
            ),
                "Exceeded",
                "OK"
            ),
            "No Regulation defined"
        )
    ),
    ""
)</f>
        <v/>
      </c>
      <c r="AB228" s="62" t="str">
        <f t="shared" si="3"/>
        <v/>
      </c>
    </row>
    <row r="229" spans="3:28" x14ac:dyDescent="0.2">
      <c r="C229" s="69"/>
      <c r="D229" s="70"/>
      <c r="S229" s="34"/>
      <c r="T229" s="60" t="str">
        <f>IF(P229&lt;&gt;"",
    IF(OR(O229="", Q229="", R229=""),
        "Fill all the required columns",
        IFERROR(
            IF(OR(
                AND(R229="Marine Protected", VLOOKUP(O229, Reference!$A$2:$D$34, 4, FALSE) &lt;= P229),
                AND(R229="General Use", VLOOKUP(O229, Reference!$A$2:$D$34, 3, FALSE) &lt;= P229)
            ),
                "Exceeded",
                "OK"
            ),
            "No Regulation defined"
        )
    ),
    ""
)</f>
        <v/>
      </c>
      <c r="AB229" s="62" t="str">
        <f t="shared" si="3"/>
        <v/>
      </c>
    </row>
    <row r="230" spans="3:28" x14ac:dyDescent="0.2">
      <c r="C230" s="69"/>
      <c r="D230" s="70"/>
      <c r="S230" s="34"/>
      <c r="T230" s="60" t="str">
        <f>IF(P230&lt;&gt;"",
    IF(OR(O230="", Q230="", R230=""),
        "Fill all the required columns",
        IFERROR(
            IF(OR(
                AND(R230="Marine Protected", VLOOKUP(O230, Reference!$A$2:$D$34, 4, FALSE) &lt;= P230),
                AND(R230="General Use", VLOOKUP(O230, Reference!$A$2:$D$34, 3, FALSE) &lt;= P230)
            ),
                "Exceeded",
                "OK"
            ),
            "No Regulation defined"
        )
    ),
    ""
)</f>
        <v/>
      </c>
      <c r="AB230" s="62" t="str">
        <f t="shared" si="3"/>
        <v/>
      </c>
    </row>
    <row r="231" spans="3:28" x14ac:dyDescent="0.2">
      <c r="C231" s="69"/>
      <c r="D231" s="70"/>
      <c r="S231" s="34"/>
      <c r="T231" s="60" t="str">
        <f>IF(P231&lt;&gt;"",
    IF(OR(O231="", Q231="", R231=""),
        "Fill all the required columns",
        IFERROR(
            IF(OR(
                AND(R231="Marine Protected", VLOOKUP(O231, Reference!$A$2:$D$34, 4, FALSE) &lt;= P231),
                AND(R231="General Use", VLOOKUP(O231, Reference!$A$2:$D$34, 3, FALSE) &lt;= P231)
            ),
                "Exceeded",
                "OK"
            ),
            "No Regulation defined"
        )
    ),
    ""
)</f>
        <v/>
      </c>
      <c r="AB231" s="62" t="str">
        <f t="shared" si="3"/>
        <v/>
      </c>
    </row>
    <row r="232" spans="3:28" x14ac:dyDescent="0.2">
      <c r="C232" s="69"/>
      <c r="D232" s="70"/>
      <c r="S232" s="34"/>
      <c r="T232" s="60" t="str">
        <f>IF(P232&lt;&gt;"",
    IF(OR(O232="", Q232="", R232=""),
        "Fill all the required columns",
        IFERROR(
            IF(OR(
                AND(R232="Marine Protected", VLOOKUP(O232, Reference!$A$2:$D$34, 4, FALSE) &lt;= P232),
                AND(R232="General Use", VLOOKUP(O232, Reference!$A$2:$D$34, 3, FALSE) &lt;= P232)
            ),
                "Exceeded",
                "OK"
            ),
            "No Regulation defined"
        )
    ),
    ""
)</f>
        <v/>
      </c>
      <c r="AB232" s="62" t="str">
        <f t="shared" si="3"/>
        <v/>
      </c>
    </row>
    <row r="233" spans="3:28" x14ac:dyDescent="0.2">
      <c r="C233" s="69"/>
      <c r="D233" s="70"/>
      <c r="S233" s="34"/>
      <c r="T233" s="60" t="str">
        <f>IF(P233&lt;&gt;"",
    IF(OR(O233="", Q233="", R233=""),
        "Fill all the required columns",
        IFERROR(
            IF(OR(
                AND(R233="Marine Protected", VLOOKUP(O233, Reference!$A$2:$D$34, 4, FALSE) &lt;= P233),
                AND(R233="General Use", VLOOKUP(O233, Reference!$A$2:$D$34, 3, FALSE) &lt;= P233)
            ),
                "Exceeded",
                "OK"
            ),
            "No Regulation defined"
        )
    ),
    ""
)</f>
        <v/>
      </c>
      <c r="AB233" s="62" t="str">
        <f t="shared" si="3"/>
        <v/>
      </c>
    </row>
    <row r="234" spans="3:28" x14ac:dyDescent="0.2">
      <c r="C234" s="69"/>
      <c r="D234" s="70"/>
      <c r="S234" s="34"/>
      <c r="T234" s="60" t="str">
        <f>IF(P234&lt;&gt;"",
    IF(OR(O234="", Q234="", R234=""),
        "Fill all the required columns",
        IFERROR(
            IF(OR(
                AND(R234="Marine Protected", VLOOKUP(O234, Reference!$A$2:$D$34, 4, FALSE) &lt;= P234),
                AND(R234="General Use", VLOOKUP(O234, Reference!$A$2:$D$34, 3, FALSE) &lt;= P234)
            ),
                "Exceeded",
                "OK"
            ),
            "No Regulation defined"
        )
    ),
    ""
)</f>
        <v/>
      </c>
      <c r="AB234" s="62" t="str">
        <f t="shared" si="3"/>
        <v/>
      </c>
    </row>
    <row r="235" spans="3:28" x14ac:dyDescent="0.2">
      <c r="C235" s="69"/>
      <c r="D235" s="70"/>
      <c r="S235" s="34"/>
      <c r="T235" s="60" t="str">
        <f>IF(P235&lt;&gt;"",
    IF(OR(O235="", Q235="", R235=""),
        "Fill all the required columns",
        IFERROR(
            IF(OR(
                AND(R235="Marine Protected", VLOOKUP(O235, Reference!$A$2:$D$34, 4, FALSE) &lt;= P235),
                AND(R235="General Use", VLOOKUP(O235, Reference!$A$2:$D$34, 3, FALSE) &lt;= P235)
            ),
                "Exceeded",
                "OK"
            ),
            "No Regulation defined"
        )
    ),
    ""
)</f>
        <v/>
      </c>
      <c r="AB235" s="62" t="str">
        <f t="shared" si="3"/>
        <v/>
      </c>
    </row>
    <row r="236" spans="3:28" x14ac:dyDescent="0.2">
      <c r="C236" s="69"/>
      <c r="D236" s="70"/>
      <c r="S236" s="34"/>
      <c r="T236" s="60" t="str">
        <f>IF(P236&lt;&gt;"",
    IF(OR(O236="", Q236="", R236=""),
        "Fill all the required columns",
        IFERROR(
            IF(OR(
                AND(R236="Marine Protected", VLOOKUP(O236, Reference!$A$2:$D$34, 4, FALSE) &lt;= P236),
                AND(R236="General Use", VLOOKUP(O236, Reference!$A$2:$D$34, 3, FALSE) &lt;= P236)
            ),
                "Exceeded",
                "OK"
            ),
            "No Regulation defined"
        )
    ),
    ""
)</f>
        <v/>
      </c>
      <c r="AB236" s="62" t="str">
        <f t="shared" si="3"/>
        <v/>
      </c>
    </row>
    <row r="237" spans="3:28" x14ac:dyDescent="0.2">
      <c r="C237" s="69"/>
      <c r="D237" s="70"/>
      <c r="S237" s="34"/>
      <c r="T237" s="60" t="str">
        <f>IF(P237&lt;&gt;"",
    IF(OR(O237="", Q237="", R237=""),
        "Fill all the required columns",
        IFERROR(
            IF(OR(
                AND(R237="Marine Protected", VLOOKUP(O237, Reference!$A$2:$D$34, 4, FALSE) &lt;= P237),
                AND(R237="General Use", VLOOKUP(O237, Reference!$A$2:$D$34, 3, FALSE) &lt;= P237)
            ),
                "Exceeded",
                "OK"
            ),
            "No Regulation defined"
        )
    ),
    ""
)</f>
        <v/>
      </c>
      <c r="AB237" s="62" t="str">
        <f t="shared" si="3"/>
        <v/>
      </c>
    </row>
    <row r="238" spans="3:28" x14ac:dyDescent="0.2">
      <c r="C238" s="69"/>
      <c r="D238" s="70"/>
      <c r="S238" s="34"/>
      <c r="T238" s="60" t="str">
        <f>IF(P238&lt;&gt;"",
    IF(OR(O238="", Q238="", R238=""),
        "Fill all the required columns",
        IFERROR(
            IF(OR(
                AND(R238="Marine Protected", VLOOKUP(O238, Reference!$A$2:$D$34, 4, FALSE) &lt;= P238),
                AND(R238="General Use", VLOOKUP(O238, Reference!$A$2:$D$34, 3, FALSE) &lt;= P238)
            ),
                "Exceeded",
                "OK"
            ),
            "No Regulation defined"
        )
    ),
    ""
)</f>
        <v/>
      </c>
      <c r="AB238" s="62" t="str">
        <f t="shared" si="3"/>
        <v/>
      </c>
    </row>
    <row r="239" spans="3:28" x14ac:dyDescent="0.2">
      <c r="C239" s="69"/>
      <c r="D239" s="70"/>
      <c r="S239" s="34"/>
      <c r="T239" s="60" t="str">
        <f>IF(P239&lt;&gt;"",
    IF(OR(O239="", Q239="", R239=""),
        "Fill all the required columns",
        IFERROR(
            IF(OR(
                AND(R239="Marine Protected", VLOOKUP(O239, Reference!$A$2:$D$34, 4, FALSE) &lt;= P239),
                AND(R239="General Use", VLOOKUP(O239, Reference!$A$2:$D$34, 3, FALSE) &lt;= P239)
            ),
                "Exceeded",
                "OK"
            ),
            "No Regulation defined"
        )
    ),
    ""
)</f>
        <v/>
      </c>
      <c r="AB239" s="62" t="str">
        <f t="shared" si="3"/>
        <v/>
      </c>
    </row>
    <row r="240" spans="3:28" x14ac:dyDescent="0.2">
      <c r="C240" s="69"/>
      <c r="D240" s="70"/>
      <c r="S240" s="34"/>
      <c r="T240" s="60" t="str">
        <f>IF(P240&lt;&gt;"",
    IF(OR(O240="", Q240="", R240=""),
        "Fill all the required columns",
        IFERROR(
            IF(OR(
                AND(R240="Marine Protected", VLOOKUP(O240, Reference!$A$2:$D$34, 4, FALSE) &lt;= P240),
                AND(R240="General Use", VLOOKUP(O240, Reference!$A$2:$D$34, 3, FALSE) &lt;= P240)
            ),
                "Exceeded",
                "OK"
            ),
            "No Regulation defined"
        )
    ),
    ""
)</f>
        <v/>
      </c>
      <c r="AB240" s="62" t="str">
        <f t="shared" si="3"/>
        <v/>
      </c>
    </row>
    <row r="241" spans="3:28" x14ac:dyDescent="0.2">
      <c r="C241" s="69"/>
      <c r="D241" s="70"/>
      <c r="S241" s="34"/>
      <c r="T241" s="60" t="str">
        <f>IF(P241&lt;&gt;"",
    IF(OR(O241="", Q241="", R241=""),
        "Fill all the required columns",
        IFERROR(
            IF(OR(
                AND(R241="Marine Protected", VLOOKUP(O241, Reference!$A$2:$D$34, 4, FALSE) &lt;= P241),
                AND(R241="General Use", VLOOKUP(O241, Reference!$A$2:$D$34, 3, FALSE) &lt;= P241)
            ),
                "Exceeded",
                "OK"
            ),
            "No Regulation defined"
        )
    ),
    ""
)</f>
        <v/>
      </c>
      <c r="AB241" s="62" t="str">
        <f t="shared" si="3"/>
        <v/>
      </c>
    </row>
    <row r="242" spans="3:28" x14ac:dyDescent="0.2">
      <c r="C242" s="69"/>
      <c r="D242" s="70"/>
      <c r="S242" s="34"/>
      <c r="T242" s="60" t="str">
        <f>IF(P242&lt;&gt;"",
    IF(OR(O242="", Q242="", R242=""),
        "Fill all the required columns",
        IFERROR(
            IF(OR(
                AND(R242="Marine Protected", VLOOKUP(O242, Reference!$A$2:$D$34, 4, FALSE) &lt;= P242),
                AND(R242="General Use", VLOOKUP(O242, Reference!$A$2:$D$34, 3, FALSE) &lt;= P242)
            ),
                "Exceeded",
                "OK"
            ),
            "No Regulation defined"
        )
    ),
    ""
)</f>
        <v/>
      </c>
      <c r="AB242" s="62" t="str">
        <f t="shared" si="3"/>
        <v/>
      </c>
    </row>
    <row r="243" spans="3:28" x14ac:dyDescent="0.2">
      <c r="C243" s="69"/>
      <c r="D243" s="70"/>
      <c r="S243" s="34"/>
      <c r="T243" s="60" t="str">
        <f>IF(P243&lt;&gt;"",
    IF(OR(O243="", Q243="", R243=""),
        "Fill all the required columns",
        IFERROR(
            IF(OR(
                AND(R243="Marine Protected", VLOOKUP(O243, Reference!$A$2:$D$34, 4, FALSE) &lt;= P243),
                AND(R243="General Use", VLOOKUP(O243, Reference!$A$2:$D$34, 3, FALSE) &lt;= P243)
            ),
                "Exceeded",
                "OK"
            ),
            "No Regulation defined"
        )
    ),
    ""
)</f>
        <v/>
      </c>
      <c r="AB243" s="62" t="str">
        <f t="shared" si="3"/>
        <v/>
      </c>
    </row>
    <row r="244" spans="3:28" x14ac:dyDescent="0.2">
      <c r="C244" s="69"/>
      <c r="D244" s="70"/>
      <c r="S244" s="34"/>
      <c r="T244" s="60" t="str">
        <f>IF(P244&lt;&gt;"",
    IF(OR(O244="", Q244="", R244=""),
        "Fill all the required columns",
        IFERROR(
            IF(OR(
                AND(R244="Marine Protected", VLOOKUP(O244, Reference!$A$2:$D$34, 4, FALSE) &lt;= P244),
                AND(R244="General Use", VLOOKUP(O244, Reference!$A$2:$D$34, 3, FALSE) &lt;= P244)
            ),
                "Exceeded",
                "OK"
            ),
            "No Regulation defined"
        )
    ),
    ""
)</f>
        <v/>
      </c>
      <c r="AB244" s="62" t="str">
        <f t="shared" si="3"/>
        <v/>
      </c>
    </row>
    <row r="245" spans="3:28" x14ac:dyDescent="0.2">
      <c r="C245" s="69"/>
      <c r="D245" s="70"/>
      <c r="S245" s="34"/>
      <c r="T245" s="60" t="str">
        <f>IF(P245&lt;&gt;"",
    IF(OR(O245="", Q245="", R245=""),
        "Fill all the required columns",
        IFERROR(
            IF(OR(
                AND(R245="Marine Protected", VLOOKUP(O245, Reference!$A$2:$D$34, 4, FALSE) &lt;= P245),
                AND(R245="General Use", VLOOKUP(O245, Reference!$A$2:$D$34, 3, FALSE) &lt;= P245)
            ),
                "Exceeded",
                "OK"
            ),
            "No Regulation defined"
        )
    ),
    ""
)</f>
        <v/>
      </c>
      <c r="AB245" s="62" t="str">
        <f t="shared" si="3"/>
        <v/>
      </c>
    </row>
    <row r="246" spans="3:28" x14ac:dyDescent="0.2">
      <c r="C246" s="69"/>
      <c r="D246" s="70"/>
      <c r="S246" s="34"/>
      <c r="T246" s="60" t="str">
        <f>IF(P246&lt;&gt;"",
    IF(OR(O246="", Q246="", R246=""),
        "Fill all the required columns",
        IFERROR(
            IF(OR(
                AND(R246="Marine Protected", VLOOKUP(O246, Reference!$A$2:$D$34, 4, FALSE) &lt;= P246),
                AND(R246="General Use", VLOOKUP(O246, Reference!$A$2:$D$34, 3, FALSE) &lt;= P246)
            ),
                "Exceeded",
                "OK"
            ),
            "No Regulation defined"
        )
    ),
    ""
)</f>
        <v/>
      </c>
      <c r="AB246" s="62" t="str">
        <f t="shared" si="3"/>
        <v/>
      </c>
    </row>
    <row r="247" spans="3:28" x14ac:dyDescent="0.2">
      <c r="C247" s="69"/>
      <c r="D247" s="70"/>
      <c r="S247" s="34"/>
      <c r="T247" s="60" t="str">
        <f>IF(P247&lt;&gt;"",
    IF(OR(O247="", Q247="", R247=""),
        "Fill all the required columns",
        IFERROR(
            IF(OR(
                AND(R247="Marine Protected", VLOOKUP(O247, Reference!$A$2:$D$34, 4, FALSE) &lt;= P247),
                AND(R247="General Use", VLOOKUP(O247, Reference!$A$2:$D$34, 3, FALSE) &lt;= P247)
            ),
                "Exceeded",
                "OK"
            ),
            "No Regulation defined"
        )
    ),
    ""
)</f>
        <v/>
      </c>
      <c r="AB247" s="62" t="str">
        <f t="shared" si="3"/>
        <v/>
      </c>
    </row>
    <row r="248" spans="3:28" x14ac:dyDescent="0.2">
      <c r="C248" s="69"/>
      <c r="D248" s="70"/>
      <c r="S248" s="34"/>
      <c r="T248" s="60" t="str">
        <f>IF(P248&lt;&gt;"",
    IF(OR(O248="", Q248="", R248=""),
        "Fill all the required columns",
        IFERROR(
            IF(OR(
                AND(R248="Marine Protected", VLOOKUP(O248, Reference!$A$2:$D$34, 4, FALSE) &lt;= P248),
                AND(R248="General Use", VLOOKUP(O248, Reference!$A$2:$D$34, 3, FALSE) &lt;= P248)
            ),
                "Exceeded",
                "OK"
            ),
            "No Regulation defined"
        )
    ),
    ""
)</f>
        <v/>
      </c>
      <c r="AB248" s="62" t="str">
        <f t="shared" si="3"/>
        <v/>
      </c>
    </row>
    <row r="249" spans="3:28" x14ac:dyDescent="0.2">
      <c r="C249" s="69"/>
      <c r="D249" s="70"/>
      <c r="S249" s="34"/>
      <c r="T249" s="60" t="str">
        <f>IF(P249&lt;&gt;"",
    IF(OR(O249="", Q249="", R249=""),
        "Fill all the required columns",
        IFERROR(
            IF(OR(
                AND(R249="Marine Protected", VLOOKUP(O249, Reference!$A$2:$D$34, 4, FALSE) &lt;= P249),
                AND(R249="General Use", VLOOKUP(O249, Reference!$A$2:$D$34, 3, FALSE) &lt;= P249)
            ),
                "Exceeded",
                "OK"
            ),
            "No Regulation defined"
        )
    ),
    ""
)</f>
        <v/>
      </c>
      <c r="AB249" s="62" t="str">
        <f t="shared" si="3"/>
        <v/>
      </c>
    </row>
    <row r="250" spans="3:28" x14ac:dyDescent="0.2">
      <c r="C250" s="69"/>
      <c r="D250" s="70"/>
      <c r="S250" s="34"/>
      <c r="T250" s="60" t="str">
        <f>IF(P250&lt;&gt;"",
    IF(OR(O250="", Q250="", R250=""),
        "Fill all the required columns",
        IFERROR(
            IF(OR(
                AND(R250="Marine Protected", VLOOKUP(O250, Reference!$A$2:$D$34, 4, FALSE) &lt;= P250),
                AND(R250="General Use", VLOOKUP(O250, Reference!$A$2:$D$34, 3, FALSE) &lt;= P250)
            ),
                "Exceeded",
                "OK"
            ),
            "No Regulation defined"
        )
    ),
    ""
)</f>
        <v/>
      </c>
      <c r="AB250" s="62" t="str">
        <f t="shared" si="3"/>
        <v/>
      </c>
    </row>
    <row r="251" spans="3:28" x14ac:dyDescent="0.2">
      <c r="C251" s="69"/>
      <c r="D251" s="70"/>
      <c r="S251" s="34"/>
      <c r="T251" s="60" t="str">
        <f>IF(P251&lt;&gt;"",
    IF(OR(O251="", Q251="", R251=""),
        "Fill all the required columns",
        IFERROR(
            IF(OR(
                AND(R251="Marine Protected", VLOOKUP(O251, Reference!$A$2:$D$34, 4, FALSE) &lt;= P251),
                AND(R251="General Use", VLOOKUP(O251, Reference!$A$2:$D$34, 3, FALSE) &lt;= P251)
            ),
                "Exceeded",
                "OK"
            ),
            "No Regulation defined"
        )
    ),
    ""
)</f>
        <v/>
      </c>
      <c r="AB251" s="62" t="str">
        <f t="shared" si="3"/>
        <v/>
      </c>
    </row>
    <row r="252" spans="3:28" x14ac:dyDescent="0.2">
      <c r="C252" s="69"/>
      <c r="D252" s="70"/>
      <c r="S252" s="34"/>
      <c r="T252" s="60" t="str">
        <f>IF(P252&lt;&gt;"",
    IF(OR(O252="", Q252="", R252=""),
        "Fill all the required columns",
        IFERROR(
            IF(OR(
                AND(R252="Marine Protected", VLOOKUP(O252, Reference!$A$2:$D$34, 4, FALSE) &lt;= P252),
                AND(R252="General Use", VLOOKUP(O252, Reference!$A$2:$D$34, 3, FALSE) &lt;= P252)
            ),
                "Exceeded",
                "OK"
            ),
            "No Regulation defined"
        )
    ),
    ""
)</f>
        <v/>
      </c>
      <c r="AB252" s="62" t="str">
        <f t="shared" si="3"/>
        <v/>
      </c>
    </row>
    <row r="253" spans="3:28" x14ac:dyDescent="0.2">
      <c r="C253" s="69"/>
      <c r="D253" s="70"/>
      <c r="S253" s="34"/>
      <c r="T253" s="60" t="str">
        <f>IF(P253&lt;&gt;"",
    IF(OR(O253="", Q253="", R253=""),
        "Fill all the required columns",
        IFERROR(
            IF(OR(
                AND(R253="Marine Protected", VLOOKUP(O253, Reference!$A$2:$D$34, 4, FALSE) &lt;= P253),
                AND(R253="General Use", VLOOKUP(O253, Reference!$A$2:$D$34, 3, FALSE) &lt;= P253)
            ),
                "Exceeded",
                "OK"
            ),
            "No Regulation defined"
        )
    ),
    ""
)</f>
        <v/>
      </c>
      <c r="AB253" s="62" t="str">
        <f t="shared" si="3"/>
        <v/>
      </c>
    </row>
    <row r="254" spans="3:28" x14ac:dyDescent="0.2">
      <c r="C254" s="69"/>
      <c r="D254" s="70"/>
      <c r="S254" s="34"/>
      <c r="T254" s="60" t="str">
        <f>IF(P254&lt;&gt;"",
    IF(OR(O254="", Q254="", R254=""),
        "Fill all the required columns",
        IFERROR(
            IF(OR(
                AND(R254="Marine Protected", VLOOKUP(O254, Reference!$A$2:$D$34, 4, FALSE) &lt;= P254),
                AND(R254="General Use", VLOOKUP(O254, Reference!$A$2:$D$34, 3, FALSE) &lt;= P254)
            ),
                "Exceeded",
                "OK"
            ),
            "No Regulation defined"
        )
    ),
    ""
)</f>
        <v/>
      </c>
      <c r="AB254" s="62" t="str">
        <f t="shared" si="3"/>
        <v/>
      </c>
    </row>
    <row r="255" spans="3:28" x14ac:dyDescent="0.2">
      <c r="C255" s="69"/>
      <c r="D255" s="70"/>
      <c r="S255" s="34"/>
      <c r="T255" s="60" t="str">
        <f>IF(P255&lt;&gt;"",
    IF(OR(O255="", Q255="", R255=""),
        "Fill all the required columns",
        IFERROR(
            IF(OR(
                AND(R255="Marine Protected", VLOOKUP(O255, Reference!$A$2:$D$34, 4, FALSE) &lt;= P255),
                AND(R255="General Use", VLOOKUP(O255, Reference!$A$2:$D$34, 3, FALSE) &lt;= P255)
            ),
                "Exceeded",
                "OK"
            ),
            "No Regulation defined"
        )
    ),
    ""
)</f>
        <v/>
      </c>
      <c r="AB255" s="62" t="str">
        <f t="shared" si="3"/>
        <v/>
      </c>
    </row>
    <row r="256" spans="3:28" x14ac:dyDescent="0.2">
      <c r="C256" s="69"/>
      <c r="D256" s="70"/>
      <c r="S256" s="34"/>
      <c r="T256" s="60" t="str">
        <f>IF(P256&lt;&gt;"",
    IF(OR(O256="", Q256="", R256=""),
        "Fill all the required columns",
        IFERROR(
            IF(OR(
                AND(R256="Marine Protected", VLOOKUP(O256, Reference!$A$2:$D$34, 4, FALSE) &lt;= P256),
                AND(R256="General Use", VLOOKUP(O256, Reference!$A$2:$D$34, 3, FALSE) &lt;= P256)
            ),
                "Exceeded",
                "OK"
            ),
            "No Regulation defined"
        )
    ),
    ""
)</f>
        <v/>
      </c>
      <c r="AB256" s="62" t="str">
        <f t="shared" si="3"/>
        <v/>
      </c>
    </row>
    <row r="257" spans="3:28" x14ac:dyDescent="0.2">
      <c r="C257" s="69"/>
      <c r="D257" s="70"/>
      <c r="S257" s="34"/>
      <c r="T257" s="60" t="str">
        <f>IF(P257&lt;&gt;"",
    IF(OR(O257="", Q257="", R257=""),
        "Fill all the required columns",
        IFERROR(
            IF(OR(
                AND(R257="Marine Protected", VLOOKUP(O257, Reference!$A$2:$D$34, 4, FALSE) &lt;= P257),
                AND(R257="General Use", VLOOKUP(O257, Reference!$A$2:$D$34, 3, FALSE) &lt;= P257)
            ),
                "Exceeded",
                "OK"
            ),
            "No Regulation defined"
        )
    ),
    ""
)</f>
        <v/>
      </c>
      <c r="AB257" s="62" t="str">
        <f t="shared" si="3"/>
        <v/>
      </c>
    </row>
    <row r="258" spans="3:28" x14ac:dyDescent="0.2">
      <c r="C258" s="69"/>
      <c r="D258" s="70"/>
      <c r="S258" s="34"/>
      <c r="T258" s="60" t="str">
        <f>IF(P258&lt;&gt;"",
    IF(OR(O258="", Q258="", R258=""),
        "Fill all the required columns",
        IFERROR(
            IF(OR(
                AND(R258="Marine Protected", VLOOKUP(O258, Reference!$A$2:$D$34, 4, FALSE) &lt;= P258),
                AND(R258="General Use", VLOOKUP(O258, Reference!$A$2:$D$34, 3, FALSE) &lt;= P258)
            ),
                "Exceeded",
                "OK"
            ),
            "No Regulation defined"
        )
    ),
    ""
)</f>
        <v/>
      </c>
      <c r="AB258" s="62" t="str">
        <f t="shared" si="3"/>
        <v/>
      </c>
    </row>
    <row r="259" spans="3:28" x14ac:dyDescent="0.2">
      <c r="C259" s="69"/>
      <c r="D259" s="70"/>
      <c r="S259" s="34"/>
      <c r="T259" s="60" t="str">
        <f>IF(P259&lt;&gt;"",
    IF(OR(O259="", Q259="", R259=""),
        "Fill all the required columns",
        IFERROR(
            IF(OR(
                AND(R259="Marine Protected", VLOOKUP(O259, Reference!$A$2:$D$34, 4, FALSE) &lt;= P259),
                AND(R259="General Use", VLOOKUP(O259, Reference!$A$2:$D$34, 3, FALSE) &lt;= P259)
            ),
                "Exceeded",
                "OK"
            ),
            "No Regulation defined"
        )
    ),
    ""
)</f>
        <v/>
      </c>
      <c r="AB259" s="62" t="str">
        <f t="shared" ref="AB259:AB322" si="4">IF(COUNTA(A259, E259, F259, H259, I259, O259, P259, Q259, R259,S259) = 0, "", IF(COUNTA(A259, E259, F259, H259, I259, O259, P259, Q259, R259,S259) = 10, "OK", "Incomplete"))</f>
        <v/>
      </c>
    </row>
    <row r="260" spans="3:28" x14ac:dyDescent="0.2">
      <c r="C260" s="69"/>
      <c r="D260" s="70"/>
      <c r="S260" s="34"/>
      <c r="T260" s="60" t="str">
        <f>IF(P260&lt;&gt;"",
    IF(OR(O260="", Q260="", R260=""),
        "Fill all the required columns",
        IFERROR(
            IF(OR(
                AND(R260="Marine Protected", VLOOKUP(O260, Reference!$A$2:$D$34, 4, FALSE) &lt;= P260),
                AND(R260="General Use", VLOOKUP(O260, Reference!$A$2:$D$34, 3, FALSE) &lt;= P260)
            ),
                "Exceeded",
                "OK"
            ),
            "No Regulation defined"
        )
    ),
    ""
)</f>
        <v/>
      </c>
      <c r="AB260" s="62" t="str">
        <f t="shared" si="4"/>
        <v/>
      </c>
    </row>
    <row r="261" spans="3:28" x14ac:dyDescent="0.2">
      <c r="C261" s="69"/>
      <c r="D261" s="70"/>
      <c r="S261" s="34"/>
      <c r="T261" s="60" t="str">
        <f>IF(P261&lt;&gt;"",
    IF(OR(O261="", Q261="", R261=""),
        "Fill all the required columns",
        IFERROR(
            IF(OR(
                AND(R261="Marine Protected", VLOOKUP(O261, Reference!$A$2:$D$34, 4, FALSE) &lt;= P261),
                AND(R261="General Use", VLOOKUP(O261, Reference!$A$2:$D$34, 3, FALSE) &lt;= P261)
            ),
                "Exceeded",
                "OK"
            ),
            "No Regulation defined"
        )
    ),
    ""
)</f>
        <v/>
      </c>
      <c r="AB261" s="62" t="str">
        <f t="shared" si="4"/>
        <v/>
      </c>
    </row>
    <row r="262" spans="3:28" x14ac:dyDescent="0.2">
      <c r="C262" s="69"/>
      <c r="D262" s="70"/>
      <c r="S262" s="34"/>
      <c r="T262" s="60" t="str">
        <f>IF(P262&lt;&gt;"",
    IF(OR(O262="", Q262="", R262=""),
        "Fill all the required columns",
        IFERROR(
            IF(OR(
                AND(R262="Marine Protected", VLOOKUP(O262, Reference!$A$2:$D$34, 4, FALSE) &lt;= P262),
                AND(R262="General Use", VLOOKUP(O262, Reference!$A$2:$D$34, 3, FALSE) &lt;= P262)
            ),
                "Exceeded",
                "OK"
            ),
            "No Regulation defined"
        )
    ),
    ""
)</f>
        <v/>
      </c>
      <c r="AB262" s="62" t="str">
        <f t="shared" si="4"/>
        <v/>
      </c>
    </row>
    <row r="263" spans="3:28" x14ac:dyDescent="0.2">
      <c r="C263" s="69"/>
      <c r="D263" s="70"/>
      <c r="S263" s="34"/>
      <c r="T263" s="60" t="str">
        <f>IF(P263&lt;&gt;"",
    IF(OR(O263="", Q263="", R263=""),
        "Fill all the required columns",
        IFERROR(
            IF(OR(
                AND(R263="Marine Protected", VLOOKUP(O263, Reference!$A$2:$D$34, 4, FALSE) &lt;= P263),
                AND(R263="General Use", VLOOKUP(O263, Reference!$A$2:$D$34, 3, FALSE) &lt;= P263)
            ),
                "Exceeded",
                "OK"
            ),
            "No Regulation defined"
        )
    ),
    ""
)</f>
        <v/>
      </c>
      <c r="AB263" s="62" t="str">
        <f t="shared" si="4"/>
        <v/>
      </c>
    </row>
    <row r="264" spans="3:28" x14ac:dyDescent="0.2">
      <c r="C264" s="69"/>
      <c r="D264" s="70"/>
      <c r="S264" s="34"/>
      <c r="T264" s="60" t="str">
        <f>IF(P264&lt;&gt;"",
    IF(OR(O264="", Q264="", R264=""),
        "Fill all the required columns",
        IFERROR(
            IF(OR(
                AND(R264="Marine Protected", VLOOKUP(O264, Reference!$A$2:$D$34, 4, FALSE) &lt;= P264),
                AND(R264="General Use", VLOOKUP(O264, Reference!$A$2:$D$34, 3, FALSE) &lt;= P264)
            ),
                "Exceeded",
                "OK"
            ),
            "No Regulation defined"
        )
    ),
    ""
)</f>
        <v/>
      </c>
      <c r="AB264" s="62" t="str">
        <f t="shared" si="4"/>
        <v/>
      </c>
    </row>
    <row r="265" spans="3:28" x14ac:dyDescent="0.2">
      <c r="C265" s="69"/>
      <c r="D265" s="70"/>
      <c r="S265" s="34"/>
      <c r="T265" s="60" t="str">
        <f>IF(P265&lt;&gt;"",
    IF(OR(O265="", Q265="", R265=""),
        "Fill all the required columns",
        IFERROR(
            IF(OR(
                AND(R265="Marine Protected", VLOOKUP(O265, Reference!$A$2:$D$34, 4, FALSE) &lt;= P265),
                AND(R265="General Use", VLOOKUP(O265, Reference!$A$2:$D$34, 3, FALSE) &lt;= P265)
            ),
                "Exceeded",
                "OK"
            ),
            "No Regulation defined"
        )
    ),
    ""
)</f>
        <v/>
      </c>
      <c r="AB265" s="62" t="str">
        <f t="shared" si="4"/>
        <v/>
      </c>
    </row>
    <row r="266" spans="3:28" x14ac:dyDescent="0.2">
      <c r="C266" s="69"/>
      <c r="D266" s="70"/>
      <c r="S266" s="34"/>
      <c r="T266" s="60" t="str">
        <f>IF(P266&lt;&gt;"",
    IF(OR(O266="", Q266="", R266=""),
        "Fill all the required columns",
        IFERROR(
            IF(OR(
                AND(R266="Marine Protected", VLOOKUP(O266, Reference!$A$2:$D$34, 4, FALSE) &lt;= P266),
                AND(R266="General Use", VLOOKUP(O266, Reference!$A$2:$D$34, 3, FALSE) &lt;= P266)
            ),
                "Exceeded",
                "OK"
            ),
            "No Regulation defined"
        )
    ),
    ""
)</f>
        <v/>
      </c>
      <c r="AB266" s="62" t="str">
        <f t="shared" si="4"/>
        <v/>
      </c>
    </row>
    <row r="267" spans="3:28" x14ac:dyDescent="0.2">
      <c r="C267" s="69"/>
      <c r="D267" s="70"/>
      <c r="S267" s="34"/>
      <c r="T267" s="60" t="str">
        <f>IF(P267&lt;&gt;"",
    IF(OR(O267="", Q267="", R267=""),
        "Fill all the required columns",
        IFERROR(
            IF(OR(
                AND(R267="Marine Protected", VLOOKUP(O267, Reference!$A$2:$D$34, 4, FALSE) &lt;= P267),
                AND(R267="General Use", VLOOKUP(O267, Reference!$A$2:$D$34, 3, FALSE) &lt;= P267)
            ),
                "Exceeded",
                "OK"
            ),
            "No Regulation defined"
        )
    ),
    ""
)</f>
        <v/>
      </c>
      <c r="AB267" s="62" t="str">
        <f t="shared" si="4"/>
        <v/>
      </c>
    </row>
    <row r="268" spans="3:28" x14ac:dyDescent="0.2">
      <c r="C268" s="69"/>
      <c r="D268" s="70"/>
      <c r="S268" s="34"/>
      <c r="T268" s="60" t="str">
        <f>IF(P268&lt;&gt;"",
    IF(OR(O268="", Q268="", R268=""),
        "Fill all the required columns",
        IFERROR(
            IF(OR(
                AND(R268="Marine Protected", VLOOKUP(O268, Reference!$A$2:$D$34, 4, FALSE) &lt;= P268),
                AND(R268="General Use", VLOOKUP(O268, Reference!$A$2:$D$34, 3, FALSE) &lt;= P268)
            ),
                "Exceeded",
                "OK"
            ),
            "No Regulation defined"
        )
    ),
    ""
)</f>
        <v/>
      </c>
      <c r="AB268" s="62" t="str">
        <f t="shared" si="4"/>
        <v/>
      </c>
    </row>
    <row r="269" spans="3:28" x14ac:dyDescent="0.2">
      <c r="C269" s="69"/>
      <c r="D269" s="70"/>
      <c r="S269" s="34"/>
      <c r="T269" s="60" t="str">
        <f>IF(P269&lt;&gt;"",
    IF(OR(O269="", Q269="", R269=""),
        "Fill all the required columns",
        IFERROR(
            IF(OR(
                AND(R269="Marine Protected", VLOOKUP(O269, Reference!$A$2:$D$34, 4, FALSE) &lt;= P269),
                AND(R269="General Use", VLOOKUP(O269, Reference!$A$2:$D$34, 3, FALSE) &lt;= P269)
            ),
                "Exceeded",
                "OK"
            ),
            "No Regulation defined"
        )
    ),
    ""
)</f>
        <v/>
      </c>
      <c r="AB269" s="62" t="str">
        <f t="shared" si="4"/>
        <v/>
      </c>
    </row>
    <row r="270" spans="3:28" x14ac:dyDescent="0.2">
      <c r="C270" s="69"/>
      <c r="D270" s="70"/>
      <c r="S270" s="34"/>
      <c r="T270" s="60" t="str">
        <f>IF(P270&lt;&gt;"",
    IF(OR(O270="", Q270="", R270=""),
        "Fill all the required columns",
        IFERROR(
            IF(OR(
                AND(R270="Marine Protected", VLOOKUP(O270, Reference!$A$2:$D$34, 4, FALSE) &lt;= P270),
                AND(R270="General Use", VLOOKUP(O270, Reference!$A$2:$D$34, 3, FALSE) &lt;= P270)
            ),
                "Exceeded",
                "OK"
            ),
            "No Regulation defined"
        )
    ),
    ""
)</f>
        <v/>
      </c>
      <c r="AB270" s="62" t="str">
        <f t="shared" si="4"/>
        <v/>
      </c>
    </row>
    <row r="271" spans="3:28" x14ac:dyDescent="0.2">
      <c r="C271" s="69"/>
      <c r="D271" s="70"/>
      <c r="S271" s="34"/>
      <c r="T271" s="60" t="str">
        <f>IF(P271&lt;&gt;"",
    IF(OR(O271="", Q271="", R271=""),
        "Fill all the required columns",
        IFERROR(
            IF(OR(
                AND(R271="Marine Protected", VLOOKUP(O271, Reference!$A$2:$D$34, 4, FALSE) &lt;= P271),
                AND(R271="General Use", VLOOKUP(O271, Reference!$A$2:$D$34, 3, FALSE) &lt;= P271)
            ),
                "Exceeded",
                "OK"
            ),
            "No Regulation defined"
        )
    ),
    ""
)</f>
        <v/>
      </c>
      <c r="AB271" s="62" t="str">
        <f t="shared" si="4"/>
        <v/>
      </c>
    </row>
    <row r="272" spans="3:28" x14ac:dyDescent="0.2">
      <c r="C272" s="69"/>
      <c r="D272" s="70"/>
      <c r="S272" s="34"/>
      <c r="T272" s="60" t="str">
        <f>IF(P272&lt;&gt;"",
    IF(OR(O272="", Q272="", R272=""),
        "Fill all the required columns",
        IFERROR(
            IF(OR(
                AND(R272="Marine Protected", VLOOKUP(O272, Reference!$A$2:$D$34, 4, FALSE) &lt;= P272),
                AND(R272="General Use", VLOOKUP(O272, Reference!$A$2:$D$34, 3, FALSE) &lt;= P272)
            ),
                "Exceeded",
                "OK"
            ),
            "No Regulation defined"
        )
    ),
    ""
)</f>
        <v/>
      </c>
      <c r="AB272" s="62" t="str">
        <f t="shared" si="4"/>
        <v/>
      </c>
    </row>
    <row r="273" spans="3:28" x14ac:dyDescent="0.2">
      <c r="C273" s="69"/>
      <c r="D273" s="70"/>
      <c r="S273" s="34"/>
      <c r="T273" s="60" t="str">
        <f>IF(P273&lt;&gt;"",
    IF(OR(O273="", Q273="", R273=""),
        "Fill all the required columns",
        IFERROR(
            IF(OR(
                AND(R273="Marine Protected", VLOOKUP(O273, Reference!$A$2:$D$34, 4, FALSE) &lt;= P273),
                AND(R273="General Use", VLOOKUP(O273, Reference!$A$2:$D$34, 3, FALSE) &lt;= P273)
            ),
                "Exceeded",
                "OK"
            ),
            "No Regulation defined"
        )
    ),
    ""
)</f>
        <v/>
      </c>
      <c r="AB273" s="62" t="str">
        <f t="shared" si="4"/>
        <v/>
      </c>
    </row>
    <row r="274" spans="3:28" x14ac:dyDescent="0.2">
      <c r="C274" s="69"/>
      <c r="D274" s="70"/>
      <c r="S274" s="34"/>
      <c r="T274" s="60" t="str">
        <f>IF(P274&lt;&gt;"",
    IF(OR(O274="", Q274="", R274=""),
        "Fill all the required columns",
        IFERROR(
            IF(OR(
                AND(R274="Marine Protected", VLOOKUP(O274, Reference!$A$2:$D$34, 4, FALSE) &lt;= P274),
                AND(R274="General Use", VLOOKUP(O274, Reference!$A$2:$D$34, 3, FALSE) &lt;= P274)
            ),
                "Exceeded",
                "OK"
            ),
            "No Regulation defined"
        )
    ),
    ""
)</f>
        <v/>
      </c>
      <c r="AB274" s="62" t="str">
        <f t="shared" si="4"/>
        <v/>
      </c>
    </row>
    <row r="275" spans="3:28" x14ac:dyDescent="0.2">
      <c r="C275" s="69"/>
      <c r="D275" s="70"/>
      <c r="S275" s="34"/>
      <c r="T275" s="60" t="str">
        <f>IF(P275&lt;&gt;"",
    IF(OR(O275="", Q275="", R275=""),
        "Fill all the required columns",
        IFERROR(
            IF(OR(
                AND(R275="Marine Protected", VLOOKUP(O275, Reference!$A$2:$D$34, 4, FALSE) &lt;= P275),
                AND(R275="General Use", VLOOKUP(O275, Reference!$A$2:$D$34, 3, FALSE) &lt;= P275)
            ),
                "Exceeded",
                "OK"
            ),
            "No Regulation defined"
        )
    ),
    ""
)</f>
        <v/>
      </c>
      <c r="AB275" s="62" t="str">
        <f t="shared" si="4"/>
        <v/>
      </c>
    </row>
    <row r="276" spans="3:28" x14ac:dyDescent="0.2">
      <c r="C276" s="69"/>
      <c r="D276" s="70"/>
      <c r="S276" s="34"/>
      <c r="T276" s="60" t="str">
        <f>IF(P276&lt;&gt;"",
    IF(OR(O276="", Q276="", R276=""),
        "Fill all the required columns",
        IFERROR(
            IF(OR(
                AND(R276="Marine Protected", VLOOKUP(O276, Reference!$A$2:$D$34, 4, FALSE) &lt;= P276),
                AND(R276="General Use", VLOOKUP(O276, Reference!$A$2:$D$34, 3, FALSE) &lt;= P276)
            ),
                "Exceeded",
                "OK"
            ),
            "No Regulation defined"
        )
    ),
    ""
)</f>
        <v/>
      </c>
      <c r="AB276" s="62" t="str">
        <f t="shared" si="4"/>
        <v/>
      </c>
    </row>
    <row r="277" spans="3:28" x14ac:dyDescent="0.2">
      <c r="C277" s="69"/>
      <c r="D277" s="70"/>
      <c r="S277" s="34"/>
      <c r="T277" s="60" t="str">
        <f>IF(P277&lt;&gt;"",
    IF(OR(O277="", Q277="", R277=""),
        "Fill all the required columns",
        IFERROR(
            IF(OR(
                AND(R277="Marine Protected", VLOOKUP(O277, Reference!$A$2:$D$34, 4, FALSE) &lt;= P277),
                AND(R277="General Use", VLOOKUP(O277, Reference!$A$2:$D$34, 3, FALSE) &lt;= P277)
            ),
                "Exceeded",
                "OK"
            ),
            "No Regulation defined"
        )
    ),
    ""
)</f>
        <v/>
      </c>
      <c r="AB277" s="62" t="str">
        <f t="shared" si="4"/>
        <v/>
      </c>
    </row>
    <row r="278" spans="3:28" x14ac:dyDescent="0.2">
      <c r="C278" s="69"/>
      <c r="D278" s="70"/>
      <c r="S278" s="34"/>
      <c r="T278" s="60" t="str">
        <f>IF(P278&lt;&gt;"",
    IF(OR(O278="", Q278="", R278=""),
        "Fill all the required columns",
        IFERROR(
            IF(OR(
                AND(R278="Marine Protected", VLOOKUP(O278, Reference!$A$2:$D$34, 4, FALSE) &lt;= P278),
                AND(R278="General Use", VLOOKUP(O278, Reference!$A$2:$D$34, 3, FALSE) &lt;= P278)
            ),
                "Exceeded",
                "OK"
            ),
            "No Regulation defined"
        )
    ),
    ""
)</f>
        <v/>
      </c>
      <c r="AB278" s="62" t="str">
        <f t="shared" si="4"/>
        <v/>
      </c>
    </row>
    <row r="279" spans="3:28" x14ac:dyDescent="0.2">
      <c r="C279" s="69"/>
      <c r="D279" s="70"/>
      <c r="S279" s="34"/>
      <c r="T279" s="60" t="str">
        <f>IF(P279&lt;&gt;"",
    IF(OR(O279="", Q279="", R279=""),
        "Fill all the required columns",
        IFERROR(
            IF(OR(
                AND(R279="Marine Protected", VLOOKUP(O279, Reference!$A$2:$D$34, 4, FALSE) &lt;= P279),
                AND(R279="General Use", VLOOKUP(O279, Reference!$A$2:$D$34, 3, FALSE) &lt;= P279)
            ),
                "Exceeded",
                "OK"
            ),
            "No Regulation defined"
        )
    ),
    ""
)</f>
        <v/>
      </c>
      <c r="AB279" s="62" t="str">
        <f t="shared" si="4"/>
        <v/>
      </c>
    </row>
    <row r="280" spans="3:28" x14ac:dyDescent="0.2">
      <c r="C280" s="69"/>
      <c r="D280" s="70"/>
      <c r="S280" s="34"/>
      <c r="T280" s="60" t="str">
        <f>IF(P280&lt;&gt;"",
    IF(OR(O280="", Q280="", R280=""),
        "Fill all the required columns",
        IFERROR(
            IF(OR(
                AND(R280="Marine Protected", VLOOKUP(O280, Reference!$A$2:$D$34, 4, FALSE) &lt;= P280),
                AND(R280="General Use", VLOOKUP(O280, Reference!$A$2:$D$34, 3, FALSE) &lt;= P280)
            ),
                "Exceeded",
                "OK"
            ),
            "No Regulation defined"
        )
    ),
    ""
)</f>
        <v/>
      </c>
      <c r="AB280" s="62" t="str">
        <f t="shared" si="4"/>
        <v/>
      </c>
    </row>
    <row r="281" spans="3:28" x14ac:dyDescent="0.2">
      <c r="C281" s="69"/>
      <c r="D281" s="70"/>
      <c r="S281" s="34"/>
      <c r="T281" s="60" t="str">
        <f>IF(P281&lt;&gt;"",
    IF(OR(O281="", Q281="", R281=""),
        "Fill all the required columns",
        IFERROR(
            IF(OR(
                AND(R281="Marine Protected", VLOOKUP(O281, Reference!$A$2:$D$34, 4, FALSE) &lt;= P281),
                AND(R281="General Use", VLOOKUP(O281, Reference!$A$2:$D$34, 3, FALSE) &lt;= P281)
            ),
                "Exceeded",
                "OK"
            ),
            "No Regulation defined"
        )
    ),
    ""
)</f>
        <v/>
      </c>
      <c r="AB281" s="62" t="str">
        <f t="shared" si="4"/>
        <v/>
      </c>
    </row>
    <row r="282" spans="3:28" x14ac:dyDescent="0.2">
      <c r="C282" s="69"/>
      <c r="D282" s="70"/>
      <c r="S282" s="34"/>
      <c r="T282" s="60" t="str">
        <f>IF(P282&lt;&gt;"",
    IF(OR(O282="", Q282="", R282=""),
        "Fill all the required columns",
        IFERROR(
            IF(OR(
                AND(R282="Marine Protected", VLOOKUP(O282, Reference!$A$2:$D$34, 4, FALSE) &lt;= P282),
                AND(R282="General Use", VLOOKUP(O282, Reference!$A$2:$D$34, 3, FALSE) &lt;= P282)
            ),
                "Exceeded",
                "OK"
            ),
            "No Regulation defined"
        )
    ),
    ""
)</f>
        <v/>
      </c>
      <c r="AB282" s="62" t="str">
        <f t="shared" si="4"/>
        <v/>
      </c>
    </row>
    <row r="283" spans="3:28" x14ac:dyDescent="0.2">
      <c r="C283" s="69"/>
      <c r="D283" s="70"/>
      <c r="S283" s="34"/>
      <c r="T283" s="60" t="str">
        <f>IF(P283&lt;&gt;"",
    IF(OR(O283="", Q283="", R283=""),
        "Fill all the required columns",
        IFERROR(
            IF(OR(
                AND(R283="Marine Protected", VLOOKUP(O283, Reference!$A$2:$D$34, 4, FALSE) &lt;= P283),
                AND(R283="General Use", VLOOKUP(O283, Reference!$A$2:$D$34, 3, FALSE) &lt;= P283)
            ),
                "Exceeded",
                "OK"
            ),
            "No Regulation defined"
        )
    ),
    ""
)</f>
        <v/>
      </c>
      <c r="AB283" s="62" t="str">
        <f t="shared" si="4"/>
        <v/>
      </c>
    </row>
    <row r="284" spans="3:28" x14ac:dyDescent="0.2">
      <c r="C284" s="69"/>
      <c r="D284" s="70"/>
      <c r="S284" s="34"/>
      <c r="T284" s="60" t="str">
        <f>IF(P284&lt;&gt;"",
    IF(OR(O284="", Q284="", R284=""),
        "Fill all the required columns",
        IFERROR(
            IF(OR(
                AND(R284="Marine Protected", VLOOKUP(O284, Reference!$A$2:$D$34, 4, FALSE) &lt;= P284),
                AND(R284="General Use", VLOOKUP(O284, Reference!$A$2:$D$34, 3, FALSE) &lt;= P284)
            ),
                "Exceeded",
                "OK"
            ),
            "No Regulation defined"
        )
    ),
    ""
)</f>
        <v/>
      </c>
      <c r="AB284" s="62" t="str">
        <f t="shared" si="4"/>
        <v/>
      </c>
    </row>
    <row r="285" spans="3:28" x14ac:dyDescent="0.2">
      <c r="C285" s="69"/>
      <c r="D285" s="70"/>
      <c r="S285" s="34"/>
      <c r="T285" s="60" t="str">
        <f>IF(P285&lt;&gt;"",
    IF(OR(O285="", Q285="", R285=""),
        "Fill all the required columns",
        IFERROR(
            IF(OR(
                AND(R285="Marine Protected", VLOOKUP(O285, Reference!$A$2:$D$34, 4, FALSE) &lt;= P285),
                AND(R285="General Use", VLOOKUP(O285, Reference!$A$2:$D$34, 3, FALSE) &lt;= P285)
            ),
                "Exceeded",
                "OK"
            ),
            "No Regulation defined"
        )
    ),
    ""
)</f>
        <v/>
      </c>
      <c r="AB285" s="62" t="str">
        <f t="shared" si="4"/>
        <v/>
      </c>
    </row>
    <row r="286" spans="3:28" x14ac:dyDescent="0.2">
      <c r="C286" s="69"/>
      <c r="D286" s="70"/>
      <c r="S286" s="34"/>
      <c r="T286" s="60" t="str">
        <f>IF(P286&lt;&gt;"",
    IF(OR(O286="", Q286="", R286=""),
        "Fill all the required columns",
        IFERROR(
            IF(OR(
                AND(R286="Marine Protected", VLOOKUP(O286, Reference!$A$2:$D$34, 4, FALSE) &lt;= P286),
                AND(R286="General Use", VLOOKUP(O286, Reference!$A$2:$D$34, 3, FALSE) &lt;= P286)
            ),
                "Exceeded",
                "OK"
            ),
            "No Regulation defined"
        )
    ),
    ""
)</f>
        <v/>
      </c>
      <c r="AB286" s="62" t="str">
        <f t="shared" si="4"/>
        <v/>
      </c>
    </row>
    <row r="287" spans="3:28" x14ac:dyDescent="0.2">
      <c r="C287" s="69"/>
      <c r="D287" s="70"/>
      <c r="S287" s="34"/>
      <c r="T287" s="60" t="str">
        <f>IF(P287&lt;&gt;"",
    IF(OR(O287="", Q287="", R287=""),
        "Fill all the required columns",
        IFERROR(
            IF(OR(
                AND(R287="Marine Protected", VLOOKUP(O287, Reference!$A$2:$D$34, 4, FALSE) &lt;= P287),
                AND(R287="General Use", VLOOKUP(O287, Reference!$A$2:$D$34, 3, FALSE) &lt;= P287)
            ),
                "Exceeded",
                "OK"
            ),
            "No Regulation defined"
        )
    ),
    ""
)</f>
        <v/>
      </c>
      <c r="AB287" s="62" t="str">
        <f t="shared" si="4"/>
        <v/>
      </c>
    </row>
    <row r="288" spans="3:28" x14ac:dyDescent="0.2">
      <c r="C288" s="69"/>
      <c r="D288" s="70"/>
      <c r="S288" s="34"/>
      <c r="T288" s="60" t="str">
        <f>IF(P288&lt;&gt;"",
    IF(OR(O288="", Q288="", R288=""),
        "Fill all the required columns",
        IFERROR(
            IF(OR(
                AND(R288="Marine Protected", VLOOKUP(O288, Reference!$A$2:$D$34, 4, FALSE) &lt;= P288),
                AND(R288="General Use", VLOOKUP(O288, Reference!$A$2:$D$34, 3, FALSE) &lt;= P288)
            ),
                "Exceeded",
                "OK"
            ),
            "No Regulation defined"
        )
    ),
    ""
)</f>
        <v/>
      </c>
      <c r="AB288" s="62" t="str">
        <f t="shared" si="4"/>
        <v/>
      </c>
    </row>
    <row r="289" spans="3:28" x14ac:dyDescent="0.2">
      <c r="C289" s="69"/>
      <c r="D289" s="70"/>
      <c r="S289" s="34"/>
      <c r="T289" s="60" t="str">
        <f>IF(P289&lt;&gt;"",
    IF(OR(O289="", Q289="", R289=""),
        "Fill all the required columns",
        IFERROR(
            IF(OR(
                AND(R289="Marine Protected", VLOOKUP(O289, Reference!$A$2:$D$34, 4, FALSE) &lt;= P289),
                AND(R289="General Use", VLOOKUP(O289, Reference!$A$2:$D$34, 3, FALSE) &lt;= P289)
            ),
                "Exceeded",
                "OK"
            ),
            "No Regulation defined"
        )
    ),
    ""
)</f>
        <v/>
      </c>
      <c r="AB289" s="62" t="str">
        <f t="shared" si="4"/>
        <v/>
      </c>
    </row>
    <row r="290" spans="3:28" x14ac:dyDescent="0.2">
      <c r="C290" s="69"/>
      <c r="D290" s="70"/>
      <c r="S290" s="34"/>
      <c r="T290" s="60" t="str">
        <f>IF(P290&lt;&gt;"",
    IF(OR(O290="", Q290="", R290=""),
        "Fill all the required columns",
        IFERROR(
            IF(OR(
                AND(R290="Marine Protected", VLOOKUP(O290, Reference!$A$2:$D$34, 4, FALSE) &lt;= P290),
                AND(R290="General Use", VLOOKUP(O290, Reference!$A$2:$D$34, 3, FALSE) &lt;= P290)
            ),
                "Exceeded",
                "OK"
            ),
            "No Regulation defined"
        )
    ),
    ""
)</f>
        <v/>
      </c>
      <c r="AB290" s="62" t="str">
        <f t="shared" si="4"/>
        <v/>
      </c>
    </row>
    <row r="291" spans="3:28" x14ac:dyDescent="0.2">
      <c r="C291" s="69"/>
      <c r="D291" s="70"/>
      <c r="S291" s="34"/>
      <c r="T291" s="60" t="str">
        <f>IF(P291&lt;&gt;"",
    IF(OR(O291="", Q291="", R291=""),
        "Fill all the required columns",
        IFERROR(
            IF(OR(
                AND(R291="Marine Protected", VLOOKUP(O291, Reference!$A$2:$D$34, 4, FALSE) &lt;= P291),
                AND(R291="General Use", VLOOKUP(O291, Reference!$A$2:$D$34, 3, FALSE) &lt;= P291)
            ),
                "Exceeded",
                "OK"
            ),
            "No Regulation defined"
        )
    ),
    ""
)</f>
        <v/>
      </c>
      <c r="AB291" s="62" t="str">
        <f t="shared" si="4"/>
        <v/>
      </c>
    </row>
    <row r="292" spans="3:28" x14ac:dyDescent="0.2">
      <c r="C292" s="69"/>
      <c r="D292" s="70"/>
      <c r="S292" s="34"/>
      <c r="T292" s="60" t="str">
        <f>IF(P292&lt;&gt;"",
    IF(OR(O292="", Q292="", R292=""),
        "Fill all the required columns",
        IFERROR(
            IF(OR(
                AND(R292="Marine Protected", VLOOKUP(O292, Reference!$A$2:$D$34, 4, FALSE) &lt;= P292),
                AND(R292="General Use", VLOOKUP(O292, Reference!$A$2:$D$34, 3, FALSE) &lt;= P292)
            ),
                "Exceeded",
                "OK"
            ),
            "No Regulation defined"
        )
    ),
    ""
)</f>
        <v/>
      </c>
      <c r="AB292" s="62" t="str">
        <f t="shared" si="4"/>
        <v/>
      </c>
    </row>
    <row r="293" spans="3:28" x14ac:dyDescent="0.2">
      <c r="C293" s="69"/>
      <c r="D293" s="70"/>
      <c r="S293" s="34"/>
      <c r="T293" s="60" t="str">
        <f>IF(P293&lt;&gt;"",
    IF(OR(O293="", Q293="", R293=""),
        "Fill all the required columns",
        IFERROR(
            IF(OR(
                AND(R293="Marine Protected", VLOOKUP(O293, Reference!$A$2:$D$34, 4, FALSE) &lt;= P293),
                AND(R293="General Use", VLOOKUP(O293, Reference!$A$2:$D$34, 3, FALSE) &lt;= P293)
            ),
                "Exceeded",
                "OK"
            ),
            "No Regulation defined"
        )
    ),
    ""
)</f>
        <v/>
      </c>
      <c r="AB293" s="62" t="str">
        <f t="shared" si="4"/>
        <v/>
      </c>
    </row>
    <row r="294" spans="3:28" x14ac:dyDescent="0.2">
      <c r="C294" s="69"/>
      <c r="D294" s="70"/>
      <c r="S294" s="34"/>
      <c r="T294" s="60" t="str">
        <f>IF(P294&lt;&gt;"",
    IF(OR(O294="", Q294="", R294=""),
        "Fill all the required columns",
        IFERROR(
            IF(OR(
                AND(R294="Marine Protected", VLOOKUP(O294, Reference!$A$2:$D$34, 4, FALSE) &lt;= P294),
                AND(R294="General Use", VLOOKUP(O294, Reference!$A$2:$D$34, 3, FALSE) &lt;= P294)
            ),
                "Exceeded",
                "OK"
            ),
            "No Regulation defined"
        )
    ),
    ""
)</f>
        <v/>
      </c>
      <c r="AB294" s="62" t="str">
        <f t="shared" si="4"/>
        <v/>
      </c>
    </row>
    <row r="295" spans="3:28" x14ac:dyDescent="0.2">
      <c r="C295" s="69"/>
      <c r="D295" s="70"/>
      <c r="S295" s="34"/>
      <c r="T295" s="60" t="str">
        <f>IF(P295&lt;&gt;"",
    IF(OR(O295="", Q295="", R295=""),
        "Fill all the required columns",
        IFERROR(
            IF(OR(
                AND(R295="Marine Protected", VLOOKUP(O295, Reference!$A$2:$D$34, 4, FALSE) &lt;= P295),
                AND(R295="General Use", VLOOKUP(O295, Reference!$A$2:$D$34, 3, FALSE) &lt;= P295)
            ),
                "Exceeded",
                "OK"
            ),
            "No Regulation defined"
        )
    ),
    ""
)</f>
        <v/>
      </c>
      <c r="AB295" s="62" t="str">
        <f t="shared" si="4"/>
        <v/>
      </c>
    </row>
    <row r="296" spans="3:28" x14ac:dyDescent="0.2">
      <c r="C296" s="69"/>
      <c r="D296" s="70"/>
      <c r="S296" s="34"/>
      <c r="T296" s="60" t="str">
        <f>IF(P296&lt;&gt;"",
    IF(OR(O296="", Q296="", R296=""),
        "Fill all the required columns",
        IFERROR(
            IF(OR(
                AND(R296="Marine Protected", VLOOKUP(O296, Reference!$A$2:$D$34, 4, FALSE) &lt;= P296),
                AND(R296="General Use", VLOOKUP(O296, Reference!$A$2:$D$34, 3, FALSE) &lt;= P296)
            ),
                "Exceeded",
                "OK"
            ),
            "No Regulation defined"
        )
    ),
    ""
)</f>
        <v/>
      </c>
      <c r="AB296" s="62" t="str">
        <f t="shared" si="4"/>
        <v/>
      </c>
    </row>
    <row r="297" spans="3:28" x14ac:dyDescent="0.2">
      <c r="C297" s="69"/>
      <c r="D297" s="70"/>
      <c r="S297" s="34"/>
      <c r="T297" s="60" t="str">
        <f>IF(P297&lt;&gt;"",
    IF(OR(O297="", Q297="", R297=""),
        "Fill all the required columns",
        IFERROR(
            IF(OR(
                AND(R297="Marine Protected", VLOOKUP(O297, Reference!$A$2:$D$34, 4, FALSE) &lt;= P297),
                AND(R297="General Use", VLOOKUP(O297, Reference!$A$2:$D$34, 3, FALSE) &lt;= P297)
            ),
                "Exceeded",
                "OK"
            ),
            "No Regulation defined"
        )
    ),
    ""
)</f>
        <v/>
      </c>
      <c r="AB297" s="62" t="str">
        <f t="shared" si="4"/>
        <v/>
      </c>
    </row>
    <row r="298" spans="3:28" x14ac:dyDescent="0.2">
      <c r="C298" s="69"/>
      <c r="D298" s="70"/>
      <c r="S298" s="34"/>
      <c r="T298" s="60" t="str">
        <f>IF(P298&lt;&gt;"",
    IF(OR(O298="", Q298="", R298=""),
        "Fill all the required columns",
        IFERROR(
            IF(OR(
                AND(R298="Marine Protected", VLOOKUP(O298, Reference!$A$2:$D$34, 4, FALSE) &lt;= P298),
                AND(R298="General Use", VLOOKUP(O298, Reference!$A$2:$D$34, 3, FALSE) &lt;= P298)
            ),
                "Exceeded",
                "OK"
            ),
            "No Regulation defined"
        )
    ),
    ""
)</f>
        <v/>
      </c>
      <c r="AB298" s="62" t="str">
        <f t="shared" si="4"/>
        <v/>
      </c>
    </row>
    <row r="299" spans="3:28" x14ac:dyDescent="0.2">
      <c r="C299" s="69"/>
      <c r="D299" s="70"/>
      <c r="S299" s="34"/>
      <c r="T299" s="60" t="str">
        <f>IF(P299&lt;&gt;"",
    IF(OR(O299="", Q299="", R299=""),
        "Fill all the required columns",
        IFERROR(
            IF(OR(
                AND(R299="Marine Protected", VLOOKUP(O299, Reference!$A$2:$D$34, 4, FALSE) &lt;= P299),
                AND(R299="General Use", VLOOKUP(O299, Reference!$A$2:$D$34, 3, FALSE) &lt;= P299)
            ),
                "Exceeded",
                "OK"
            ),
            "No Regulation defined"
        )
    ),
    ""
)</f>
        <v/>
      </c>
      <c r="AB299" s="62" t="str">
        <f t="shared" si="4"/>
        <v/>
      </c>
    </row>
    <row r="300" spans="3:28" x14ac:dyDescent="0.2">
      <c r="C300" s="69"/>
      <c r="D300" s="70"/>
      <c r="S300" s="34"/>
      <c r="T300" s="60" t="str">
        <f>IF(P300&lt;&gt;"",
    IF(OR(O300="", Q300="", R300=""),
        "Fill all the required columns",
        IFERROR(
            IF(OR(
                AND(R300="Marine Protected", VLOOKUP(O300, Reference!$A$2:$D$34, 4, FALSE) &lt;= P300),
                AND(R300="General Use", VLOOKUP(O300, Reference!$A$2:$D$34, 3, FALSE) &lt;= P300)
            ),
                "Exceeded",
                "OK"
            ),
            "No Regulation defined"
        )
    ),
    ""
)</f>
        <v/>
      </c>
      <c r="AB300" s="62" t="str">
        <f t="shared" si="4"/>
        <v/>
      </c>
    </row>
    <row r="301" spans="3:28" x14ac:dyDescent="0.2">
      <c r="C301" s="69"/>
      <c r="D301" s="70"/>
      <c r="S301" s="34"/>
      <c r="T301" s="60" t="str">
        <f>IF(P301&lt;&gt;"",
    IF(OR(O301="", Q301="", R301=""),
        "Fill all the required columns",
        IFERROR(
            IF(OR(
                AND(R301="Marine Protected", VLOOKUP(O301, Reference!$A$2:$D$34, 4, FALSE) &lt;= P301),
                AND(R301="General Use", VLOOKUP(O301, Reference!$A$2:$D$34, 3, FALSE) &lt;= P301)
            ),
                "Exceeded",
                "OK"
            ),
            "No Regulation defined"
        )
    ),
    ""
)</f>
        <v/>
      </c>
      <c r="AB301" s="62" t="str">
        <f t="shared" si="4"/>
        <v/>
      </c>
    </row>
    <row r="302" spans="3:28" x14ac:dyDescent="0.2">
      <c r="C302" s="69"/>
      <c r="D302" s="70"/>
      <c r="S302" s="34"/>
      <c r="T302" s="60" t="str">
        <f>IF(P302&lt;&gt;"",
    IF(OR(O302="", Q302="", R302=""),
        "Fill all the required columns",
        IFERROR(
            IF(OR(
                AND(R302="Marine Protected", VLOOKUP(O302, Reference!$A$2:$D$34, 4, FALSE) &lt;= P302),
                AND(R302="General Use", VLOOKUP(O302, Reference!$A$2:$D$34, 3, FALSE) &lt;= P302)
            ),
                "Exceeded",
                "OK"
            ),
            "No Regulation defined"
        )
    ),
    ""
)</f>
        <v/>
      </c>
      <c r="AB302" s="62" t="str">
        <f t="shared" si="4"/>
        <v/>
      </c>
    </row>
    <row r="303" spans="3:28" x14ac:dyDescent="0.2">
      <c r="C303" s="69"/>
      <c r="D303" s="70"/>
      <c r="S303" s="34"/>
      <c r="T303" s="60" t="str">
        <f>IF(P303&lt;&gt;"",
    IF(OR(O303="", Q303="", R303=""),
        "Fill all the required columns",
        IFERROR(
            IF(OR(
                AND(R303="Marine Protected", VLOOKUP(O303, Reference!$A$2:$D$34, 4, FALSE) &lt;= P303),
                AND(R303="General Use", VLOOKUP(O303, Reference!$A$2:$D$34, 3, FALSE) &lt;= P303)
            ),
                "Exceeded",
                "OK"
            ),
            "No Regulation defined"
        )
    ),
    ""
)</f>
        <v/>
      </c>
      <c r="AB303" s="62" t="str">
        <f t="shared" si="4"/>
        <v/>
      </c>
    </row>
    <row r="304" spans="3:28" x14ac:dyDescent="0.2">
      <c r="C304" s="69"/>
      <c r="D304" s="70"/>
      <c r="S304" s="34"/>
      <c r="T304" s="60" t="str">
        <f>IF(P304&lt;&gt;"",
    IF(OR(O304="", Q304="", R304=""),
        "Fill all the required columns",
        IFERROR(
            IF(OR(
                AND(R304="Marine Protected", VLOOKUP(O304, Reference!$A$2:$D$34, 4, FALSE) &lt;= P304),
                AND(R304="General Use", VLOOKUP(O304, Reference!$A$2:$D$34, 3, FALSE) &lt;= P304)
            ),
                "Exceeded",
                "OK"
            ),
            "No Regulation defined"
        )
    ),
    ""
)</f>
        <v/>
      </c>
      <c r="AB304" s="62" t="str">
        <f t="shared" si="4"/>
        <v/>
      </c>
    </row>
    <row r="305" spans="3:28" x14ac:dyDescent="0.2">
      <c r="C305" s="69"/>
      <c r="D305" s="70"/>
      <c r="S305" s="34"/>
      <c r="T305" s="60" t="str">
        <f>IF(P305&lt;&gt;"",
    IF(OR(O305="", Q305="", R305=""),
        "Fill all the required columns",
        IFERROR(
            IF(OR(
                AND(R305="Marine Protected", VLOOKUP(O305, Reference!$A$2:$D$34, 4, FALSE) &lt;= P305),
                AND(R305="General Use", VLOOKUP(O305, Reference!$A$2:$D$34, 3, FALSE) &lt;= P305)
            ),
                "Exceeded",
                "OK"
            ),
            "No Regulation defined"
        )
    ),
    ""
)</f>
        <v/>
      </c>
      <c r="AB305" s="62" t="str">
        <f t="shared" si="4"/>
        <v/>
      </c>
    </row>
    <row r="306" spans="3:28" x14ac:dyDescent="0.2">
      <c r="C306" s="69"/>
      <c r="D306" s="70"/>
      <c r="S306" s="34"/>
      <c r="T306" s="60" t="str">
        <f>IF(P306&lt;&gt;"",
    IF(OR(O306="", Q306="", R306=""),
        "Fill all the required columns",
        IFERROR(
            IF(OR(
                AND(R306="Marine Protected", VLOOKUP(O306, Reference!$A$2:$D$34, 4, FALSE) &lt;= P306),
                AND(R306="General Use", VLOOKUP(O306, Reference!$A$2:$D$34, 3, FALSE) &lt;= P306)
            ),
                "Exceeded",
                "OK"
            ),
            "No Regulation defined"
        )
    ),
    ""
)</f>
        <v/>
      </c>
      <c r="AB306" s="62" t="str">
        <f t="shared" si="4"/>
        <v/>
      </c>
    </row>
    <row r="307" spans="3:28" x14ac:dyDescent="0.2">
      <c r="C307" s="69"/>
      <c r="D307" s="70"/>
      <c r="S307" s="34"/>
      <c r="T307" s="60" t="str">
        <f>IF(P307&lt;&gt;"",
    IF(OR(O307="", Q307="", R307=""),
        "Fill all the required columns",
        IFERROR(
            IF(OR(
                AND(R307="Marine Protected", VLOOKUP(O307, Reference!$A$2:$D$34, 4, FALSE) &lt;= P307),
                AND(R307="General Use", VLOOKUP(O307, Reference!$A$2:$D$34, 3, FALSE) &lt;= P307)
            ),
                "Exceeded",
                "OK"
            ),
            "No Regulation defined"
        )
    ),
    ""
)</f>
        <v/>
      </c>
      <c r="AB307" s="62" t="str">
        <f t="shared" si="4"/>
        <v/>
      </c>
    </row>
    <row r="308" spans="3:28" x14ac:dyDescent="0.2">
      <c r="C308" s="69"/>
      <c r="D308" s="70"/>
      <c r="S308" s="34"/>
      <c r="T308" s="60" t="str">
        <f>IF(P308&lt;&gt;"",
    IF(OR(O308="", Q308="", R308=""),
        "Fill all the required columns",
        IFERROR(
            IF(OR(
                AND(R308="Marine Protected", VLOOKUP(O308, Reference!$A$2:$D$34, 4, FALSE) &lt;= P308),
                AND(R308="General Use", VLOOKUP(O308, Reference!$A$2:$D$34, 3, FALSE) &lt;= P308)
            ),
                "Exceeded",
                "OK"
            ),
            "No Regulation defined"
        )
    ),
    ""
)</f>
        <v/>
      </c>
      <c r="AB308" s="62" t="str">
        <f t="shared" si="4"/>
        <v/>
      </c>
    </row>
    <row r="309" spans="3:28" x14ac:dyDescent="0.2">
      <c r="C309" s="69"/>
      <c r="D309" s="70"/>
      <c r="S309" s="34"/>
      <c r="T309" s="60" t="str">
        <f>IF(P309&lt;&gt;"",
    IF(OR(O309="", Q309="", R309=""),
        "Fill all the required columns",
        IFERROR(
            IF(OR(
                AND(R309="Marine Protected", VLOOKUP(O309, Reference!$A$2:$D$34, 4, FALSE) &lt;= P309),
                AND(R309="General Use", VLOOKUP(O309, Reference!$A$2:$D$34, 3, FALSE) &lt;= P309)
            ),
                "Exceeded",
                "OK"
            ),
            "No Regulation defined"
        )
    ),
    ""
)</f>
        <v/>
      </c>
      <c r="AB309" s="62" t="str">
        <f t="shared" si="4"/>
        <v/>
      </c>
    </row>
    <row r="310" spans="3:28" x14ac:dyDescent="0.2">
      <c r="C310" s="69"/>
      <c r="D310" s="70"/>
      <c r="S310" s="34"/>
      <c r="T310" s="60" t="str">
        <f>IF(P310&lt;&gt;"",
    IF(OR(O310="", Q310="", R310=""),
        "Fill all the required columns",
        IFERROR(
            IF(OR(
                AND(R310="Marine Protected", VLOOKUP(O310, Reference!$A$2:$D$34, 4, FALSE) &lt;= P310),
                AND(R310="General Use", VLOOKUP(O310, Reference!$A$2:$D$34, 3, FALSE) &lt;= P310)
            ),
                "Exceeded",
                "OK"
            ),
            "No Regulation defined"
        )
    ),
    ""
)</f>
        <v/>
      </c>
      <c r="AB310" s="62" t="str">
        <f t="shared" si="4"/>
        <v/>
      </c>
    </row>
    <row r="311" spans="3:28" x14ac:dyDescent="0.2">
      <c r="C311" s="69"/>
      <c r="D311" s="70"/>
      <c r="S311" s="34"/>
      <c r="T311" s="60" t="str">
        <f>IF(P311&lt;&gt;"",
    IF(OR(O311="", Q311="", R311=""),
        "Fill all the required columns",
        IFERROR(
            IF(OR(
                AND(R311="Marine Protected", VLOOKUP(O311, Reference!$A$2:$D$34, 4, FALSE) &lt;= P311),
                AND(R311="General Use", VLOOKUP(O311, Reference!$A$2:$D$34, 3, FALSE) &lt;= P311)
            ),
                "Exceeded",
                "OK"
            ),
            "No Regulation defined"
        )
    ),
    ""
)</f>
        <v/>
      </c>
      <c r="AB311" s="62" t="str">
        <f t="shared" si="4"/>
        <v/>
      </c>
    </row>
    <row r="312" spans="3:28" x14ac:dyDescent="0.2">
      <c r="C312" s="69"/>
      <c r="D312" s="70"/>
      <c r="S312" s="34"/>
      <c r="T312" s="60" t="str">
        <f>IF(P312&lt;&gt;"",
    IF(OR(O312="", Q312="", R312=""),
        "Fill all the required columns",
        IFERROR(
            IF(OR(
                AND(R312="Marine Protected", VLOOKUP(O312, Reference!$A$2:$D$34, 4, FALSE) &lt;= P312),
                AND(R312="General Use", VLOOKUP(O312, Reference!$A$2:$D$34, 3, FALSE) &lt;= P312)
            ),
                "Exceeded",
                "OK"
            ),
            "No Regulation defined"
        )
    ),
    ""
)</f>
        <v/>
      </c>
      <c r="AB312" s="62" t="str">
        <f t="shared" si="4"/>
        <v/>
      </c>
    </row>
    <row r="313" spans="3:28" x14ac:dyDescent="0.2">
      <c r="C313" s="69"/>
      <c r="D313" s="70"/>
      <c r="S313" s="34"/>
      <c r="T313" s="60" t="str">
        <f>IF(P313&lt;&gt;"",
    IF(OR(O313="", Q313="", R313=""),
        "Fill all the required columns",
        IFERROR(
            IF(OR(
                AND(R313="Marine Protected", VLOOKUP(O313, Reference!$A$2:$D$34, 4, FALSE) &lt;= P313),
                AND(R313="General Use", VLOOKUP(O313, Reference!$A$2:$D$34, 3, FALSE) &lt;= P313)
            ),
                "Exceeded",
                "OK"
            ),
            "No Regulation defined"
        )
    ),
    ""
)</f>
        <v/>
      </c>
      <c r="AB313" s="62" t="str">
        <f t="shared" si="4"/>
        <v/>
      </c>
    </row>
    <row r="314" spans="3:28" x14ac:dyDescent="0.2">
      <c r="C314" s="69"/>
      <c r="D314" s="70"/>
      <c r="S314" s="34"/>
      <c r="T314" s="60" t="str">
        <f>IF(P314&lt;&gt;"",
    IF(OR(O314="", Q314="", R314=""),
        "Fill all the required columns",
        IFERROR(
            IF(OR(
                AND(R314="Marine Protected", VLOOKUP(O314, Reference!$A$2:$D$34, 4, FALSE) &lt;= P314),
                AND(R314="General Use", VLOOKUP(O314, Reference!$A$2:$D$34, 3, FALSE) &lt;= P314)
            ),
                "Exceeded",
                "OK"
            ),
            "No Regulation defined"
        )
    ),
    ""
)</f>
        <v/>
      </c>
      <c r="AB314" s="62" t="str">
        <f t="shared" si="4"/>
        <v/>
      </c>
    </row>
    <row r="315" spans="3:28" x14ac:dyDescent="0.2">
      <c r="C315" s="69"/>
      <c r="D315" s="70"/>
      <c r="S315" s="34"/>
      <c r="T315" s="60" t="str">
        <f>IF(P315&lt;&gt;"",
    IF(OR(O315="", Q315="", R315=""),
        "Fill all the required columns",
        IFERROR(
            IF(OR(
                AND(R315="Marine Protected", VLOOKUP(O315, Reference!$A$2:$D$34, 4, FALSE) &lt;= P315),
                AND(R315="General Use", VLOOKUP(O315, Reference!$A$2:$D$34, 3, FALSE) &lt;= P315)
            ),
                "Exceeded",
                "OK"
            ),
            "No Regulation defined"
        )
    ),
    ""
)</f>
        <v/>
      </c>
      <c r="AB315" s="62" t="str">
        <f t="shared" si="4"/>
        <v/>
      </c>
    </row>
    <row r="316" spans="3:28" x14ac:dyDescent="0.2">
      <c r="C316" s="69"/>
      <c r="D316" s="70"/>
      <c r="S316" s="34"/>
      <c r="T316" s="60" t="str">
        <f>IF(P316&lt;&gt;"",
    IF(OR(O316="", Q316="", R316=""),
        "Fill all the required columns",
        IFERROR(
            IF(OR(
                AND(R316="Marine Protected", VLOOKUP(O316, Reference!$A$2:$D$34, 4, FALSE) &lt;= P316),
                AND(R316="General Use", VLOOKUP(O316, Reference!$A$2:$D$34, 3, FALSE) &lt;= P316)
            ),
                "Exceeded",
                "OK"
            ),
            "No Regulation defined"
        )
    ),
    ""
)</f>
        <v/>
      </c>
      <c r="AB316" s="62" t="str">
        <f t="shared" si="4"/>
        <v/>
      </c>
    </row>
    <row r="317" spans="3:28" x14ac:dyDescent="0.2">
      <c r="C317" s="69"/>
      <c r="D317" s="70"/>
      <c r="S317" s="34"/>
      <c r="T317" s="60" t="str">
        <f>IF(P317&lt;&gt;"",
    IF(OR(O317="", Q317="", R317=""),
        "Fill all the required columns",
        IFERROR(
            IF(OR(
                AND(R317="Marine Protected", VLOOKUP(O317, Reference!$A$2:$D$34, 4, FALSE) &lt;= P317),
                AND(R317="General Use", VLOOKUP(O317, Reference!$A$2:$D$34, 3, FALSE) &lt;= P317)
            ),
                "Exceeded",
                "OK"
            ),
            "No Regulation defined"
        )
    ),
    ""
)</f>
        <v/>
      </c>
      <c r="AB317" s="62" t="str">
        <f t="shared" si="4"/>
        <v/>
      </c>
    </row>
    <row r="318" spans="3:28" x14ac:dyDescent="0.2">
      <c r="C318" s="69"/>
      <c r="D318" s="70"/>
      <c r="S318" s="34"/>
      <c r="T318" s="60" t="str">
        <f>IF(P318&lt;&gt;"",
    IF(OR(O318="", Q318="", R318=""),
        "Fill all the required columns",
        IFERROR(
            IF(OR(
                AND(R318="Marine Protected", VLOOKUP(O318, Reference!$A$2:$D$34, 4, FALSE) &lt;= P318),
                AND(R318="General Use", VLOOKUP(O318, Reference!$A$2:$D$34, 3, FALSE) &lt;= P318)
            ),
                "Exceeded",
                "OK"
            ),
            "No Regulation defined"
        )
    ),
    ""
)</f>
        <v/>
      </c>
      <c r="AB318" s="62" t="str">
        <f t="shared" si="4"/>
        <v/>
      </c>
    </row>
    <row r="319" spans="3:28" x14ac:dyDescent="0.2">
      <c r="C319" s="69"/>
      <c r="D319" s="70"/>
      <c r="S319" s="34"/>
      <c r="T319" s="60" t="str">
        <f>IF(P319&lt;&gt;"",
    IF(OR(O319="", Q319="", R319=""),
        "Fill all the required columns",
        IFERROR(
            IF(OR(
                AND(R319="Marine Protected", VLOOKUP(O319, Reference!$A$2:$D$34, 4, FALSE) &lt;= P319),
                AND(R319="General Use", VLOOKUP(O319, Reference!$A$2:$D$34, 3, FALSE) &lt;= P319)
            ),
                "Exceeded",
                "OK"
            ),
            "No Regulation defined"
        )
    ),
    ""
)</f>
        <v/>
      </c>
      <c r="AB319" s="62" t="str">
        <f t="shared" si="4"/>
        <v/>
      </c>
    </row>
    <row r="320" spans="3:28" x14ac:dyDescent="0.2">
      <c r="C320" s="69"/>
      <c r="D320" s="70"/>
      <c r="S320" s="34"/>
      <c r="T320" s="60" t="str">
        <f>IF(P320&lt;&gt;"",
    IF(OR(O320="", Q320="", R320=""),
        "Fill all the required columns",
        IFERROR(
            IF(OR(
                AND(R320="Marine Protected", VLOOKUP(O320, Reference!$A$2:$D$34, 4, FALSE) &lt;= P320),
                AND(R320="General Use", VLOOKUP(O320, Reference!$A$2:$D$34, 3, FALSE) &lt;= P320)
            ),
                "Exceeded",
                "OK"
            ),
            "No Regulation defined"
        )
    ),
    ""
)</f>
        <v/>
      </c>
      <c r="AB320" s="62" t="str">
        <f t="shared" si="4"/>
        <v/>
      </c>
    </row>
    <row r="321" spans="3:28" x14ac:dyDescent="0.2">
      <c r="C321" s="69"/>
      <c r="D321" s="70"/>
      <c r="S321" s="34"/>
      <c r="T321" s="60" t="str">
        <f>IF(P321&lt;&gt;"",
    IF(OR(O321="", Q321="", R321=""),
        "Fill all the required columns",
        IFERROR(
            IF(OR(
                AND(R321="Marine Protected", VLOOKUP(O321, Reference!$A$2:$D$34, 4, FALSE) &lt;= P321),
                AND(R321="General Use", VLOOKUP(O321, Reference!$A$2:$D$34, 3, FALSE) &lt;= P321)
            ),
                "Exceeded",
                "OK"
            ),
            "No Regulation defined"
        )
    ),
    ""
)</f>
        <v/>
      </c>
      <c r="AB321" s="62" t="str">
        <f t="shared" si="4"/>
        <v/>
      </c>
    </row>
    <row r="322" spans="3:28" x14ac:dyDescent="0.2">
      <c r="C322" s="69"/>
      <c r="D322" s="70"/>
      <c r="S322" s="34"/>
      <c r="T322" s="60" t="str">
        <f>IF(P322&lt;&gt;"",
    IF(OR(O322="", Q322="", R322=""),
        "Fill all the required columns",
        IFERROR(
            IF(OR(
                AND(R322="Marine Protected", VLOOKUP(O322, Reference!$A$2:$D$34, 4, FALSE) &lt;= P322),
                AND(R322="General Use", VLOOKUP(O322, Reference!$A$2:$D$34, 3, FALSE) &lt;= P322)
            ),
                "Exceeded",
                "OK"
            ),
            "No Regulation defined"
        )
    ),
    ""
)</f>
        <v/>
      </c>
      <c r="AB322" s="62" t="str">
        <f t="shared" si="4"/>
        <v/>
      </c>
    </row>
    <row r="323" spans="3:28" x14ac:dyDescent="0.2">
      <c r="C323" s="69"/>
      <c r="D323" s="70"/>
      <c r="S323" s="34"/>
      <c r="T323" s="60" t="str">
        <f>IF(P323&lt;&gt;"",
    IF(OR(O323="", Q323="", R323=""),
        "Fill all the required columns",
        IFERROR(
            IF(OR(
                AND(R323="Marine Protected", VLOOKUP(O323, Reference!$A$2:$D$34, 4, FALSE) &lt;= P323),
                AND(R323="General Use", VLOOKUP(O323, Reference!$A$2:$D$34, 3, FALSE) &lt;= P323)
            ),
                "Exceeded",
                "OK"
            ),
            "No Regulation defined"
        )
    ),
    ""
)</f>
        <v/>
      </c>
      <c r="AB323" s="62" t="str">
        <f t="shared" ref="AB323:AB386" si="5">IF(COUNTA(A323, E323, F323, H323, I323, O323, P323, Q323, R323,S323) = 0, "", IF(COUNTA(A323, E323, F323, H323, I323, O323, P323, Q323, R323,S323) = 10, "OK", "Incomplete"))</f>
        <v/>
      </c>
    </row>
    <row r="324" spans="3:28" x14ac:dyDescent="0.2">
      <c r="C324" s="69"/>
      <c r="D324" s="70"/>
      <c r="S324" s="34"/>
      <c r="T324" s="60" t="str">
        <f>IF(P324&lt;&gt;"",
    IF(OR(O324="", Q324="", R324=""),
        "Fill all the required columns",
        IFERROR(
            IF(OR(
                AND(R324="Marine Protected", VLOOKUP(O324, Reference!$A$2:$D$34, 4, FALSE) &lt;= P324),
                AND(R324="General Use", VLOOKUP(O324, Reference!$A$2:$D$34, 3, FALSE) &lt;= P324)
            ),
                "Exceeded",
                "OK"
            ),
            "No Regulation defined"
        )
    ),
    ""
)</f>
        <v/>
      </c>
      <c r="AB324" s="62" t="str">
        <f t="shared" si="5"/>
        <v/>
      </c>
    </row>
    <row r="325" spans="3:28" x14ac:dyDescent="0.2">
      <c r="C325" s="69"/>
      <c r="D325" s="70"/>
      <c r="S325" s="34"/>
      <c r="T325" s="60" t="str">
        <f>IF(P325&lt;&gt;"",
    IF(OR(O325="", Q325="", R325=""),
        "Fill all the required columns",
        IFERROR(
            IF(OR(
                AND(R325="Marine Protected", VLOOKUP(O325, Reference!$A$2:$D$34, 4, FALSE) &lt;= P325),
                AND(R325="General Use", VLOOKUP(O325, Reference!$A$2:$D$34, 3, FALSE) &lt;= P325)
            ),
                "Exceeded",
                "OK"
            ),
            "No Regulation defined"
        )
    ),
    ""
)</f>
        <v/>
      </c>
      <c r="AB325" s="62" t="str">
        <f t="shared" si="5"/>
        <v/>
      </c>
    </row>
    <row r="326" spans="3:28" x14ac:dyDescent="0.2">
      <c r="C326" s="69"/>
      <c r="D326" s="70"/>
      <c r="S326" s="34"/>
      <c r="T326" s="60" t="str">
        <f>IF(P326&lt;&gt;"",
    IF(OR(O326="", Q326="", R326=""),
        "Fill all the required columns",
        IFERROR(
            IF(OR(
                AND(R326="Marine Protected", VLOOKUP(O326, Reference!$A$2:$D$34, 4, FALSE) &lt;= P326),
                AND(R326="General Use", VLOOKUP(O326, Reference!$A$2:$D$34, 3, FALSE) &lt;= P326)
            ),
                "Exceeded",
                "OK"
            ),
            "No Regulation defined"
        )
    ),
    ""
)</f>
        <v/>
      </c>
      <c r="AB326" s="62" t="str">
        <f t="shared" si="5"/>
        <v/>
      </c>
    </row>
    <row r="327" spans="3:28" x14ac:dyDescent="0.2">
      <c r="C327" s="69"/>
      <c r="D327" s="70"/>
      <c r="S327" s="34"/>
      <c r="T327" s="60" t="str">
        <f>IF(P327&lt;&gt;"",
    IF(OR(O327="", Q327="", R327=""),
        "Fill all the required columns",
        IFERROR(
            IF(OR(
                AND(R327="Marine Protected", VLOOKUP(O327, Reference!$A$2:$D$34, 4, FALSE) &lt;= P327),
                AND(R327="General Use", VLOOKUP(O327, Reference!$A$2:$D$34, 3, FALSE) &lt;= P327)
            ),
                "Exceeded",
                "OK"
            ),
            "No Regulation defined"
        )
    ),
    ""
)</f>
        <v/>
      </c>
      <c r="AB327" s="62" t="str">
        <f t="shared" si="5"/>
        <v/>
      </c>
    </row>
    <row r="328" spans="3:28" x14ac:dyDescent="0.2">
      <c r="C328" s="69"/>
      <c r="D328" s="70"/>
      <c r="S328" s="34"/>
      <c r="T328" s="60" t="str">
        <f>IF(P328&lt;&gt;"",
    IF(OR(O328="", Q328="", R328=""),
        "Fill all the required columns",
        IFERROR(
            IF(OR(
                AND(R328="Marine Protected", VLOOKUP(O328, Reference!$A$2:$D$34, 4, FALSE) &lt;= P328),
                AND(R328="General Use", VLOOKUP(O328, Reference!$A$2:$D$34, 3, FALSE) &lt;= P328)
            ),
                "Exceeded",
                "OK"
            ),
            "No Regulation defined"
        )
    ),
    ""
)</f>
        <v/>
      </c>
      <c r="AB328" s="62" t="str">
        <f t="shared" si="5"/>
        <v/>
      </c>
    </row>
    <row r="329" spans="3:28" x14ac:dyDescent="0.2">
      <c r="C329" s="69"/>
      <c r="D329" s="70"/>
      <c r="S329" s="34"/>
      <c r="T329" s="60" t="str">
        <f>IF(P329&lt;&gt;"",
    IF(OR(O329="", Q329="", R329=""),
        "Fill all the required columns",
        IFERROR(
            IF(OR(
                AND(R329="Marine Protected", VLOOKUP(O329, Reference!$A$2:$D$34, 4, FALSE) &lt;= P329),
                AND(R329="General Use", VLOOKUP(O329, Reference!$A$2:$D$34, 3, FALSE) &lt;= P329)
            ),
                "Exceeded",
                "OK"
            ),
            "No Regulation defined"
        )
    ),
    ""
)</f>
        <v/>
      </c>
      <c r="AB329" s="62" t="str">
        <f t="shared" si="5"/>
        <v/>
      </c>
    </row>
    <row r="330" spans="3:28" x14ac:dyDescent="0.2">
      <c r="C330" s="69"/>
      <c r="D330" s="70"/>
      <c r="S330" s="34"/>
      <c r="T330" s="60" t="str">
        <f>IF(P330&lt;&gt;"",
    IF(OR(O330="", Q330="", R330=""),
        "Fill all the required columns",
        IFERROR(
            IF(OR(
                AND(R330="Marine Protected", VLOOKUP(O330, Reference!$A$2:$D$34, 4, FALSE) &lt;= P330),
                AND(R330="General Use", VLOOKUP(O330, Reference!$A$2:$D$34, 3, FALSE) &lt;= P330)
            ),
                "Exceeded",
                "OK"
            ),
            "No Regulation defined"
        )
    ),
    ""
)</f>
        <v/>
      </c>
      <c r="AB330" s="62" t="str">
        <f t="shared" si="5"/>
        <v/>
      </c>
    </row>
    <row r="331" spans="3:28" x14ac:dyDescent="0.2">
      <c r="C331" s="69"/>
      <c r="D331" s="70"/>
      <c r="S331" s="34"/>
      <c r="T331" s="60" t="str">
        <f>IF(P331&lt;&gt;"",
    IF(OR(O331="", Q331="", R331=""),
        "Fill all the required columns",
        IFERROR(
            IF(OR(
                AND(R331="Marine Protected", VLOOKUP(O331, Reference!$A$2:$D$34, 4, FALSE) &lt;= P331),
                AND(R331="General Use", VLOOKUP(O331, Reference!$A$2:$D$34, 3, FALSE) &lt;= P331)
            ),
                "Exceeded",
                "OK"
            ),
            "No Regulation defined"
        )
    ),
    ""
)</f>
        <v/>
      </c>
      <c r="AB331" s="62" t="str">
        <f t="shared" si="5"/>
        <v/>
      </c>
    </row>
    <row r="332" spans="3:28" x14ac:dyDescent="0.2">
      <c r="C332" s="69"/>
      <c r="D332" s="70"/>
      <c r="S332" s="34"/>
      <c r="T332" s="60" t="str">
        <f>IF(P332&lt;&gt;"",
    IF(OR(O332="", Q332="", R332=""),
        "Fill all the required columns",
        IFERROR(
            IF(OR(
                AND(R332="Marine Protected", VLOOKUP(O332, Reference!$A$2:$D$34, 4, FALSE) &lt;= P332),
                AND(R332="General Use", VLOOKUP(O332, Reference!$A$2:$D$34, 3, FALSE) &lt;= P332)
            ),
                "Exceeded",
                "OK"
            ),
            "No Regulation defined"
        )
    ),
    ""
)</f>
        <v/>
      </c>
      <c r="AB332" s="62" t="str">
        <f t="shared" si="5"/>
        <v/>
      </c>
    </row>
    <row r="333" spans="3:28" x14ac:dyDescent="0.2">
      <c r="C333" s="69"/>
      <c r="D333" s="70"/>
      <c r="S333" s="34"/>
      <c r="T333" s="60" t="str">
        <f>IF(P333&lt;&gt;"",
    IF(OR(O333="", Q333="", R333=""),
        "Fill all the required columns",
        IFERROR(
            IF(OR(
                AND(R333="Marine Protected", VLOOKUP(O333, Reference!$A$2:$D$34, 4, FALSE) &lt;= P333),
                AND(R333="General Use", VLOOKUP(O333, Reference!$A$2:$D$34, 3, FALSE) &lt;= P333)
            ),
                "Exceeded",
                "OK"
            ),
            "No Regulation defined"
        )
    ),
    ""
)</f>
        <v/>
      </c>
      <c r="AB333" s="62" t="str">
        <f t="shared" si="5"/>
        <v/>
      </c>
    </row>
    <row r="334" spans="3:28" x14ac:dyDescent="0.2">
      <c r="C334" s="69"/>
      <c r="D334" s="70"/>
      <c r="S334" s="34"/>
      <c r="T334" s="60" t="str">
        <f>IF(P334&lt;&gt;"",
    IF(OR(O334="", Q334="", R334=""),
        "Fill all the required columns",
        IFERROR(
            IF(OR(
                AND(R334="Marine Protected", VLOOKUP(O334, Reference!$A$2:$D$34, 4, FALSE) &lt;= P334),
                AND(R334="General Use", VLOOKUP(O334, Reference!$A$2:$D$34, 3, FALSE) &lt;= P334)
            ),
                "Exceeded",
                "OK"
            ),
            "No Regulation defined"
        )
    ),
    ""
)</f>
        <v/>
      </c>
      <c r="AB334" s="62" t="str">
        <f t="shared" si="5"/>
        <v/>
      </c>
    </row>
    <row r="335" spans="3:28" x14ac:dyDescent="0.2">
      <c r="C335" s="69"/>
      <c r="D335" s="70"/>
      <c r="S335" s="34"/>
      <c r="T335" s="60" t="str">
        <f>IF(P335&lt;&gt;"",
    IF(OR(O335="", Q335="", R335=""),
        "Fill all the required columns",
        IFERROR(
            IF(OR(
                AND(R335="Marine Protected", VLOOKUP(O335, Reference!$A$2:$D$34, 4, FALSE) &lt;= P335),
                AND(R335="General Use", VLOOKUP(O335, Reference!$A$2:$D$34, 3, FALSE) &lt;= P335)
            ),
                "Exceeded",
                "OK"
            ),
            "No Regulation defined"
        )
    ),
    ""
)</f>
        <v/>
      </c>
      <c r="AB335" s="62" t="str">
        <f t="shared" si="5"/>
        <v/>
      </c>
    </row>
    <row r="336" spans="3:28" x14ac:dyDescent="0.2">
      <c r="C336" s="69"/>
      <c r="D336" s="70"/>
      <c r="S336" s="34"/>
      <c r="T336" s="60" t="str">
        <f>IF(P336&lt;&gt;"",
    IF(OR(O336="", Q336="", R336=""),
        "Fill all the required columns",
        IFERROR(
            IF(OR(
                AND(R336="Marine Protected", VLOOKUP(O336, Reference!$A$2:$D$34, 4, FALSE) &lt;= P336),
                AND(R336="General Use", VLOOKUP(O336, Reference!$A$2:$D$34, 3, FALSE) &lt;= P336)
            ),
                "Exceeded",
                "OK"
            ),
            "No Regulation defined"
        )
    ),
    ""
)</f>
        <v/>
      </c>
      <c r="AB336" s="62" t="str">
        <f t="shared" si="5"/>
        <v/>
      </c>
    </row>
    <row r="337" spans="3:28" x14ac:dyDescent="0.2">
      <c r="C337" s="69"/>
      <c r="D337" s="70"/>
      <c r="S337" s="34"/>
      <c r="T337" s="60" t="str">
        <f>IF(P337&lt;&gt;"",
    IF(OR(O337="", Q337="", R337=""),
        "Fill all the required columns",
        IFERROR(
            IF(OR(
                AND(R337="Marine Protected", VLOOKUP(O337, Reference!$A$2:$D$34, 4, FALSE) &lt;= P337),
                AND(R337="General Use", VLOOKUP(O337, Reference!$A$2:$D$34, 3, FALSE) &lt;= P337)
            ),
                "Exceeded",
                "OK"
            ),
            "No Regulation defined"
        )
    ),
    ""
)</f>
        <v/>
      </c>
      <c r="AB337" s="62" t="str">
        <f t="shared" si="5"/>
        <v/>
      </c>
    </row>
    <row r="338" spans="3:28" x14ac:dyDescent="0.2">
      <c r="C338" s="69"/>
      <c r="D338" s="70"/>
      <c r="S338" s="34"/>
      <c r="T338" s="60" t="str">
        <f>IF(P338&lt;&gt;"",
    IF(OR(O338="", Q338="", R338=""),
        "Fill all the required columns",
        IFERROR(
            IF(OR(
                AND(R338="Marine Protected", VLOOKUP(O338, Reference!$A$2:$D$34, 4, FALSE) &lt;= P338),
                AND(R338="General Use", VLOOKUP(O338, Reference!$A$2:$D$34, 3, FALSE) &lt;= P338)
            ),
                "Exceeded",
                "OK"
            ),
            "No Regulation defined"
        )
    ),
    ""
)</f>
        <v/>
      </c>
      <c r="AB338" s="62" t="str">
        <f t="shared" si="5"/>
        <v/>
      </c>
    </row>
    <row r="339" spans="3:28" x14ac:dyDescent="0.2">
      <c r="C339" s="69"/>
      <c r="D339" s="70"/>
      <c r="S339" s="34"/>
      <c r="T339" s="60" t="str">
        <f>IF(P339&lt;&gt;"",
    IF(OR(O339="", Q339="", R339=""),
        "Fill all the required columns",
        IFERROR(
            IF(OR(
                AND(R339="Marine Protected", VLOOKUP(O339, Reference!$A$2:$D$34, 4, FALSE) &lt;= P339),
                AND(R339="General Use", VLOOKUP(O339, Reference!$A$2:$D$34, 3, FALSE) &lt;= P339)
            ),
                "Exceeded",
                "OK"
            ),
            "No Regulation defined"
        )
    ),
    ""
)</f>
        <v/>
      </c>
      <c r="AB339" s="62" t="str">
        <f t="shared" si="5"/>
        <v/>
      </c>
    </row>
    <row r="340" spans="3:28" x14ac:dyDescent="0.2">
      <c r="C340" s="69"/>
      <c r="D340" s="70"/>
      <c r="S340" s="34"/>
      <c r="T340" s="60" t="str">
        <f>IF(P340&lt;&gt;"",
    IF(OR(O340="", Q340="", R340=""),
        "Fill all the required columns",
        IFERROR(
            IF(OR(
                AND(R340="Marine Protected", VLOOKUP(O340, Reference!$A$2:$D$34, 4, FALSE) &lt;= P340),
                AND(R340="General Use", VLOOKUP(O340, Reference!$A$2:$D$34, 3, FALSE) &lt;= P340)
            ),
                "Exceeded",
                "OK"
            ),
            "No Regulation defined"
        )
    ),
    ""
)</f>
        <v/>
      </c>
      <c r="AB340" s="62" t="str">
        <f t="shared" si="5"/>
        <v/>
      </c>
    </row>
    <row r="341" spans="3:28" x14ac:dyDescent="0.2">
      <c r="C341" s="69"/>
      <c r="D341" s="70"/>
      <c r="S341" s="34"/>
      <c r="T341" s="60" t="str">
        <f>IF(P341&lt;&gt;"",
    IF(OR(O341="", Q341="", R341=""),
        "Fill all the required columns",
        IFERROR(
            IF(OR(
                AND(R341="Marine Protected", VLOOKUP(O341, Reference!$A$2:$D$34, 4, FALSE) &lt;= P341),
                AND(R341="General Use", VLOOKUP(O341, Reference!$A$2:$D$34, 3, FALSE) &lt;= P341)
            ),
                "Exceeded",
                "OK"
            ),
            "No Regulation defined"
        )
    ),
    ""
)</f>
        <v/>
      </c>
      <c r="AB341" s="62" t="str">
        <f t="shared" si="5"/>
        <v/>
      </c>
    </row>
    <row r="342" spans="3:28" x14ac:dyDescent="0.2">
      <c r="C342" s="69"/>
      <c r="D342" s="70"/>
      <c r="S342" s="34"/>
      <c r="T342" s="60" t="str">
        <f>IF(P342&lt;&gt;"",
    IF(OR(O342="", Q342="", R342=""),
        "Fill all the required columns",
        IFERROR(
            IF(OR(
                AND(R342="Marine Protected", VLOOKUP(O342, Reference!$A$2:$D$34, 4, FALSE) &lt;= P342),
                AND(R342="General Use", VLOOKUP(O342, Reference!$A$2:$D$34, 3, FALSE) &lt;= P342)
            ),
                "Exceeded",
                "OK"
            ),
            "No Regulation defined"
        )
    ),
    ""
)</f>
        <v/>
      </c>
      <c r="AB342" s="62" t="str">
        <f t="shared" si="5"/>
        <v/>
      </c>
    </row>
    <row r="343" spans="3:28" x14ac:dyDescent="0.2">
      <c r="C343" s="69"/>
      <c r="D343" s="70"/>
      <c r="S343" s="34"/>
      <c r="T343" s="60" t="str">
        <f>IF(P343&lt;&gt;"",
    IF(OR(O343="", Q343="", R343=""),
        "Fill all the required columns",
        IFERROR(
            IF(OR(
                AND(R343="Marine Protected", VLOOKUP(O343, Reference!$A$2:$D$34, 4, FALSE) &lt;= P343),
                AND(R343="General Use", VLOOKUP(O343, Reference!$A$2:$D$34, 3, FALSE) &lt;= P343)
            ),
                "Exceeded",
                "OK"
            ),
            "No Regulation defined"
        )
    ),
    ""
)</f>
        <v/>
      </c>
      <c r="AB343" s="62" t="str">
        <f t="shared" si="5"/>
        <v/>
      </c>
    </row>
    <row r="344" spans="3:28" x14ac:dyDescent="0.2">
      <c r="C344" s="69"/>
      <c r="D344" s="70"/>
      <c r="S344" s="34"/>
      <c r="T344" s="60" t="str">
        <f>IF(P344&lt;&gt;"",
    IF(OR(O344="", Q344="", R344=""),
        "Fill all the required columns",
        IFERROR(
            IF(OR(
                AND(R344="Marine Protected", VLOOKUP(O344, Reference!$A$2:$D$34, 4, FALSE) &lt;= P344),
                AND(R344="General Use", VLOOKUP(O344, Reference!$A$2:$D$34, 3, FALSE) &lt;= P344)
            ),
                "Exceeded",
                "OK"
            ),
            "No Regulation defined"
        )
    ),
    ""
)</f>
        <v/>
      </c>
      <c r="AB344" s="62" t="str">
        <f t="shared" si="5"/>
        <v/>
      </c>
    </row>
    <row r="345" spans="3:28" x14ac:dyDescent="0.2">
      <c r="C345" s="69"/>
      <c r="D345" s="70"/>
      <c r="S345" s="34"/>
      <c r="T345" s="60" t="str">
        <f>IF(P345&lt;&gt;"",
    IF(OR(O345="", Q345="", R345=""),
        "Fill all the required columns",
        IFERROR(
            IF(OR(
                AND(R345="Marine Protected", VLOOKUP(O345, Reference!$A$2:$D$34, 4, FALSE) &lt;= P345),
                AND(R345="General Use", VLOOKUP(O345, Reference!$A$2:$D$34, 3, FALSE) &lt;= P345)
            ),
                "Exceeded",
                "OK"
            ),
            "No Regulation defined"
        )
    ),
    ""
)</f>
        <v/>
      </c>
      <c r="AB345" s="62" t="str">
        <f t="shared" si="5"/>
        <v/>
      </c>
    </row>
    <row r="346" spans="3:28" x14ac:dyDescent="0.2">
      <c r="C346" s="69"/>
      <c r="D346" s="70"/>
      <c r="S346" s="34"/>
      <c r="T346" s="60" t="str">
        <f>IF(P346&lt;&gt;"",
    IF(OR(O346="", Q346="", R346=""),
        "Fill all the required columns",
        IFERROR(
            IF(OR(
                AND(R346="Marine Protected", VLOOKUP(O346, Reference!$A$2:$D$34, 4, FALSE) &lt;= P346),
                AND(R346="General Use", VLOOKUP(O346, Reference!$A$2:$D$34, 3, FALSE) &lt;= P346)
            ),
                "Exceeded",
                "OK"
            ),
            "No Regulation defined"
        )
    ),
    ""
)</f>
        <v/>
      </c>
      <c r="AB346" s="62" t="str">
        <f t="shared" si="5"/>
        <v/>
      </c>
    </row>
    <row r="347" spans="3:28" x14ac:dyDescent="0.2">
      <c r="C347" s="69"/>
      <c r="D347" s="70"/>
      <c r="S347" s="34"/>
      <c r="T347" s="60" t="str">
        <f>IF(P347&lt;&gt;"",
    IF(OR(O347="", Q347="", R347=""),
        "Fill all the required columns",
        IFERROR(
            IF(OR(
                AND(R347="Marine Protected", VLOOKUP(O347, Reference!$A$2:$D$34, 4, FALSE) &lt;= P347),
                AND(R347="General Use", VLOOKUP(O347, Reference!$A$2:$D$34, 3, FALSE) &lt;= P347)
            ),
                "Exceeded",
                "OK"
            ),
            "No Regulation defined"
        )
    ),
    ""
)</f>
        <v/>
      </c>
      <c r="AB347" s="62" t="str">
        <f t="shared" si="5"/>
        <v/>
      </c>
    </row>
    <row r="348" spans="3:28" x14ac:dyDescent="0.2">
      <c r="C348" s="69"/>
      <c r="D348" s="70"/>
      <c r="S348" s="34"/>
      <c r="T348" s="60" t="str">
        <f>IF(P348&lt;&gt;"",
    IF(OR(O348="", Q348="", R348=""),
        "Fill all the required columns",
        IFERROR(
            IF(OR(
                AND(R348="Marine Protected", VLOOKUP(O348, Reference!$A$2:$D$34, 4, FALSE) &lt;= P348),
                AND(R348="General Use", VLOOKUP(O348, Reference!$A$2:$D$34, 3, FALSE) &lt;= P348)
            ),
                "Exceeded",
                "OK"
            ),
            "No Regulation defined"
        )
    ),
    ""
)</f>
        <v/>
      </c>
      <c r="AB348" s="62" t="str">
        <f t="shared" si="5"/>
        <v/>
      </c>
    </row>
    <row r="349" spans="3:28" x14ac:dyDescent="0.2">
      <c r="C349" s="69"/>
      <c r="D349" s="70"/>
      <c r="S349" s="34"/>
      <c r="T349" s="60" t="str">
        <f>IF(P349&lt;&gt;"",
    IF(OR(O349="", Q349="", R349=""),
        "Fill all the required columns",
        IFERROR(
            IF(OR(
                AND(R349="Marine Protected", VLOOKUP(O349, Reference!$A$2:$D$34, 4, FALSE) &lt;= P349),
                AND(R349="General Use", VLOOKUP(O349, Reference!$A$2:$D$34, 3, FALSE) &lt;= P349)
            ),
                "Exceeded",
                "OK"
            ),
            "No Regulation defined"
        )
    ),
    ""
)</f>
        <v/>
      </c>
      <c r="AB349" s="62" t="str">
        <f t="shared" si="5"/>
        <v/>
      </c>
    </row>
    <row r="350" spans="3:28" x14ac:dyDescent="0.2">
      <c r="C350" s="69"/>
      <c r="D350" s="70"/>
      <c r="S350" s="34"/>
      <c r="T350" s="60" t="str">
        <f>IF(P350&lt;&gt;"",
    IF(OR(O350="", Q350="", R350=""),
        "Fill all the required columns",
        IFERROR(
            IF(OR(
                AND(R350="Marine Protected", VLOOKUP(O350, Reference!$A$2:$D$34, 4, FALSE) &lt;= P350),
                AND(R350="General Use", VLOOKUP(O350, Reference!$A$2:$D$34, 3, FALSE) &lt;= P350)
            ),
                "Exceeded",
                "OK"
            ),
            "No Regulation defined"
        )
    ),
    ""
)</f>
        <v/>
      </c>
      <c r="AB350" s="62" t="str">
        <f t="shared" si="5"/>
        <v/>
      </c>
    </row>
    <row r="351" spans="3:28" x14ac:dyDescent="0.2">
      <c r="C351" s="69"/>
      <c r="D351" s="70"/>
      <c r="S351" s="34"/>
      <c r="T351" s="60" t="str">
        <f>IF(P351&lt;&gt;"",
    IF(OR(O351="", Q351="", R351=""),
        "Fill all the required columns",
        IFERROR(
            IF(OR(
                AND(R351="Marine Protected", VLOOKUP(O351, Reference!$A$2:$D$34, 4, FALSE) &lt;= P351),
                AND(R351="General Use", VLOOKUP(O351, Reference!$A$2:$D$34, 3, FALSE) &lt;= P351)
            ),
                "Exceeded",
                "OK"
            ),
            "No Regulation defined"
        )
    ),
    ""
)</f>
        <v/>
      </c>
      <c r="AB351" s="62" t="str">
        <f t="shared" si="5"/>
        <v/>
      </c>
    </row>
    <row r="352" spans="3:28" x14ac:dyDescent="0.2">
      <c r="C352" s="69"/>
      <c r="D352" s="70"/>
      <c r="S352" s="34"/>
      <c r="T352" s="60" t="str">
        <f>IF(P352&lt;&gt;"",
    IF(OR(O352="", Q352="", R352=""),
        "Fill all the required columns",
        IFERROR(
            IF(OR(
                AND(R352="Marine Protected", VLOOKUP(O352, Reference!$A$2:$D$34, 4, FALSE) &lt;= P352),
                AND(R352="General Use", VLOOKUP(O352, Reference!$A$2:$D$34, 3, FALSE) &lt;= P352)
            ),
                "Exceeded",
                "OK"
            ),
            "No Regulation defined"
        )
    ),
    ""
)</f>
        <v/>
      </c>
      <c r="AB352" s="62" t="str">
        <f t="shared" si="5"/>
        <v/>
      </c>
    </row>
    <row r="353" spans="3:28" x14ac:dyDescent="0.2">
      <c r="C353" s="69"/>
      <c r="D353" s="70"/>
      <c r="S353" s="34"/>
      <c r="T353" s="60" t="str">
        <f>IF(P353&lt;&gt;"",
    IF(OR(O353="", Q353="", R353=""),
        "Fill all the required columns",
        IFERROR(
            IF(OR(
                AND(R353="Marine Protected", VLOOKUP(O353, Reference!$A$2:$D$34, 4, FALSE) &lt;= P353),
                AND(R353="General Use", VLOOKUP(O353, Reference!$A$2:$D$34, 3, FALSE) &lt;= P353)
            ),
                "Exceeded",
                "OK"
            ),
            "No Regulation defined"
        )
    ),
    ""
)</f>
        <v/>
      </c>
      <c r="AB353" s="62" t="str">
        <f t="shared" si="5"/>
        <v/>
      </c>
    </row>
    <row r="354" spans="3:28" x14ac:dyDescent="0.2">
      <c r="C354" s="69"/>
      <c r="D354" s="70"/>
      <c r="S354" s="34"/>
      <c r="T354" s="60" t="str">
        <f>IF(P354&lt;&gt;"",
    IF(OR(O354="", Q354="", R354=""),
        "Fill all the required columns",
        IFERROR(
            IF(OR(
                AND(R354="Marine Protected", VLOOKUP(O354, Reference!$A$2:$D$34, 4, FALSE) &lt;= P354),
                AND(R354="General Use", VLOOKUP(O354, Reference!$A$2:$D$34, 3, FALSE) &lt;= P354)
            ),
                "Exceeded",
                "OK"
            ),
            "No Regulation defined"
        )
    ),
    ""
)</f>
        <v/>
      </c>
      <c r="AB354" s="62" t="str">
        <f t="shared" si="5"/>
        <v/>
      </c>
    </row>
    <row r="355" spans="3:28" x14ac:dyDescent="0.2">
      <c r="C355" s="69"/>
      <c r="D355" s="70"/>
      <c r="S355" s="34"/>
      <c r="T355" s="60" t="str">
        <f>IF(P355&lt;&gt;"",
    IF(OR(O355="", Q355="", R355=""),
        "Fill all the required columns",
        IFERROR(
            IF(OR(
                AND(R355="Marine Protected", VLOOKUP(O355, Reference!$A$2:$D$34, 4, FALSE) &lt;= P355),
                AND(R355="General Use", VLOOKUP(O355, Reference!$A$2:$D$34, 3, FALSE) &lt;= P355)
            ),
                "Exceeded",
                "OK"
            ),
            "No Regulation defined"
        )
    ),
    ""
)</f>
        <v/>
      </c>
      <c r="AB355" s="62" t="str">
        <f t="shared" si="5"/>
        <v/>
      </c>
    </row>
    <row r="356" spans="3:28" x14ac:dyDescent="0.2">
      <c r="C356" s="69"/>
      <c r="D356" s="70"/>
      <c r="S356" s="34"/>
      <c r="T356" s="60" t="str">
        <f>IF(P356&lt;&gt;"",
    IF(OR(O356="", Q356="", R356=""),
        "Fill all the required columns",
        IFERROR(
            IF(OR(
                AND(R356="Marine Protected", VLOOKUP(O356, Reference!$A$2:$D$34, 4, FALSE) &lt;= P356),
                AND(R356="General Use", VLOOKUP(O356, Reference!$A$2:$D$34, 3, FALSE) &lt;= P356)
            ),
                "Exceeded",
                "OK"
            ),
            "No Regulation defined"
        )
    ),
    ""
)</f>
        <v/>
      </c>
      <c r="AB356" s="62" t="str">
        <f t="shared" si="5"/>
        <v/>
      </c>
    </row>
    <row r="357" spans="3:28" x14ac:dyDescent="0.2">
      <c r="C357" s="69"/>
      <c r="D357" s="70"/>
      <c r="S357" s="34"/>
      <c r="T357" s="60" t="str">
        <f>IF(P357&lt;&gt;"",
    IF(OR(O357="", Q357="", R357=""),
        "Fill all the required columns",
        IFERROR(
            IF(OR(
                AND(R357="Marine Protected", VLOOKUP(O357, Reference!$A$2:$D$34, 4, FALSE) &lt;= P357),
                AND(R357="General Use", VLOOKUP(O357, Reference!$A$2:$D$34, 3, FALSE) &lt;= P357)
            ),
                "Exceeded",
                "OK"
            ),
            "No Regulation defined"
        )
    ),
    ""
)</f>
        <v/>
      </c>
      <c r="AB357" s="62" t="str">
        <f t="shared" si="5"/>
        <v/>
      </c>
    </row>
    <row r="358" spans="3:28" x14ac:dyDescent="0.2">
      <c r="C358" s="69"/>
      <c r="D358" s="70"/>
      <c r="S358" s="34"/>
      <c r="T358" s="60" t="str">
        <f>IF(P358&lt;&gt;"",
    IF(OR(O358="", Q358="", R358=""),
        "Fill all the required columns",
        IFERROR(
            IF(OR(
                AND(R358="Marine Protected", VLOOKUP(O358, Reference!$A$2:$D$34, 4, FALSE) &lt;= P358),
                AND(R358="General Use", VLOOKUP(O358, Reference!$A$2:$D$34, 3, FALSE) &lt;= P358)
            ),
                "Exceeded",
                "OK"
            ),
            "No Regulation defined"
        )
    ),
    ""
)</f>
        <v/>
      </c>
      <c r="AB358" s="62" t="str">
        <f t="shared" si="5"/>
        <v/>
      </c>
    </row>
    <row r="359" spans="3:28" x14ac:dyDescent="0.2">
      <c r="C359" s="69"/>
      <c r="D359" s="70"/>
      <c r="S359" s="34"/>
      <c r="T359" s="60" t="str">
        <f>IF(P359&lt;&gt;"",
    IF(OR(O359="", Q359="", R359=""),
        "Fill all the required columns",
        IFERROR(
            IF(OR(
                AND(R359="Marine Protected", VLOOKUP(O359, Reference!$A$2:$D$34, 4, FALSE) &lt;= P359),
                AND(R359="General Use", VLOOKUP(O359, Reference!$A$2:$D$34, 3, FALSE) &lt;= P359)
            ),
                "Exceeded",
                "OK"
            ),
            "No Regulation defined"
        )
    ),
    ""
)</f>
        <v/>
      </c>
      <c r="AB359" s="62" t="str">
        <f t="shared" si="5"/>
        <v/>
      </c>
    </row>
    <row r="360" spans="3:28" x14ac:dyDescent="0.2">
      <c r="C360" s="69"/>
      <c r="D360" s="70"/>
      <c r="S360" s="34"/>
      <c r="T360" s="60" t="str">
        <f>IF(P360&lt;&gt;"",
    IF(OR(O360="", Q360="", R360=""),
        "Fill all the required columns",
        IFERROR(
            IF(OR(
                AND(R360="Marine Protected", VLOOKUP(O360, Reference!$A$2:$D$34, 4, FALSE) &lt;= P360),
                AND(R360="General Use", VLOOKUP(O360, Reference!$A$2:$D$34, 3, FALSE) &lt;= P360)
            ),
                "Exceeded",
                "OK"
            ),
            "No Regulation defined"
        )
    ),
    ""
)</f>
        <v/>
      </c>
      <c r="AB360" s="62" t="str">
        <f t="shared" si="5"/>
        <v/>
      </c>
    </row>
    <row r="361" spans="3:28" x14ac:dyDescent="0.2">
      <c r="C361" s="69"/>
      <c r="D361" s="70"/>
      <c r="S361" s="34"/>
      <c r="T361" s="60" t="str">
        <f>IF(P361&lt;&gt;"",
    IF(OR(O361="", Q361="", R361=""),
        "Fill all the required columns",
        IFERROR(
            IF(OR(
                AND(R361="Marine Protected", VLOOKUP(O361, Reference!$A$2:$D$34, 4, FALSE) &lt;= P361),
                AND(R361="General Use", VLOOKUP(O361, Reference!$A$2:$D$34, 3, FALSE) &lt;= P361)
            ),
                "Exceeded",
                "OK"
            ),
            "No Regulation defined"
        )
    ),
    ""
)</f>
        <v/>
      </c>
      <c r="AB361" s="62" t="str">
        <f t="shared" si="5"/>
        <v/>
      </c>
    </row>
    <row r="362" spans="3:28" x14ac:dyDescent="0.2">
      <c r="C362" s="69"/>
      <c r="D362" s="70"/>
      <c r="S362" s="34"/>
      <c r="T362" s="60" t="str">
        <f>IF(P362&lt;&gt;"",
    IF(OR(O362="", Q362="", R362=""),
        "Fill all the required columns",
        IFERROR(
            IF(OR(
                AND(R362="Marine Protected", VLOOKUP(O362, Reference!$A$2:$D$34, 4, FALSE) &lt;= P362),
                AND(R362="General Use", VLOOKUP(O362, Reference!$A$2:$D$34, 3, FALSE) &lt;= P362)
            ),
                "Exceeded",
                "OK"
            ),
            "No Regulation defined"
        )
    ),
    ""
)</f>
        <v/>
      </c>
      <c r="AB362" s="62" t="str">
        <f t="shared" si="5"/>
        <v/>
      </c>
    </row>
    <row r="363" spans="3:28" x14ac:dyDescent="0.2">
      <c r="C363" s="69"/>
      <c r="D363" s="70"/>
      <c r="S363" s="34"/>
      <c r="T363" s="60" t="str">
        <f>IF(P363&lt;&gt;"",
    IF(OR(O363="", Q363="", R363=""),
        "Fill all the required columns",
        IFERROR(
            IF(OR(
                AND(R363="Marine Protected", VLOOKUP(O363, Reference!$A$2:$D$34, 4, FALSE) &lt;= P363),
                AND(R363="General Use", VLOOKUP(O363, Reference!$A$2:$D$34, 3, FALSE) &lt;= P363)
            ),
                "Exceeded",
                "OK"
            ),
            "No Regulation defined"
        )
    ),
    ""
)</f>
        <v/>
      </c>
      <c r="AB363" s="62" t="str">
        <f t="shared" si="5"/>
        <v/>
      </c>
    </row>
    <row r="364" spans="3:28" x14ac:dyDescent="0.2">
      <c r="C364" s="69"/>
      <c r="D364" s="70"/>
      <c r="S364" s="34"/>
      <c r="T364" s="60" t="str">
        <f>IF(P364&lt;&gt;"",
    IF(OR(O364="", Q364="", R364=""),
        "Fill all the required columns",
        IFERROR(
            IF(OR(
                AND(R364="Marine Protected", VLOOKUP(O364, Reference!$A$2:$D$34, 4, FALSE) &lt;= P364),
                AND(R364="General Use", VLOOKUP(O364, Reference!$A$2:$D$34, 3, FALSE) &lt;= P364)
            ),
                "Exceeded",
                "OK"
            ),
            "No Regulation defined"
        )
    ),
    ""
)</f>
        <v/>
      </c>
      <c r="AB364" s="62" t="str">
        <f t="shared" si="5"/>
        <v/>
      </c>
    </row>
    <row r="365" spans="3:28" x14ac:dyDescent="0.2">
      <c r="C365" s="69"/>
      <c r="D365" s="70"/>
      <c r="S365" s="34"/>
      <c r="T365" s="60" t="str">
        <f>IF(P365&lt;&gt;"",
    IF(OR(O365="", Q365="", R365=""),
        "Fill all the required columns",
        IFERROR(
            IF(OR(
                AND(R365="Marine Protected", VLOOKUP(O365, Reference!$A$2:$D$34, 4, FALSE) &lt;= P365),
                AND(R365="General Use", VLOOKUP(O365, Reference!$A$2:$D$34, 3, FALSE) &lt;= P365)
            ),
                "Exceeded",
                "OK"
            ),
            "No Regulation defined"
        )
    ),
    ""
)</f>
        <v/>
      </c>
      <c r="AB365" s="62" t="str">
        <f t="shared" si="5"/>
        <v/>
      </c>
    </row>
    <row r="366" spans="3:28" x14ac:dyDescent="0.2">
      <c r="C366" s="69"/>
      <c r="D366" s="70"/>
      <c r="S366" s="34"/>
      <c r="T366" s="60" t="str">
        <f>IF(P366&lt;&gt;"",
    IF(OR(O366="", Q366="", R366=""),
        "Fill all the required columns",
        IFERROR(
            IF(OR(
                AND(R366="Marine Protected", VLOOKUP(O366, Reference!$A$2:$D$34, 4, FALSE) &lt;= P366),
                AND(R366="General Use", VLOOKUP(O366, Reference!$A$2:$D$34, 3, FALSE) &lt;= P366)
            ),
                "Exceeded",
                "OK"
            ),
            "No Regulation defined"
        )
    ),
    ""
)</f>
        <v/>
      </c>
      <c r="AB366" s="62" t="str">
        <f t="shared" si="5"/>
        <v/>
      </c>
    </row>
    <row r="367" spans="3:28" x14ac:dyDescent="0.2">
      <c r="C367" s="69"/>
      <c r="D367" s="70"/>
      <c r="S367" s="34"/>
      <c r="T367" s="60" t="str">
        <f>IF(P367&lt;&gt;"",
    IF(OR(O367="", Q367="", R367=""),
        "Fill all the required columns",
        IFERROR(
            IF(OR(
                AND(R367="Marine Protected", VLOOKUP(O367, Reference!$A$2:$D$34, 4, FALSE) &lt;= P367),
                AND(R367="General Use", VLOOKUP(O367, Reference!$A$2:$D$34, 3, FALSE) &lt;= P367)
            ),
                "Exceeded",
                "OK"
            ),
            "No Regulation defined"
        )
    ),
    ""
)</f>
        <v/>
      </c>
      <c r="AB367" s="62" t="str">
        <f t="shared" si="5"/>
        <v/>
      </c>
    </row>
    <row r="368" spans="3:28" x14ac:dyDescent="0.2">
      <c r="C368" s="69"/>
      <c r="D368" s="70"/>
      <c r="S368" s="34"/>
      <c r="T368" s="60" t="str">
        <f>IF(P368&lt;&gt;"",
    IF(OR(O368="", Q368="", R368=""),
        "Fill all the required columns",
        IFERROR(
            IF(OR(
                AND(R368="Marine Protected", VLOOKUP(O368, Reference!$A$2:$D$34, 4, FALSE) &lt;= P368),
                AND(R368="General Use", VLOOKUP(O368, Reference!$A$2:$D$34, 3, FALSE) &lt;= P368)
            ),
                "Exceeded",
                "OK"
            ),
            "No Regulation defined"
        )
    ),
    ""
)</f>
        <v/>
      </c>
      <c r="AB368" s="62" t="str">
        <f t="shared" si="5"/>
        <v/>
      </c>
    </row>
    <row r="369" spans="3:28" x14ac:dyDescent="0.2">
      <c r="C369" s="69"/>
      <c r="D369" s="70"/>
      <c r="S369" s="34"/>
      <c r="T369" s="60" t="str">
        <f>IF(P369&lt;&gt;"",
    IF(OR(O369="", Q369="", R369=""),
        "Fill all the required columns",
        IFERROR(
            IF(OR(
                AND(R369="Marine Protected", VLOOKUP(O369, Reference!$A$2:$D$34, 4, FALSE) &lt;= P369),
                AND(R369="General Use", VLOOKUP(O369, Reference!$A$2:$D$34, 3, FALSE) &lt;= P369)
            ),
                "Exceeded",
                "OK"
            ),
            "No Regulation defined"
        )
    ),
    ""
)</f>
        <v/>
      </c>
      <c r="AB369" s="62" t="str">
        <f t="shared" si="5"/>
        <v/>
      </c>
    </row>
    <row r="370" spans="3:28" x14ac:dyDescent="0.2">
      <c r="C370" s="69"/>
      <c r="D370" s="70"/>
      <c r="S370" s="34"/>
      <c r="T370" s="60" t="str">
        <f>IF(P370&lt;&gt;"",
    IF(OR(O370="", Q370="", R370=""),
        "Fill all the required columns",
        IFERROR(
            IF(OR(
                AND(R370="Marine Protected", VLOOKUP(O370, Reference!$A$2:$D$34, 4, FALSE) &lt;= P370),
                AND(R370="General Use", VLOOKUP(O370, Reference!$A$2:$D$34, 3, FALSE) &lt;= P370)
            ),
                "Exceeded",
                "OK"
            ),
            "No Regulation defined"
        )
    ),
    ""
)</f>
        <v/>
      </c>
      <c r="AB370" s="62" t="str">
        <f t="shared" si="5"/>
        <v/>
      </c>
    </row>
    <row r="371" spans="3:28" x14ac:dyDescent="0.2">
      <c r="C371" s="69"/>
      <c r="D371" s="70"/>
      <c r="S371" s="34"/>
      <c r="T371" s="60" t="str">
        <f>IF(P371&lt;&gt;"",
    IF(OR(O371="", Q371="", R371=""),
        "Fill all the required columns",
        IFERROR(
            IF(OR(
                AND(R371="Marine Protected", VLOOKUP(O371, Reference!$A$2:$D$34, 4, FALSE) &lt;= P371),
                AND(R371="General Use", VLOOKUP(O371, Reference!$A$2:$D$34, 3, FALSE) &lt;= P371)
            ),
                "Exceeded",
                "OK"
            ),
            "No Regulation defined"
        )
    ),
    ""
)</f>
        <v/>
      </c>
      <c r="AB371" s="62" t="str">
        <f t="shared" si="5"/>
        <v/>
      </c>
    </row>
    <row r="372" spans="3:28" x14ac:dyDescent="0.2">
      <c r="C372" s="69"/>
      <c r="D372" s="70"/>
      <c r="S372" s="34"/>
      <c r="T372" s="60" t="str">
        <f>IF(P372&lt;&gt;"",
    IF(OR(O372="", Q372="", R372=""),
        "Fill all the required columns",
        IFERROR(
            IF(OR(
                AND(R372="Marine Protected", VLOOKUP(O372, Reference!$A$2:$D$34, 4, FALSE) &lt;= P372),
                AND(R372="General Use", VLOOKUP(O372, Reference!$A$2:$D$34, 3, FALSE) &lt;= P372)
            ),
                "Exceeded",
                "OK"
            ),
            "No Regulation defined"
        )
    ),
    ""
)</f>
        <v/>
      </c>
      <c r="AB372" s="62" t="str">
        <f t="shared" si="5"/>
        <v/>
      </c>
    </row>
    <row r="373" spans="3:28" x14ac:dyDescent="0.2">
      <c r="C373" s="69"/>
      <c r="D373" s="70"/>
      <c r="S373" s="34"/>
      <c r="T373" s="60" t="str">
        <f>IF(P373&lt;&gt;"",
    IF(OR(O373="", Q373="", R373=""),
        "Fill all the required columns",
        IFERROR(
            IF(OR(
                AND(R373="Marine Protected", VLOOKUP(O373, Reference!$A$2:$D$34, 4, FALSE) &lt;= P373),
                AND(R373="General Use", VLOOKUP(O373, Reference!$A$2:$D$34, 3, FALSE) &lt;= P373)
            ),
                "Exceeded",
                "OK"
            ),
            "No Regulation defined"
        )
    ),
    ""
)</f>
        <v/>
      </c>
      <c r="AB373" s="62" t="str">
        <f t="shared" si="5"/>
        <v/>
      </c>
    </row>
    <row r="374" spans="3:28" x14ac:dyDescent="0.2">
      <c r="C374" s="69"/>
      <c r="D374" s="70"/>
      <c r="S374" s="34"/>
      <c r="T374" s="60" t="str">
        <f>IF(P374&lt;&gt;"",
    IF(OR(O374="", Q374="", R374=""),
        "Fill all the required columns",
        IFERROR(
            IF(OR(
                AND(R374="Marine Protected", VLOOKUP(O374, Reference!$A$2:$D$34, 4, FALSE) &lt;= P374),
                AND(R374="General Use", VLOOKUP(O374, Reference!$A$2:$D$34, 3, FALSE) &lt;= P374)
            ),
                "Exceeded",
                "OK"
            ),
            "No Regulation defined"
        )
    ),
    ""
)</f>
        <v/>
      </c>
      <c r="AB374" s="62" t="str">
        <f t="shared" si="5"/>
        <v/>
      </c>
    </row>
    <row r="375" spans="3:28" x14ac:dyDescent="0.2">
      <c r="C375" s="69"/>
      <c r="D375" s="70"/>
      <c r="S375" s="34"/>
      <c r="T375" s="60" t="str">
        <f>IF(P375&lt;&gt;"",
    IF(OR(O375="", Q375="", R375=""),
        "Fill all the required columns",
        IFERROR(
            IF(OR(
                AND(R375="Marine Protected", VLOOKUP(O375, Reference!$A$2:$D$34, 4, FALSE) &lt;= P375),
                AND(R375="General Use", VLOOKUP(O375, Reference!$A$2:$D$34, 3, FALSE) &lt;= P375)
            ),
                "Exceeded",
                "OK"
            ),
            "No Regulation defined"
        )
    ),
    ""
)</f>
        <v/>
      </c>
      <c r="AB375" s="62" t="str">
        <f t="shared" si="5"/>
        <v/>
      </c>
    </row>
    <row r="376" spans="3:28" x14ac:dyDescent="0.2">
      <c r="C376" s="69"/>
      <c r="D376" s="70"/>
      <c r="S376" s="34"/>
      <c r="T376" s="60" t="str">
        <f>IF(P376&lt;&gt;"",
    IF(OR(O376="", Q376="", R376=""),
        "Fill all the required columns",
        IFERROR(
            IF(OR(
                AND(R376="Marine Protected", VLOOKUP(O376, Reference!$A$2:$D$34, 4, FALSE) &lt;= P376),
                AND(R376="General Use", VLOOKUP(O376, Reference!$A$2:$D$34, 3, FALSE) &lt;= P376)
            ),
                "Exceeded",
                "OK"
            ),
            "No Regulation defined"
        )
    ),
    ""
)</f>
        <v/>
      </c>
      <c r="AB376" s="62" t="str">
        <f t="shared" si="5"/>
        <v/>
      </c>
    </row>
    <row r="377" spans="3:28" x14ac:dyDescent="0.2">
      <c r="C377" s="69"/>
      <c r="D377" s="70"/>
      <c r="S377" s="34"/>
      <c r="T377" s="60" t="str">
        <f>IF(P377&lt;&gt;"",
    IF(OR(O377="", Q377="", R377=""),
        "Fill all the required columns",
        IFERROR(
            IF(OR(
                AND(R377="Marine Protected", VLOOKUP(O377, Reference!$A$2:$D$34, 4, FALSE) &lt;= P377),
                AND(R377="General Use", VLOOKUP(O377, Reference!$A$2:$D$34, 3, FALSE) &lt;= P377)
            ),
                "Exceeded",
                "OK"
            ),
            "No Regulation defined"
        )
    ),
    ""
)</f>
        <v/>
      </c>
      <c r="AB377" s="62" t="str">
        <f t="shared" si="5"/>
        <v/>
      </c>
    </row>
    <row r="378" spans="3:28" x14ac:dyDescent="0.2">
      <c r="C378" s="69"/>
      <c r="D378" s="70"/>
      <c r="S378" s="34"/>
      <c r="T378" s="60" t="str">
        <f>IF(P378&lt;&gt;"",
    IF(OR(O378="", Q378="", R378=""),
        "Fill all the required columns",
        IFERROR(
            IF(OR(
                AND(R378="Marine Protected", VLOOKUP(O378, Reference!$A$2:$D$34, 4, FALSE) &lt;= P378),
                AND(R378="General Use", VLOOKUP(O378, Reference!$A$2:$D$34, 3, FALSE) &lt;= P378)
            ),
                "Exceeded",
                "OK"
            ),
            "No Regulation defined"
        )
    ),
    ""
)</f>
        <v/>
      </c>
      <c r="AB378" s="62" t="str">
        <f t="shared" si="5"/>
        <v/>
      </c>
    </row>
    <row r="379" spans="3:28" x14ac:dyDescent="0.2">
      <c r="C379" s="69"/>
      <c r="D379" s="70"/>
      <c r="S379" s="34"/>
      <c r="T379" s="60" t="str">
        <f>IF(P379&lt;&gt;"",
    IF(OR(O379="", Q379="", R379=""),
        "Fill all the required columns",
        IFERROR(
            IF(OR(
                AND(R379="Marine Protected", VLOOKUP(O379, Reference!$A$2:$D$34, 4, FALSE) &lt;= P379),
                AND(R379="General Use", VLOOKUP(O379, Reference!$A$2:$D$34, 3, FALSE) &lt;= P379)
            ),
                "Exceeded",
                "OK"
            ),
            "No Regulation defined"
        )
    ),
    ""
)</f>
        <v/>
      </c>
      <c r="AB379" s="62" t="str">
        <f t="shared" si="5"/>
        <v/>
      </c>
    </row>
    <row r="380" spans="3:28" x14ac:dyDescent="0.2">
      <c r="C380" s="69"/>
      <c r="D380" s="70"/>
      <c r="S380" s="34"/>
      <c r="T380" s="60" t="str">
        <f>IF(P380&lt;&gt;"",
    IF(OR(O380="", Q380="", R380=""),
        "Fill all the required columns",
        IFERROR(
            IF(OR(
                AND(R380="Marine Protected", VLOOKUP(O380, Reference!$A$2:$D$34, 4, FALSE) &lt;= P380),
                AND(R380="General Use", VLOOKUP(O380, Reference!$A$2:$D$34, 3, FALSE) &lt;= P380)
            ),
                "Exceeded",
                "OK"
            ),
            "No Regulation defined"
        )
    ),
    ""
)</f>
        <v/>
      </c>
      <c r="AB380" s="62" t="str">
        <f t="shared" si="5"/>
        <v/>
      </c>
    </row>
    <row r="381" spans="3:28" x14ac:dyDescent="0.2">
      <c r="C381" s="69"/>
      <c r="D381" s="70"/>
      <c r="S381" s="34"/>
      <c r="T381" s="60" t="str">
        <f>IF(P381&lt;&gt;"",
    IF(OR(O381="", Q381="", R381=""),
        "Fill all the required columns",
        IFERROR(
            IF(OR(
                AND(R381="Marine Protected", VLOOKUP(O381, Reference!$A$2:$D$34, 4, FALSE) &lt;= P381),
                AND(R381="General Use", VLOOKUP(O381, Reference!$A$2:$D$34, 3, FALSE) &lt;= P381)
            ),
                "Exceeded",
                "OK"
            ),
            "No Regulation defined"
        )
    ),
    ""
)</f>
        <v/>
      </c>
      <c r="AB381" s="62" t="str">
        <f t="shared" si="5"/>
        <v/>
      </c>
    </row>
    <row r="382" spans="3:28" x14ac:dyDescent="0.2">
      <c r="C382" s="69"/>
      <c r="D382" s="70"/>
      <c r="S382" s="34"/>
      <c r="T382" s="60" t="str">
        <f>IF(P382&lt;&gt;"",
    IF(OR(O382="", Q382="", R382=""),
        "Fill all the required columns",
        IFERROR(
            IF(OR(
                AND(R382="Marine Protected", VLOOKUP(O382, Reference!$A$2:$D$34, 4, FALSE) &lt;= P382),
                AND(R382="General Use", VLOOKUP(O382, Reference!$A$2:$D$34, 3, FALSE) &lt;= P382)
            ),
                "Exceeded",
                "OK"
            ),
            "No Regulation defined"
        )
    ),
    ""
)</f>
        <v/>
      </c>
      <c r="AB382" s="62" t="str">
        <f t="shared" si="5"/>
        <v/>
      </c>
    </row>
    <row r="383" spans="3:28" x14ac:dyDescent="0.2">
      <c r="C383" s="69"/>
      <c r="D383" s="70"/>
      <c r="S383" s="34"/>
      <c r="T383" s="60" t="str">
        <f>IF(P383&lt;&gt;"",
    IF(OR(O383="", Q383="", R383=""),
        "Fill all the required columns",
        IFERROR(
            IF(OR(
                AND(R383="Marine Protected", VLOOKUP(O383, Reference!$A$2:$D$34, 4, FALSE) &lt;= P383),
                AND(R383="General Use", VLOOKUP(O383, Reference!$A$2:$D$34, 3, FALSE) &lt;= P383)
            ),
                "Exceeded",
                "OK"
            ),
            "No Regulation defined"
        )
    ),
    ""
)</f>
        <v/>
      </c>
      <c r="AB383" s="62" t="str">
        <f t="shared" si="5"/>
        <v/>
      </c>
    </row>
    <row r="384" spans="3:28" x14ac:dyDescent="0.2">
      <c r="C384" s="69"/>
      <c r="D384" s="70"/>
      <c r="S384" s="34"/>
      <c r="T384" s="60" t="str">
        <f>IF(P384&lt;&gt;"",
    IF(OR(O384="", Q384="", R384=""),
        "Fill all the required columns",
        IFERROR(
            IF(OR(
                AND(R384="Marine Protected", VLOOKUP(O384, Reference!$A$2:$D$34, 4, FALSE) &lt;= P384),
                AND(R384="General Use", VLOOKUP(O384, Reference!$A$2:$D$34, 3, FALSE) &lt;= P384)
            ),
                "Exceeded",
                "OK"
            ),
            "No Regulation defined"
        )
    ),
    ""
)</f>
        <v/>
      </c>
      <c r="AB384" s="62" t="str">
        <f t="shared" si="5"/>
        <v/>
      </c>
    </row>
    <row r="385" spans="3:28" x14ac:dyDescent="0.2">
      <c r="C385" s="69"/>
      <c r="D385" s="70"/>
      <c r="S385" s="34"/>
      <c r="T385" s="60" t="str">
        <f>IF(P385&lt;&gt;"",
    IF(OR(O385="", Q385="", R385=""),
        "Fill all the required columns",
        IFERROR(
            IF(OR(
                AND(R385="Marine Protected", VLOOKUP(O385, Reference!$A$2:$D$34, 4, FALSE) &lt;= P385),
                AND(R385="General Use", VLOOKUP(O385, Reference!$A$2:$D$34, 3, FALSE) &lt;= P385)
            ),
                "Exceeded",
                "OK"
            ),
            "No Regulation defined"
        )
    ),
    ""
)</f>
        <v/>
      </c>
      <c r="AB385" s="62" t="str">
        <f t="shared" si="5"/>
        <v/>
      </c>
    </row>
    <row r="386" spans="3:28" x14ac:dyDescent="0.2">
      <c r="C386" s="69"/>
      <c r="D386" s="70"/>
      <c r="S386" s="34"/>
      <c r="T386" s="60" t="str">
        <f>IF(P386&lt;&gt;"",
    IF(OR(O386="", Q386="", R386=""),
        "Fill all the required columns",
        IFERROR(
            IF(OR(
                AND(R386="Marine Protected", VLOOKUP(O386, Reference!$A$2:$D$34, 4, FALSE) &lt;= P386),
                AND(R386="General Use", VLOOKUP(O386, Reference!$A$2:$D$34, 3, FALSE) &lt;= P386)
            ),
                "Exceeded",
                "OK"
            ),
            "No Regulation defined"
        )
    ),
    ""
)</f>
        <v/>
      </c>
      <c r="AB386" s="62" t="str">
        <f t="shared" si="5"/>
        <v/>
      </c>
    </row>
    <row r="387" spans="3:28" x14ac:dyDescent="0.2">
      <c r="C387" s="69"/>
      <c r="D387" s="70"/>
      <c r="S387" s="34"/>
      <c r="T387" s="60" t="str">
        <f>IF(P387&lt;&gt;"",
    IF(OR(O387="", Q387="", R387=""),
        "Fill all the required columns",
        IFERROR(
            IF(OR(
                AND(R387="Marine Protected", VLOOKUP(O387, Reference!$A$2:$D$34, 4, FALSE) &lt;= P387),
                AND(R387="General Use", VLOOKUP(O387, Reference!$A$2:$D$34, 3, FALSE) &lt;= P387)
            ),
                "Exceeded",
                "OK"
            ),
            "No Regulation defined"
        )
    ),
    ""
)</f>
        <v/>
      </c>
      <c r="AB387" s="62" t="str">
        <f t="shared" ref="AB387:AB450" si="6">IF(COUNTA(A387, E387, F387, H387, I387, O387, P387, Q387, R387,S387) = 0, "", IF(COUNTA(A387, E387, F387, H387, I387, O387, P387, Q387, R387,S387) = 10, "OK", "Incomplete"))</f>
        <v/>
      </c>
    </row>
    <row r="388" spans="3:28" x14ac:dyDescent="0.2">
      <c r="C388" s="69"/>
      <c r="D388" s="70"/>
      <c r="S388" s="34"/>
      <c r="T388" s="60" t="str">
        <f>IF(P388&lt;&gt;"",
    IF(OR(O388="", Q388="", R388=""),
        "Fill all the required columns",
        IFERROR(
            IF(OR(
                AND(R388="Marine Protected", VLOOKUP(O388, Reference!$A$2:$D$34, 4, FALSE) &lt;= P388),
                AND(R388="General Use", VLOOKUP(O388, Reference!$A$2:$D$34, 3, FALSE) &lt;= P388)
            ),
                "Exceeded",
                "OK"
            ),
            "No Regulation defined"
        )
    ),
    ""
)</f>
        <v/>
      </c>
      <c r="AB388" s="62" t="str">
        <f t="shared" si="6"/>
        <v/>
      </c>
    </row>
    <row r="389" spans="3:28" x14ac:dyDescent="0.2">
      <c r="C389" s="69"/>
      <c r="D389" s="70"/>
      <c r="S389" s="34"/>
      <c r="T389" s="60" t="str">
        <f>IF(P389&lt;&gt;"",
    IF(OR(O389="", Q389="", R389=""),
        "Fill all the required columns",
        IFERROR(
            IF(OR(
                AND(R389="Marine Protected", VLOOKUP(O389, Reference!$A$2:$D$34, 4, FALSE) &lt;= P389),
                AND(R389="General Use", VLOOKUP(O389, Reference!$A$2:$D$34, 3, FALSE) &lt;= P389)
            ),
                "Exceeded",
                "OK"
            ),
            "No Regulation defined"
        )
    ),
    ""
)</f>
        <v/>
      </c>
      <c r="AB389" s="62" t="str">
        <f t="shared" si="6"/>
        <v/>
      </c>
    </row>
    <row r="390" spans="3:28" x14ac:dyDescent="0.2">
      <c r="C390" s="69"/>
      <c r="D390" s="70"/>
      <c r="S390" s="34"/>
      <c r="T390" s="60" t="str">
        <f>IF(P390&lt;&gt;"",
    IF(OR(O390="", Q390="", R390=""),
        "Fill all the required columns",
        IFERROR(
            IF(OR(
                AND(R390="Marine Protected", VLOOKUP(O390, Reference!$A$2:$D$34, 4, FALSE) &lt;= P390),
                AND(R390="General Use", VLOOKUP(O390, Reference!$A$2:$D$34, 3, FALSE) &lt;= P390)
            ),
                "Exceeded",
                "OK"
            ),
            "No Regulation defined"
        )
    ),
    ""
)</f>
        <v/>
      </c>
      <c r="AB390" s="62" t="str">
        <f t="shared" si="6"/>
        <v/>
      </c>
    </row>
    <row r="391" spans="3:28" x14ac:dyDescent="0.2">
      <c r="C391" s="69"/>
      <c r="D391" s="70"/>
      <c r="S391" s="34"/>
      <c r="T391" s="60" t="str">
        <f>IF(P391&lt;&gt;"",
    IF(OR(O391="", Q391="", R391=""),
        "Fill all the required columns",
        IFERROR(
            IF(OR(
                AND(R391="Marine Protected", VLOOKUP(O391, Reference!$A$2:$D$34, 4, FALSE) &lt;= P391),
                AND(R391="General Use", VLOOKUP(O391, Reference!$A$2:$D$34, 3, FALSE) &lt;= P391)
            ),
                "Exceeded",
                "OK"
            ),
            "No Regulation defined"
        )
    ),
    ""
)</f>
        <v/>
      </c>
      <c r="AB391" s="62" t="str">
        <f t="shared" si="6"/>
        <v/>
      </c>
    </row>
    <row r="392" spans="3:28" x14ac:dyDescent="0.2">
      <c r="C392" s="69"/>
      <c r="D392" s="70"/>
      <c r="S392" s="34"/>
      <c r="T392" s="60" t="str">
        <f>IF(P392&lt;&gt;"",
    IF(OR(O392="", Q392="", R392=""),
        "Fill all the required columns",
        IFERROR(
            IF(OR(
                AND(R392="Marine Protected", VLOOKUP(O392, Reference!$A$2:$D$34, 4, FALSE) &lt;= P392),
                AND(R392="General Use", VLOOKUP(O392, Reference!$A$2:$D$34, 3, FALSE) &lt;= P392)
            ),
                "Exceeded",
                "OK"
            ),
            "No Regulation defined"
        )
    ),
    ""
)</f>
        <v/>
      </c>
      <c r="AB392" s="62" t="str">
        <f t="shared" si="6"/>
        <v/>
      </c>
    </row>
    <row r="393" spans="3:28" x14ac:dyDescent="0.2">
      <c r="C393" s="69"/>
      <c r="D393" s="70"/>
      <c r="S393" s="34"/>
      <c r="T393" s="60" t="str">
        <f>IF(P393&lt;&gt;"",
    IF(OR(O393="", Q393="", R393=""),
        "Fill all the required columns",
        IFERROR(
            IF(OR(
                AND(R393="Marine Protected", VLOOKUP(O393, Reference!$A$2:$D$34, 4, FALSE) &lt;= P393),
                AND(R393="General Use", VLOOKUP(O393, Reference!$A$2:$D$34, 3, FALSE) &lt;= P393)
            ),
                "Exceeded",
                "OK"
            ),
            "No Regulation defined"
        )
    ),
    ""
)</f>
        <v/>
      </c>
      <c r="AB393" s="62" t="str">
        <f t="shared" si="6"/>
        <v/>
      </c>
    </row>
    <row r="394" spans="3:28" x14ac:dyDescent="0.2">
      <c r="C394" s="69"/>
      <c r="D394" s="70"/>
      <c r="S394" s="34"/>
      <c r="T394" s="60" t="str">
        <f>IF(P394&lt;&gt;"",
    IF(OR(O394="", Q394="", R394=""),
        "Fill all the required columns",
        IFERROR(
            IF(OR(
                AND(R394="Marine Protected", VLOOKUP(O394, Reference!$A$2:$D$34, 4, FALSE) &lt;= P394),
                AND(R394="General Use", VLOOKUP(O394, Reference!$A$2:$D$34, 3, FALSE) &lt;= P394)
            ),
                "Exceeded",
                "OK"
            ),
            "No Regulation defined"
        )
    ),
    ""
)</f>
        <v/>
      </c>
      <c r="AB394" s="62" t="str">
        <f t="shared" si="6"/>
        <v/>
      </c>
    </row>
    <row r="395" spans="3:28" x14ac:dyDescent="0.2">
      <c r="C395" s="69"/>
      <c r="D395" s="70"/>
      <c r="S395" s="34"/>
      <c r="T395" s="60" t="str">
        <f>IF(P395&lt;&gt;"",
    IF(OR(O395="", Q395="", R395=""),
        "Fill all the required columns",
        IFERROR(
            IF(OR(
                AND(R395="Marine Protected", VLOOKUP(O395, Reference!$A$2:$D$34, 4, FALSE) &lt;= P395),
                AND(R395="General Use", VLOOKUP(O395, Reference!$A$2:$D$34, 3, FALSE) &lt;= P395)
            ),
                "Exceeded",
                "OK"
            ),
            "No Regulation defined"
        )
    ),
    ""
)</f>
        <v/>
      </c>
      <c r="AB395" s="62" t="str">
        <f t="shared" si="6"/>
        <v/>
      </c>
    </row>
    <row r="396" spans="3:28" x14ac:dyDescent="0.2">
      <c r="C396" s="69"/>
      <c r="D396" s="70"/>
      <c r="S396" s="34"/>
      <c r="T396" s="60" t="str">
        <f>IF(P396&lt;&gt;"",
    IF(OR(O396="", Q396="", R396=""),
        "Fill all the required columns",
        IFERROR(
            IF(OR(
                AND(R396="Marine Protected", VLOOKUP(O396, Reference!$A$2:$D$34, 4, FALSE) &lt;= P396),
                AND(R396="General Use", VLOOKUP(O396, Reference!$A$2:$D$34, 3, FALSE) &lt;= P396)
            ),
                "Exceeded",
                "OK"
            ),
            "No Regulation defined"
        )
    ),
    ""
)</f>
        <v/>
      </c>
      <c r="AB396" s="62" t="str">
        <f t="shared" si="6"/>
        <v/>
      </c>
    </row>
    <row r="397" spans="3:28" x14ac:dyDescent="0.2">
      <c r="C397" s="69"/>
      <c r="D397" s="70"/>
      <c r="S397" s="34"/>
      <c r="T397" s="60" t="str">
        <f>IF(P397&lt;&gt;"",
    IF(OR(O397="", Q397="", R397=""),
        "Fill all the required columns",
        IFERROR(
            IF(OR(
                AND(R397="Marine Protected", VLOOKUP(O397, Reference!$A$2:$D$34, 4, FALSE) &lt;= P397),
                AND(R397="General Use", VLOOKUP(O397, Reference!$A$2:$D$34, 3, FALSE) &lt;= P397)
            ),
                "Exceeded",
                "OK"
            ),
            "No Regulation defined"
        )
    ),
    ""
)</f>
        <v/>
      </c>
      <c r="AB397" s="62" t="str">
        <f t="shared" si="6"/>
        <v/>
      </c>
    </row>
    <row r="398" spans="3:28" x14ac:dyDescent="0.2">
      <c r="C398" s="69"/>
      <c r="D398" s="70"/>
      <c r="S398" s="34"/>
      <c r="T398" s="60" t="str">
        <f>IF(P398&lt;&gt;"",
    IF(OR(O398="", Q398="", R398=""),
        "Fill all the required columns",
        IFERROR(
            IF(OR(
                AND(R398="Marine Protected", VLOOKUP(O398, Reference!$A$2:$D$34, 4, FALSE) &lt;= P398),
                AND(R398="General Use", VLOOKUP(O398, Reference!$A$2:$D$34, 3, FALSE) &lt;= P398)
            ),
                "Exceeded",
                "OK"
            ),
            "No Regulation defined"
        )
    ),
    ""
)</f>
        <v/>
      </c>
      <c r="AB398" s="62" t="str">
        <f t="shared" si="6"/>
        <v/>
      </c>
    </row>
    <row r="399" spans="3:28" x14ac:dyDescent="0.2">
      <c r="C399" s="69"/>
      <c r="D399" s="70"/>
      <c r="S399" s="34"/>
      <c r="T399" s="60" t="str">
        <f>IF(P399&lt;&gt;"",
    IF(OR(O399="", Q399="", R399=""),
        "Fill all the required columns",
        IFERROR(
            IF(OR(
                AND(R399="Marine Protected", VLOOKUP(O399, Reference!$A$2:$D$34, 4, FALSE) &lt;= P399),
                AND(R399="General Use", VLOOKUP(O399, Reference!$A$2:$D$34, 3, FALSE) &lt;= P399)
            ),
                "Exceeded",
                "OK"
            ),
            "No Regulation defined"
        )
    ),
    ""
)</f>
        <v/>
      </c>
      <c r="AB399" s="62" t="str">
        <f t="shared" si="6"/>
        <v/>
      </c>
    </row>
    <row r="400" spans="3:28" x14ac:dyDescent="0.2">
      <c r="C400" s="69"/>
      <c r="D400" s="70"/>
      <c r="S400" s="34"/>
      <c r="T400" s="60" t="str">
        <f>IF(P400&lt;&gt;"",
    IF(OR(O400="", Q400="", R400=""),
        "Fill all the required columns",
        IFERROR(
            IF(OR(
                AND(R400="Marine Protected", VLOOKUP(O400, Reference!$A$2:$D$34, 4, FALSE) &lt;= P400),
                AND(R400="General Use", VLOOKUP(O400, Reference!$A$2:$D$34, 3, FALSE) &lt;= P400)
            ),
                "Exceeded",
                "OK"
            ),
            "No Regulation defined"
        )
    ),
    ""
)</f>
        <v/>
      </c>
      <c r="AB400" s="62" t="str">
        <f t="shared" si="6"/>
        <v/>
      </c>
    </row>
    <row r="401" spans="3:28" x14ac:dyDescent="0.2">
      <c r="C401" s="69"/>
      <c r="D401" s="70"/>
      <c r="S401" s="34"/>
      <c r="T401" s="60" t="str">
        <f>IF(P401&lt;&gt;"",
    IF(OR(O401="", Q401="", R401=""),
        "Fill all the required columns",
        IFERROR(
            IF(OR(
                AND(R401="Marine Protected", VLOOKUP(O401, Reference!$A$2:$D$34, 4, FALSE) &lt;= P401),
                AND(R401="General Use", VLOOKUP(O401, Reference!$A$2:$D$34, 3, FALSE) &lt;= P401)
            ),
                "Exceeded",
                "OK"
            ),
            "No Regulation defined"
        )
    ),
    ""
)</f>
        <v/>
      </c>
      <c r="AB401" s="62" t="str">
        <f t="shared" si="6"/>
        <v/>
      </c>
    </row>
    <row r="402" spans="3:28" x14ac:dyDescent="0.2">
      <c r="C402" s="69"/>
      <c r="D402" s="70"/>
      <c r="S402" s="34"/>
      <c r="T402" s="60" t="str">
        <f>IF(P402&lt;&gt;"",
    IF(OR(O402="", Q402="", R402=""),
        "Fill all the required columns",
        IFERROR(
            IF(OR(
                AND(R402="Marine Protected", VLOOKUP(O402, Reference!$A$2:$D$34, 4, FALSE) &lt;= P402),
                AND(R402="General Use", VLOOKUP(O402, Reference!$A$2:$D$34, 3, FALSE) &lt;= P402)
            ),
                "Exceeded",
                "OK"
            ),
            "No Regulation defined"
        )
    ),
    ""
)</f>
        <v/>
      </c>
      <c r="AB402" s="62" t="str">
        <f t="shared" si="6"/>
        <v/>
      </c>
    </row>
    <row r="403" spans="3:28" x14ac:dyDescent="0.2">
      <c r="C403" s="69"/>
      <c r="D403" s="70"/>
      <c r="S403" s="34"/>
      <c r="T403" s="60" t="str">
        <f>IF(P403&lt;&gt;"",
    IF(OR(O403="", Q403="", R403=""),
        "Fill all the required columns",
        IFERROR(
            IF(OR(
                AND(R403="Marine Protected", VLOOKUP(O403, Reference!$A$2:$D$34, 4, FALSE) &lt;= P403),
                AND(R403="General Use", VLOOKUP(O403, Reference!$A$2:$D$34, 3, FALSE) &lt;= P403)
            ),
                "Exceeded",
                "OK"
            ),
            "No Regulation defined"
        )
    ),
    ""
)</f>
        <v/>
      </c>
      <c r="AB403" s="62" t="str">
        <f t="shared" si="6"/>
        <v/>
      </c>
    </row>
    <row r="404" spans="3:28" x14ac:dyDescent="0.2">
      <c r="C404" s="69"/>
      <c r="D404" s="70"/>
      <c r="S404" s="34"/>
      <c r="T404" s="60" t="str">
        <f>IF(P404&lt;&gt;"",
    IF(OR(O404="", Q404="", R404=""),
        "Fill all the required columns",
        IFERROR(
            IF(OR(
                AND(R404="Marine Protected", VLOOKUP(O404, Reference!$A$2:$D$34, 4, FALSE) &lt;= P404),
                AND(R404="General Use", VLOOKUP(O404, Reference!$A$2:$D$34, 3, FALSE) &lt;= P404)
            ),
                "Exceeded",
                "OK"
            ),
            "No Regulation defined"
        )
    ),
    ""
)</f>
        <v/>
      </c>
      <c r="AB404" s="62" t="str">
        <f t="shared" si="6"/>
        <v/>
      </c>
    </row>
    <row r="405" spans="3:28" x14ac:dyDescent="0.2">
      <c r="C405" s="69"/>
      <c r="D405" s="70"/>
      <c r="S405" s="34"/>
      <c r="T405" s="60" t="str">
        <f>IF(P405&lt;&gt;"",
    IF(OR(O405="", Q405="", R405=""),
        "Fill all the required columns",
        IFERROR(
            IF(OR(
                AND(R405="Marine Protected", VLOOKUP(O405, Reference!$A$2:$D$34, 4, FALSE) &lt;= P405),
                AND(R405="General Use", VLOOKUP(O405, Reference!$A$2:$D$34, 3, FALSE) &lt;= P405)
            ),
                "Exceeded",
                "OK"
            ),
            "No Regulation defined"
        )
    ),
    ""
)</f>
        <v/>
      </c>
      <c r="AB405" s="62" t="str">
        <f t="shared" si="6"/>
        <v/>
      </c>
    </row>
    <row r="406" spans="3:28" x14ac:dyDescent="0.2">
      <c r="C406" s="69"/>
      <c r="D406" s="70"/>
      <c r="S406" s="34"/>
      <c r="T406" s="60" t="str">
        <f>IF(P406&lt;&gt;"",
    IF(OR(O406="", Q406="", R406=""),
        "Fill all the required columns",
        IFERROR(
            IF(OR(
                AND(R406="Marine Protected", VLOOKUP(O406, Reference!$A$2:$D$34, 4, FALSE) &lt;= P406),
                AND(R406="General Use", VLOOKUP(O406, Reference!$A$2:$D$34, 3, FALSE) &lt;= P406)
            ),
                "Exceeded",
                "OK"
            ),
            "No Regulation defined"
        )
    ),
    ""
)</f>
        <v/>
      </c>
      <c r="AB406" s="62" t="str">
        <f t="shared" si="6"/>
        <v/>
      </c>
    </row>
    <row r="407" spans="3:28" x14ac:dyDescent="0.2">
      <c r="C407" s="69"/>
      <c r="D407" s="70"/>
      <c r="S407" s="34"/>
      <c r="T407" s="60" t="str">
        <f>IF(P407&lt;&gt;"",
    IF(OR(O407="", Q407="", R407=""),
        "Fill all the required columns",
        IFERROR(
            IF(OR(
                AND(R407="Marine Protected", VLOOKUP(O407, Reference!$A$2:$D$34, 4, FALSE) &lt;= P407),
                AND(R407="General Use", VLOOKUP(O407, Reference!$A$2:$D$34, 3, FALSE) &lt;= P407)
            ),
                "Exceeded",
                "OK"
            ),
            "No Regulation defined"
        )
    ),
    ""
)</f>
        <v/>
      </c>
      <c r="AB407" s="62" t="str">
        <f t="shared" si="6"/>
        <v/>
      </c>
    </row>
    <row r="408" spans="3:28" x14ac:dyDescent="0.2">
      <c r="C408" s="69"/>
      <c r="D408" s="70"/>
      <c r="S408" s="34"/>
      <c r="T408" s="60" t="str">
        <f>IF(P408&lt;&gt;"",
    IF(OR(O408="", Q408="", R408=""),
        "Fill all the required columns",
        IFERROR(
            IF(OR(
                AND(R408="Marine Protected", VLOOKUP(O408, Reference!$A$2:$D$34, 4, FALSE) &lt;= P408),
                AND(R408="General Use", VLOOKUP(O408, Reference!$A$2:$D$34, 3, FALSE) &lt;= P408)
            ),
                "Exceeded",
                "OK"
            ),
            "No Regulation defined"
        )
    ),
    ""
)</f>
        <v/>
      </c>
      <c r="AB408" s="62" t="str">
        <f t="shared" si="6"/>
        <v/>
      </c>
    </row>
    <row r="409" spans="3:28" x14ac:dyDescent="0.2">
      <c r="C409" s="69"/>
      <c r="D409" s="70"/>
      <c r="S409" s="34"/>
      <c r="T409" s="60" t="str">
        <f>IF(P409&lt;&gt;"",
    IF(OR(O409="", Q409="", R409=""),
        "Fill all the required columns",
        IFERROR(
            IF(OR(
                AND(R409="Marine Protected", VLOOKUP(O409, Reference!$A$2:$D$34, 4, FALSE) &lt;= P409),
                AND(R409="General Use", VLOOKUP(O409, Reference!$A$2:$D$34, 3, FALSE) &lt;= P409)
            ),
                "Exceeded",
                "OK"
            ),
            "No Regulation defined"
        )
    ),
    ""
)</f>
        <v/>
      </c>
      <c r="AB409" s="62" t="str">
        <f t="shared" si="6"/>
        <v/>
      </c>
    </row>
    <row r="410" spans="3:28" x14ac:dyDescent="0.2">
      <c r="C410" s="69"/>
      <c r="D410" s="70"/>
      <c r="S410" s="34"/>
      <c r="T410" s="60" t="str">
        <f>IF(P410&lt;&gt;"",
    IF(OR(O410="", Q410="", R410=""),
        "Fill all the required columns",
        IFERROR(
            IF(OR(
                AND(R410="Marine Protected", VLOOKUP(O410, Reference!$A$2:$D$34, 4, FALSE) &lt;= P410),
                AND(R410="General Use", VLOOKUP(O410, Reference!$A$2:$D$34, 3, FALSE) &lt;= P410)
            ),
                "Exceeded",
                "OK"
            ),
            "No Regulation defined"
        )
    ),
    ""
)</f>
        <v/>
      </c>
      <c r="AB410" s="62" t="str">
        <f t="shared" si="6"/>
        <v/>
      </c>
    </row>
    <row r="411" spans="3:28" x14ac:dyDescent="0.2">
      <c r="C411" s="69"/>
      <c r="D411" s="70"/>
      <c r="S411" s="34"/>
      <c r="T411" s="60" t="str">
        <f>IF(P411&lt;&gt;"",
    IF(OR(O411="", Q411="", R411=""),
        "Fill all the required columns",
        IFERROR(
            IF(OR(
                AND(R411="Marine Protected", VLOOKUP(O411, Reference!$A$2:$D$34, 4, FALSE) &lt;= P411),
                AND(R411="General Use", VLOOKUP(O411, Reference!$A$2:$D$34, 3, FALSE) &lt;= P411)
            ),
                "Exceeded",
                "OK"
            ),
            "No Regulation defined"
        )
    ),
    ""
)</f>
        <v/>
      </c>
      <c r="AB411" s="62" t="str">
        <f t="shared" si="6"/>
        <v/>
      </c>
    </row>
    <row r="412" spans="3:28" x14ac:dyDescent="0.2">
      <c r="C412" s="69"/>
      <c r="D412" s="70"/>
      <c r="S412" s="34"/>
      <c r="T412" s="60" t="str">
        <f>IF(P412&lt;&gt;"",
    IF(OR(O412="", Q412="", R412=""),
        "Fill all the required columns",
        IFERROR(
            IF(OR(
                AND(R412="Marine Protected", VLOOKUP(O412, Reference!$A$2:$D$34, 4, FALSE) &lt;= P412),
                AND(R412="General Use", VLOOKUP(O412, Reference!$A$2:$D$34, 3, FALSE) &lt;= P412)
            ),
                "Exceeded",
                "OK"
            ),
            "No Regulation defined"
        )
    ),
    ""
)</f>
        <v/>
      </c>
      <c r="AB412" s="62" t="str">
        <f t="shared" si="6"/>
        <v/>
      </c>
    </row>
    <row r="413" spans="3:28" x14ac:dyDescent="0.2">
      <c r="C413" s="69"/>
      <c r="D413" s="70"/>
      <c r="S413" s="34"/>
      <c r="T413" s="60" t="str">
        <f>IF(P413&lt;&gt;"",
    IF(OR(O413="", Q413="", R413=""),
        "Fill all the required columns",
        IFERROR(
            IF(OR(
                AND(R413="Marine Protected", VLOOKUP(O413, Reference!$A$2:$D$34, 4, FALSE) &lt;= P413),
                AND(R413="General Use", VLOOKUP(O413, Reference!$A$2:$D$34, 3, FALSE) &lt;= P413)
            ),
                "Exceeded",
                "OK"
            ),
            "No Regulation defined"
        )
    ),
    ""
)</f>
        <v/>
      </c>
      <c r="AB413" s="62" t="str">
        <f t="shared" si="6"/>
        <v/>
      </c>
    </row>
    <row r="414" spans="3:28" x14ac:dyDescent="0.2">
      <c r="C414" s="69"/>
      <c r="D414" s="70"/>
      <c r="S414" s="34"/>
      <c r="T414" s="60" t="str">
        <f>IF(P414&lt;&gt;"",
    IF(OR(O414="", Q414="", R414=""),
        "Fill all the required columns",
        IFERROR(
            IF(OR(
                AND(R414="Marine Protected", VLOOKUP(O414, Reference!$A$2:$D$34, 4, FALSE) &lt;= P414),
                AND(R414="General Use", VLOOKUP(O414, Reference!$A$2:$D$34, 3, FALSE) &lt;= P414)
            ),
                "Exceeded",
                "OK"
            ),
            "No Regulation defined"
        )
    ),
    ""
)</f>
        <v/>
      </c>
      <c r="AB414" s="62" t="str">
        <f t="shared" si="6"/>
        <v/>
      </c>
    </row>
    <row r="415" spans="3:28" x14ac:dyDescent="0.2">
      <c r="C415" s="69"/>
      <c r="D415" s="70"/>
      <c r="S415" s="34"/>
      <c r="T415" s="60" t="str">
        <f>IF(P415&lt;&gt;"",
    IF(OR(O415="", Q415="", R415=""),
        "Fill all the required columns",
        IFERROR(
            IF(OR(
                AND(R415="Marine Protected", VLOOKUP(O415, Reference!$A$2:$D$34, 4, FALSE) &lt;= P415),
                AND(R415="General Use", VLOOKUP(O415, Reference!$A$2:$D$34, 3, FALSE) &lt;= P415)
            ),
                "Exceeded",
                "OK"
            ),
            "No Regulation defined"
        )
    ),
    ""
)</f>
        <v/>
      </c>
      <c r="AB415" s="62" t="str">
        <f t="shared" si="6"/>
        <v/>
      </c>
    </row>
    <row r="416" spans="3:28" x14ac:dyDescent="0.2">
      <c r="C416" s="69"/>
      <c r="D416" s="70"/>
      <c r="S416" s="34"/>
      <c r="T416" s="60" t="str">
        <f>IF(P416&lt;&gt;"",
    IF(OR(O416="", Q416="", R416=""),
        "Fill all the required columns",
        IFERROR(
            IF(OR(
                AND(R416="Marine Protected", VLOOKUP(O416, Reference!$A$2:$D$34, 4, FALSE) &lt;= P416),
                AND(R416="General Use", VLOOKUP(O416, Reference!$A$2:$D$34, 3, FALSE) &lt;= P416)
            ),
                "Exceeded",
                "OK"
            ),
            "No Regulation defined"
        )
    ),
    ""
)</f>
        <v/>
      </c>
      <c r="AB416" s="62" t="str">
        <f t="shared" si="6"/>
        <v/>
      </c>
    </row>
    <row r="417" spans="3:28" x14ac:dyDescent="0.2">
      <c r="C417" s="69"/>
      <c r="D417" s="70"/>
      <c r="S417" s="34"/>
      <c r="T417" s="60" t="str">
        <f>IF(P417&lt;&gt;"",
    IF(OR(O417="", Q417="", R417=""),
        "Fill all the required columns",
        IFERROR(
            IF(OR(
                AND(R417="Marine Protected", VLOOKUP(O417, Reference!$A$2:$D$34, 4, FALSE) &lt;= P417),
                AND(R417="General Use", VLOOKUP(O417, Reference!$A$2:$D$34, 3, FALSE) &lt;= P417)
            ),
                "Exceeded",
                "OK"
            ),
            "No Regulation defined"
        )
    ),
    ""
)</f>
        <v/>
      </c>
      <c r="AB417" s="62" t="str">
        <f t="shared" si="6"/>
        <v/>
      </c>
    </row>
    <row r="418" spans="3:28" x14ac:dyDescent="0.2">
      <c r="C418" s="69"/>
      <c r="D418" s="70"/>
      <c r="S418" s="34"/>
      <c r="T418" s="60" t="str">
        <f>IF(P418&lt;&gt;"",
    IF(OR(O418="", Q418="", R418=""),
        "Fill all the required columns",
        IFERROR(
            IF(OR(
                AND(R418="Marine Protected", VLOOKUP(O418, Reference!$A$2:$D$34, 4, FALSE) &lt;= P418),
                AND(R418="General Use", VLOOKUP(O418, Reference!$A$2:$D$34, 3, FALSE) &lt;= P418)
            ),
                "Exceeded",
                "OK"
            ),
            "No Regulation defined"
        )
    ),
    ""
)</f>
        <v/>
      </c>
      <c r="AB418" s="62" t="str">
        <f t="shared" si="6"/>
        <v/>
      </c>
    </row>
    <row r="419" spans="3:28" x14ac:dyDescent="0.2">
      <c r="C419" s="69"/>
      <c r="D419" s="70"/>
      <c r="S419" s="34"/>
      <c r="T419" s="60" t="str">
        <f>IF(P419&lt;&gt;"",
    IF(OR(O419="", Q419="", R419=""),
        "Fill all the required columns",
        IFERROR(
            IF(OR(
                AND(R419="Marine Protected", VLOOKUP(O419, Reference!$A$2:$D$34, 4, FALSE) &lt;= P419),
                AND(R419="General Use", VLOOKUP(O419, Reference!$A$2:$D$34, 3, FALSE) &lt;= P419)
            ),
                "Exceeded",
                "OK"
            ),
            "No Regulation defined"
        )
    ),
    ""
)</f>
        <v/>
      </c>
      <c r="AB419" s="62" t="str">
        <f t="shared" si="6"/>
        <v/>
      </c>
    </row>
    <row r="420" spans="3:28" x14ac:dyDescent="0.2">
      <c r="C420" s="69"/>
      <c r="D420" s="70"/>
      <c r="S420" s="34"/>
      <c r="T420" s="60" t="str">
        <f>IF(P420&lt;&gt;"",
    IF(OR(O420="", Q420="", R420=""),
        "Fill all the required columns",
        IFERROR(
            IF(OR(
                AND(R420="Marine Protected", VLOOKUP(O420, Reference!$A$2:$D$34, 4, FALSE) &lt;= P420),
                AND(R420="General Use", VLOOKUP(O420, Reference!$A$2:$D$34, 3, FALSE) &lt;= P420)
            ),
                "Exceeded",
                "OK"
            ),
            "No Regulation defined"
        )
    ),
    ""
)</f>
        <v/>
      </c>
      <c r="AB420" s="62" t="str">
        <f t="shared" si="6"/>
        <v/>
      </c>
    </row>
    <row r="421" spans="3:28" x14ac:dyDescent="0.2">
      <c r="C421" s="69"/>
      <c r="D421" s="70"/>
      <c r="S421" s="34"/>
      <c r="T421" s="60" t="str">
        <f>IF(P421&lt;&gt;"",
    IF(OR(O421="", Q421="", R421=""),
        "Fill all the required columns",
        IFERROR(
            IF(OR(
                AND(R421="Marine Protected", VLOOKUP(O421, Reference!$A$2:$D$34, 4, FALSE) &lt;= P421),
                AND(R421="General Use", VLOOKUP(O421, Reference!$A$2:$D$34, 3, FALSE) &lt;= P421)
            ),
                "Exceeded",
                "OK"
            ),
            "No Regulation defined"
        )
    ),
    ""
)</f>
        <v/>
      </c>
      <c r="AB421" s="62" t="str">
        <f t="shared" si="6"/>
        <v/>
      </c>
    </row>
    <row r="422" spans="3:28" x14ac:dyDescent="0.2">
      <c r="C422" s="69"/>
      <c r="D422" s="70"/>
      <c r="S422" s="34"/>
      <c r="T422" s="60" t="str">
        <f>IF(P422&lt;&gt;"",
    IF(OR(O422="", Q422="", R422=""),
        "Fill all the required columns",
        IFERROR(
            IF(OR(
                AND(R422="Marine Protected", VLOOKUP(O422, Reference!$A$2:$D$34, 4, FALSE) &lt;= P422),
                AND(R422="General Use", VLOOKUP(O422, Reference!$A$2:$D$34, 3, FALSE) &lt;= P422)
            ),
                "Exceeded",
                "OK"
            ),
            "No Regulation defined"
        )
    ),
    ""
)</f>
        <v/>
      </c>
      <c r="AB422" s="62" t="str">
        <f t="shared" si="6"/>
        <v/>
      </c>
    </row>
    <row r="423" spans="3:28" x14ac:dyDescent="0.2">
      <c r="C423" s="69"/>
      <c r="D423" s="70"/>
      <c r="S423" s="34"/>
      <c r="T423" s="60" t="str">
        <f>IF(P423&lt;&gt;"",
    IF(OR(O423="", Q423="", R423=""),
        "Fill all the required columns",
        IFERROR(
            IF(OR(
                AND(R423="Marine Protected", VLOOKUP(O423, Reference!$A$2:$D$34, 4, FALSE) &lt;= P423),
                AND(R423="General Use", VLOOKUP(O423, Reference!$A$2:$D$34, 3, FALSE) &lt;= P423)
            ),
                "Exceeded",
                "OK"
            ),
            "No Regulation defined"
        )
    ),
    ""
)</f>
        <v/>
      </c>
      <c r="AB423" s="62" t="str">
        <f t="shared" si="6"/>
        <v/>
      </c>
    </row>
    <row r="424" spans="3:28" x14ac:dyDescent="0.2">
      <c r="C424" s="69"/>
      <c r="D424" s="70"/>
      <c r="S424" s="34"/>
      <c r="T424" s="60" t="str">
        <f>IF(P424&lt;&gt;"",
    IF(OR(O424="", Q424="", R424=""),
        "Fill all the required columns",
        IFERROR(
            IF(OR(
                AND(R424="Marine Protected", VLOOKUP(O424, Reference!$A$2:$D$34, 4, FALSE) &lt;= P424),
                AND(R424="General Use", VLOOKUP(O424, Reference!$A$2:$D$34, 3, FALSE) &lt;= P424)
            ),
                "Exceeded",
                "OK"
            ),
            "No Regulation defined"
        )
    ),
    ""
)</f>
        <v/>
      </c>
      <c r="AB424" s="62" t="str">
        <f t="shared" si="6"/>
        <v/>
      </c>
    </row>
    <row r="425" spans="3:28" x14ac:dyDescent="0.2">
      <c r="C425" s="69"/>
      <c r="D425" s="70"/>
      <c r="S425" s="34"/>
      <c r="T425" s="60" t="str">
        <f>IF(P425&lt;&gt;"",
    IF(OR(O425="", Q425="", R425=""),
        "Fill all the required columns",
        IFERROR(
            IF(OR(
                AND(R425="Marine Protected", VLOOKUP(O425, Reference!$A$2:$D$34, 4, FALSE) &lt;= P425),
                AND(R425="General Use", VLOOKUP(O425, Reference!$A$2:$D$34, 3, FALSE) &lt;= P425)
            ),
                "Exceeded",
                "OK"
            ),
            "No Regulation defined"
        )
    ),
    ""
)</f>
        <v/>
      </c>
      <c r="AB425" s="62" t="str">
        <f t="shared" si="6"/>
        <v/>
      </c>
    </row>
    <row r="426" spans="3:28" x14ac:dyDescent="0.2">
      <c r="C426" s="69"/>
      <c r="D426" s="70"/>
      <c r="S426" s="34"/>
      <c r="T426" s="60" t="str">
        <f>IF(P426&lt;&gt;"",
    IF(OR(O426="", Q426="", R426=""),
        "Fill all the required columns",
        IFERROR(
            IF(OR(
                AND(R426="Marine Protected", VLOOKUP(O426, Reference!$A$2:$D$34, 4, FALSE) &lt;= P426),
                AND(R426="General Use", VLOOKUP(O426, Reference!$A$2:$D$34, 3, FALSE) &lt;= P426)
            ),
                "Exceeded",
                "OK"
            ),
            "No Regulation defined"
        )
    ),
    ""
)</f>
        <v/>
      </c>
      <c r="AB426" s="62" t="str">
        <f t="shared" si="6"/>
        <v/>
      </c>
    </row>
    <row r="427" spans="3:28" x14ac:dyDescent="0.2">
      <c r="C427" s="69"/>
      <c r="D427" s="70"/>
      <c r="S427" s="34"/>
      <c r="T427" s="60" t="str">
        <f>IF(P427&lt;&gt;"",
    IF(OR(O427="", Q427="", R427=""),
        "Fill all the required columns",
        IFERROR(
            IF(OR(
                AND(R427="Marine Protected", VLOOKUP(O427, Reference!$A$2:$D$34, 4, FALSE) &lt;= P427),
                AND(R427="General Use", VLOOKUP(O427, Reference!$A$2:$D$34, 3, FALSE) &lt;= P427)
            ),
                "Exceeded",
                "OK"
            ),
            "No Regulation defined"
        )
    ),
    ""
)</f>
        <v/>
      </c>
      <c r="AB427" s="62" t="str">
        <f t="shared" si="6"/>
        <v/>
      </c>
    </row>
    <row r="428" spans="3:28" x14ac:dyDescent="0.2">
      <c r="C428" s="69"/>
      <c r="D428" s="70"/>
      <c r="S428" s="34"/>
      <c r="T428" s="60" t="str">
        <f>IF(P428&lt;&gt;"",
    IF(OR(O428="", Q428="", R428=""),
        "Fill all the required columns",
        IFERROR(
            IF(OR(
                AND(R428="Marine Protected", VLOOKUP(O428, Reference!$A$2:$D$34, 4, FALSE) &lt;= P428),
                AND(R428="General Use", VLOOKUP(O428, Reference!$A$2:$D$34, 3, FALSE) &lt;= P428)
            ),
                "Exceeded",
                "OK"
            ),
            "No Regulation defined"
        )
    ),
    ""
)</f>
        <v/>
      </c>
      <c r="AB428" s="62" t="str">
        <f t="shared" si="6"/>
        <v/>
      </c>
    </row>
    <row r="429" spans="3:28" x14ac:dyDescent="0.2">
      <c r="C429" s="69"/>
      <c r="D429" s="70"/>
      <c r="S429" s="34"/>
      <c r="T429" s="60" t="str">
        <f>IF(P429&lt;&gt;"",
    IF(OR(O429="", Q429="", R429=""),
        "Fill all the required columns",
        IFERROR(
            IF(OR(
                AND(R429="Marine Protected", VLOOKUP(O429, Reference!$A$2:$D$34, 4, FALSE) &lt;= P429),
                AND(R429="General Use", VLOOKUP(O429, Reference!$A$2:$D$34, 3, FALSE) &lt;= P429)
            ),
                "Exceeded",
                "OK"
            ),
            "No Regulation defined"
        )
    ),
    ""
)</f>
        <v/>
      </c>
      <c r="AB429" s="62" t="str">
        <f t="shared" si="6"/>
        <v/>
      </c>
    </row>
    <row r="430" spans="3:28" x14ac:dyDescent="0.2">
      <c r="C430" s="69"/>
      <c r="D430" s="70"/>
      <c r="S430" s="34"/>
      <c r="T430" s="60" t="str">
        <f>IF(P430&lt;&gt;"",
    IF(OR(O430="", Q430="", R430=""),
        "Fill all the required columns",
        IFERROR(
            IF(OR(
                AND(R430="Marine Protected", VLOOKUP(O430, Reference!$A$2:$D$34, 4, FALSE) &lt;= P430),
                AND(R430="General Use", VLOOKUP(O430, Reference!$A$2:$D$34, 3, FALSE) &lt;= P430)
            ),
                "Exceeded",
                "OK"
            ),
            "No Regulation defined"
        )
    ),
    ""
)</f>
        <v/>
      </c>
      <c r="AB430" s="62" t="str">
        <f t="shared" si="6"/>
        <v/>
      </c>
    </row>
    <row r="431" spans="3:28" x14ac:dyDescent="0.2">
      <c r="C431" s="69"/>
      <c r="D431" s="70"/>
      <c r="S431" s="34"/>
      <c r="T431" s="60" t="str">
        <f>IF(P431&lt;&gt;"",
    IF(OR(O431="", Q431="", R431=""),
        "Fill all the required columns",
        IFERROR(
            IF(OR(
                AND(R431="Marine Protected", VLOOKUP(O431, Reference!$A$2:$D$34, 4, FALSE) &lt;= P431),
                AND(R431="General Use", VLOOKUP(O431, Reference!$A$2:$D$34, 3, FALSE) &lt;= P431)
            ),
                "Exceeded",
                "OK"
            ),
            "No Regulation defined"
        )
    ),
    ""
)</f>
        <v/>
      </c>
      <c r="AB431" s="62" t="str">
        <f t="shared" si="6"/>
        <v/>
      </c>
    </row>
    <row r="432" spans="3:28" x14ac:dyDescent="0.2">
      <c r="C432" s="69"/>
      <c r="D432" s="70"/>
      <c r="S432" s="34"/>
      <c r="T432" s="60" t="str">
        <f>IF(P432&lt;&gt;"",
    IF(OR(O432="", Q432="", R432=""),
        "Fill all the required columns",
        IFERROR(
            IF(OR(
                AND(R432="Marine Protected", VLOOKUP(O432, Reference!$A$2:$D$34, 4, FALSE) &lt;= P432),
                AND(R432="General Use", VLOOKUP(O432, Reference!$A$2:$D$34, 3, FALSE) &lt;= P432)
            ),
                "Exceeded",
                "OK"
            ),
            "No Regulation defined"
        )
    ),
    ""
)</f>
        <v/>
      </c>
      <c r="AB432" s="62" t="str">
        <f t="shared" si="6"/>
        <v/>
      </c>
    </row>
    <row r="433" spans="3:28" x14ac:dyDescent="0.2">
      <c r="C433" s="69"/>
      <c r="D433" s="70"/>
      <c r="S433" s="34"/>
      <c r="T433" s="60" t="str">
        <f>IF(P433&lt;&gt;"",
    IF(OR(O433="", Q433="", R433=""),
        "Fill all the required columns",
        IFERROR(
            IF(OR(
                AND(R433="Marine Protected", VLOOKUP(O433, Reference!$A$2:$D$34, 4, FALSE) &lt;= P433),
                AND(R433="General Use", VLOOKUP(O433, Reference!$A$2:$D$34, 3, FALSE) &lt;= P433)
            ),
                "Exceeded",
                "OK"
            ),
            "No Regulation defined"
        )
    ),
    ""
)</f>
        <v/>
      </c>
      <c r="AB433" s="62" t="str">
        <f t="shared" si="6"/>
        <v/>
      </c>
    </row>
    <row r="434" spans="3:28" x14ac:dyDescent="0.2">
      <c r="C434" s="69"/>
      <c r="D434" s="70"/>
      <c r="S434" s="34"/>
      <c r="T434" s="60" t="str">
        <f>IF(P434&lt;&gt;"",
    IF(OR(O434="", Q434="", R434=""),
        "Fill all the required columns",
        IFERROR(
            IF(OR(
                AND(R434="Marine Protected", VLOOKUP(O434, Reference!$A$2:$D$34, 4, FALSE) &lt;= P434),
                AND(R434="General Use", VLOOKUP(O434, Reference!$A$2:$D$34, 3, FALSE) &lt;= P434)
            ),
                "Exceeded",
                "OK"
            ),
            "No Regulation defined"
        )
    ),
    ""
)</f>
        <v/>
      </c>
      <c r="AB434" s="62" t="str">
        <f t="shared" si="6"/>
        <v/>
      </c>
    </row>
    <row r="435" spans="3:28" x14ac:dyDescent="0.2">
      <c r="C435" s="69"/>
      <c r="D435" s="70"/>
      <c r="S435" s="34"/>
      <c r="T435" s="60" t="str">
        <f>IF(P435&lt;&gt;"",
    IF(OR(O435="", Q435="", R435=""),
        "Fill all the required columns",
        IFERROR(
            IF(OR(
                AND(R435="Marine Protected", VLOOKUP(O435, Reference!$A$2:$D$34, 4, FALSE) &lt;= P435),
                AND(R435="General Use", VLOOKUP(O435, Reference!$A$2:$D$34, 3, FALSE) &lt;= P435)
            ),
                "Exceeded",
                "OK"
            ),
            "No Regulation defined"
        )
    ),
    ""
)</f>
        <v/>
      </c>
      <c r="AB435" s="62" t="str">
        <f t="shared" si="6"/>
        <v/>
      </c>
    </row>
    <row r="436" spans="3:28" x14ac:dyDescent="0.2">
      <c r="C436" s="69"/>
      <c r="D436" s="70"/>
      <c r="S436" s="34"/>
      <c r="T436" s="60" t="str">
        <f>IF(P436&lt;&gt;"",
    IF(OR(O436="", Q436="", R436=""),
        "Fill all the required columns",
        IFERROR(
            IF(OR(
                AND(R436="Marine Protected", VLOOKUP(O436, Reference!$A$2:$D$34, 4, FALSE) &lt;= P436),
                AND(R436="General Use", VLOOKUP(O436, Reference!$A$2:$D$34, 3, FALSE) &lt;= P436)
            ),
                "Exceeded",
                "OK"
            ),
            "No Regulation defined"
        )
    ),
    ""
)</f>
        <v/>
      </c>
      <c r="AB436" s="62" t="str">
        <f t="shared" si="6"/>
        <v/>
      </c>
    </row>
    <row r="437" spans="3:28" x14ac:dyDescent="0.2">
      <c r="C437" s="69"/>
      <c r="D437" s="70"/>
      <c r="S437" s="34"/>
      <c r="T437" s="60" t="str">
        <f>IF(P437&lt;&gt;"",
    IF(OR(O437="", Q437="", R437=""),
        "Fill all the required columns",
        IFERROR(
            IF(OR(
                AND(R437="Marine Protected", VLOOKUP(O437, Reference!$A$2:$D$34, 4, FALSE) &lt;= P437),
                AND(R437="General Use", VLOOKUP(O437, Reference!$A$2:$D$34, 3, FALSE) &lt;= P437)
            ),
                "Exceeded",
                "OK"
            ),
            "No Regulation defined"
        )
    ),
    ""
)</f>
        <v/>
      </c>
      <c r="AB437" s="62" t="str">
        <f t="shared" si="6"/>
        <v/>
      </c>
    </row>
    <row r="438" spans="3:28" x14ac:dyDescent="0.2">
      <c r="C438" s="69"/>
      <c r="D438" s="70"/>
      <c r="S438" s="34"/>
      <c r="T438" s="60" t="str">
        <f>IF(P438&lt;&gt;"",
    IF(OR(O438="", Q438="", R438=""),
        "Fill all the required columns",
        IFERROR(
            IF(OR(
                AND(R438="Marine Protected", VLOOKUP(O438, Reference!$A$2:$D$34, 4, FALSE) &lt;= P438),
                AND(R438="General Use", VLOOKUP(O438, Reference!$A$2:$D$34, 3, FALSE) &lt;= P438)
            ),
                "Exceeded",
                "OK"
            ),
            "No Regulation defined"
        )
    ),
    ""
)</f>
        <v/>
      </c>
      <c r="AB438" s="62" t="str">
        <f t="shared" si="6"/>
        <v/>
      </c>
    </row>
    <row r="439" spans="3:28" x14ac:dyDescent="0.2">
      <c r="C439" s="69"/>
      <c r="D439" s="70"/>
      <c r="S439" s="34"/>
      <c r="T439" s="60" t="str">
        <f>IF(P439&lt;&gt;"",
    IF(OR(O439="", Q439="", R439=""),
        "Fill all the required columns",
        IFERROR(
            IF(OR(
                AND(R439="Marine Protected", VLOOKUP(O439, Reference!$A$2:$D$34, 4, FALSE) &lt;= P439),
                AND(R439="General Use", VLOOKUP(O439, Reference!$A$2:$D$34, 3, FALSE) &lt;= P439)
            ),
                "Exceeded",
                "OK"
            ),
            "No Regulation defined"
        )
    ),
    ""
)</f>
        <v/>
      </c>
      <c r="AB439" s="62" t="str">
        <f t="shared" si="6"/>
        <v/>
      </c>
    </row>
    <row r="440" spans="3:28" x14ac:dyDescent="0.2">
      <c r="C440" s="69"/>
      <c r="D440" s="70"/>
      <c r="S440" s="34"/>
      <c r="T440" s="60" t="str">
        <f>IF(P440&lt;&gt;"",
    IF(OR(O440="", Q440="", R440=""),
        "Fill all the required columns",
        IFERROR(
            IF(OR(
                AND(R440="Marine Protected", VLOOKUP(O440, Reference!$A$2:$D$34, 4, FALSE) &lt;= P440),
                AND(R440="General Use", VLOOKUP(O440, Reference!$A$2:$D$34, 3, FALSE) &lt;= P440)
            ),
                "Exceeded",
                "OK"
            ),
            "No Regulation defined"
        )
    ),
    ""
)</f>
        <v/>
      </c>
      <c r="AB440" s="62" t="str">
        <f t="shared" si="6"/>
        <v/>
      </c>
    </row>
    <row r="441" spans="3:28" x14ac:dyDescent="0.2">
      <c r="C441" s="69"/>
      <c r="D441" s="70"/>
      <c r="S441" s="34"/>
      <c r="T441" s="60" t="str">
        <f>IF(P441&lt;&gt;"",
    IF(OR(O441="", Q441="", R441=""),
        "Fill all the required columns",
        IFERROR(
            IF(OR(
                AND(R441="Marine Protected", VLOOKUP(O441, Reference!$A$2:$D$34, 4, FALSE) &lt;= P441),
                AND(R441="General Use", VLOOKUP(O441, Reference!$A$2:$D$34, 3, FALSE) &lt;= P441)
            ),
                "Exceeded",
                "OK"
            ),
            "No Regulation defined"
        )
    ),
    ""
)</f>
        <v/>
      </c>
      <c r="AB441" s="62" t="str">
        <f t="shared" si="6"/>
        <v/>
      </c>
    </row>
    <row r="442" spans="3:28" x14ac:dyDescent="0.2">
      <c r="C442" s="69"/>
      <c r="D442" s="70"/>
      <c r="S442" s="34"/>
      <c r="T442" s="60" t="str">
        <f>IF(P442&lt;&gt;"",
    IF(OR(O442="", Q442="", R442=""),
        "Fill all the required columns",
        IFERROR(
            IF(OR(
                AND(R442="Marine Protected", VLOOKUP(O442, Reference!$A$2:$D$34, 4, FALSE) &lt;= P442),
                AND(R442="General Use", VLOOKUP(O442, Reference!$A$2:$D$34, 3, FALSE) &lt;= P442)
            ),
                "Exceeded",
                "OK"
            ),
            "No Regulation defined"
        )
    ),
    ""
)</f>
        <v/>
      </c>
      <c r="AB442" s="62" t="str">
        <f t="shared" si="6"/>
        <v/>
      </c>
    </row>
    <row r="443" spans="3:28" x14ac:dyDescent="0.2">
      <c r="C443" s="69"/>
      <c r="D443" s="70"/>
      <c r="S443" s="34"/>
      <c r="T443" s="60" t="str">
        <f>IF(P443&lt;&gt;"",
    IF(OR(O443="", Q443="", R443=""),
        "Fill all the required columns",
        IFERROR(
            IF(OR(
                AND(R443="Marine Protected", VLOOKUP(O443, Reference!$A$2:$D$34, 4, FALSE) &lt;= P443),
                AND(R443="General Use", VLOOKUP(O443, Reference!$A$2:$D$34, 3, FALSE) &lt;= P443)
            ),
                "Exceeded",
                "OK"
            ),
            "No Regulation defined"
        )
    ),
    ""
)</f>
        <v/>
      </c>
      <c r="AB443" s="62" t="str">
        <f t="shared" si="6"/>
        <v/>
      </c>
    </row>
    <row r="444" spans="3:28" x14ac:dyDescent="0.2">
      <c r="C444" s="69"/>
      <c r="D444" s="70"/>
      <c r="S444" s="34"/>
      <c r="T444" s="60" t="str">
        <f>IF(P444&lt;&gt;"",
    IF(OR(O444="", Q444="", R444=""),
        "Fill all the required columns",
        IFERROR(
            IF(OR(
                AND(R444="Marine Protected", VLOOKUP(O444, Reference!$A$2:$D$34, 4, FALSE) &lt;= P444),
                AND(R444="General Use", VLOOKUP(O444, Reference!$A$2:$D$34, 3, FALSE) &lt;= P444)
            ),
                "Exceeded",
                "OK"
            ),
            "No Regulation defined"
        )
    ),
    ""
)</f>
        <v/>
      </c>
      <c r="AB444" s="62" t="str">
        <f t="shared" si="6"/>
        <v/>
      </c>
    </row>
    <row r="445" spans="3:28" x14ac:dyDescent="0.2">
      <c r="C445" s="69"/>
      <c r="D445" s="70"/>
      <c r="S445" s="34"/>
      <c r="T445" s="60" t="str">
        <f>IF(P445&lt;&gt;"",
    IF(OR(O445="", Q445="", R445=""),
        "Fill all the required columns",
        IFERROR(
            IF(OR(
                AND(R445="Marine Protected", VLOOKUP(O445, Reference!$A$2:$D$34, 4, FALSE) &lt;= P445),
                AND(R445="General Use", VLOOKUP(O445, Reference!$A$2:$D$34, 3, FALSE) &lt;= P445)
            ),
                "Exceeded",
                "OK"
            ),
            "No Regulation defined"
        )
    ),
    ""
)</f>
        <v/>
      </c>
      <c r="AB445" s="62" t="str">
        <f t="shared" si="6"/>
        <v/>
      </c>
    </row>
    <row r="446" spans="3:28" x14ac:dyDescent="0.2">
      <c r="C446" s="69"/>
      <c r="D446" s="70"/>
      <c r="S446" s="34"/>
      <c r="T446" s="60" t="str">
        <f>IF(P446&lt;&gt;"",
    IF(OR(O446="", Q446="", R446=""),
        "Fill all the required columns",
        IFERROR(
            IF(OR(
                AND(R446="Marine Protected", VLOOKUP(O446, Reference!$A$2:$D$34, 4, FALSE) &lt;= P446),
                AND(R446="General Use", VLOOKUP(O446, Reference!$A$2:$D$34, 3, FALSE) &lt;= P446)
            ),
                "Exceeded",
                "OK"
            ),
            "No Regulation defined"
        )
    ),
    ""
)</f>
        <v/>
      </c>
      <c r="AB446" s="62" t="str">
        <f t="shared" si="6"/>
        <v/>
      </c>
    </row>
    <row r="447" spans="3:28" x14ac:dyDescent="0.2">
      <c r="C447" s="69"/>
      <c r="D447" s="70"/>
      <c r="S447" s="34"/>
      <c r="T447" s="60" t="str">
        <f>IF(P447&lt;&gt;"",
    IF(OR(O447="", Q447="", R447=""),
        "Fill all the required columns",
        IFERROR(
            IF(OR(
                AND(R447="Marine Protected", VLOOKUP(O447, Reference!$A$2:$D$34, 4, FALSE) &lt;= P447),
                AND(R447="General Use", VLOOKUP(O447, Reference!$A$2:$D$34, 3, FALSE) &lt;= P447)
            ),
                "Exceeded",
                "OK"
            ),
            "No Regulation defined"
        )
    ),
    ""
)</f>
        <v/>
      </c>
      <c r="AB447" s="62" t="str">
        <f t="shared" si="6"/>
        <v/>
      </c>
    </row>
    <row r="448" spans="3:28" x14ac:dyDescent="0.2">
      <c r="C448" s="69"/>
      <c r="D448" s="70"/>
      <c r="S448" s="34"/>
      <c r="T448" s="60" t="str">
        <f>IF(P448&lt;&gt;"",
    IF(OR(O448="", Q448="", R448=""),
        "Fill all the required columns",
        IFERROR(
            IF(OR(
                AND(R448="Marine Protected", VLOOKUP(O448, Reference!$A$2:$D$34, 4, FALSE) &lt;= P448),
                AND(R448="General Use", VLOOKUP(O448, Reference!$A$2:$D$34, 3, FALSE) &lt;= P448)
            ),
                "Exceeded",
                "OK"
            ),
            "No Regulation defined"
        )
    ),
    ""
)</f>
        <v/>
      </c>
      <c r="AB448" s="62" t="str">
        <f t="shared" si="6"/>
        <v/>
      </c>
    </row>
    <row r="449" spans="3:28" x14ac:dyDescent="0.2">
      <c r="C449" s="69"/>
      <c r="D449" s="70"/>
      <c r="S449" s="34"/>
      <c r="T449" s="60" t="str">
        <f>IF(P449&lt;&gt;"",
    IF(OR(O449="", Q449="", R449=""),
        "Fill all the required columns",
        IFERROR(
            IF(OR(
                AND(R449="Marine Protected", VLOOKUP(O449, Reference!$A$2:$D$34, 4, FALSE) &lt;= P449),
                AND(R449="General Use", VLOOKUP(O449, Reference!$A$2:$D$34, 3, FALSE) &lt;= P449)
            ),
                "Exceeded",
                "OK"
            ),
            "No Regulation defined"
        )
    ),
    ""
)</f>
        <v/>
      </c>
      <c r="AB449" s="62" t="str">
        <f t="shared" si="6"/>
        <v/>
      </c>
    </row>
    <row r="450" spans="3:28" x14ac:dyDescent="0.2">
      <c r="C450" s="69"/>
      <c r="D450" s="70"/>
      <c r="S450" s="34"/>
      <c r="T450" s="60" t="str">
        <f>IF(P450&lt;&gt;"",
    IF(OR(O450="", Q450="", R450=""),
        "Fill all the required columns",
        IFERROR(
            IF(OR(
                AND(R450="Marine Protected", VLOOKUP(O450, Reference!$A$2:$D$34, 4, FALSE) &lt;= P450),
                AND(R450="General Use", VLOOKUP(O450, Reference!$A$2:$D$34, 3, FALSE) &lt;= P450)
            ),
                "Exceeded",
                "OK"
            ),
            "No Regulation defined"
        )
    ),
    ""
)</f>
        <v/>
      </c>
      <c r="AB450" s="62" t="str">
        <f t="shared" si="6"/>
        <v/>
      </c>
    </row>
    <row r="451" spans="3:28" x14ac:dyDescent="0.2">
      <c r="C451" s="69"/>
      <c r="D451" s="70"/>
      <c r="S451" s="34"/>
      <c r="T451" s="60" t="str">
        <f>IF(P451&lt;&gt;"",
    IF(OR(O451="", Q451="", R451=""),
        "Fill all the required columns",
        IFERROR(
            IF(OR(
                AND(R451="Marine Protected", VLOOKUP(O451, Reference!$A$2:$D$34, 4, FALSE) &lt;= P451),
                AND(R451="General Use", VLOOKUP(O451, Reference!$A$2:$D$34, 3, FALSE) &lt;= P451)
            ),
                "Exceeded",
                "OK"
            ),
            "No Regulation defined"
        )
    ),
    ""
)</f>
        <v/>
      </c>
      <c r="AB451" s="62" t="str">
        <f t="shared" ref="AB451:AB514" si="7">IF(COUNTA(A451, E451, F451, H451, I451, O451, P451, Q451, R451,S451) = 0, "", IF(COUNTA(A451, E451, F451, H451, I451, O451, P451, Q451, R451,S451) = 10, "OK", "Incomplete"))</f>
        <v/>
      </c>
    </row>
    <row r="452" spans="3:28" x14ac:dyDescent="0.2">
      <c r="C452" s="69"/>
      <c r="D452" s="70"/>
      <c r="S452" s="34"/>
      <c r="T452" s="60" t="str">
        <f>IF(P452&lt;&gt;"",
    IF(OR(O452="", Q452="", R452=""),
        "Fill all the required columns",
        IFERROR(
            IF(OR(
                AND(R452="Marine Protected", VLOOKUP(O452, Reference!$A$2:$D$34, 4, FALSE) &lt;= P452),
                AND(R452="General Use", VLOOKUP(O452, Reference!$A$2:$D$34, 3, FALSE) &lt;= P452)
            ),
                "Exceeded",
                "OK"
            ),
            "No Regulation defined"
        )
    ),
    ""
)</f>
        <v/>
      </c>
      <c r="AB452" s="62" t="str">
        <f t="shared" si="7"/>
        <v/>
      </c>
    </row>
    <row r="453" spans="3:28" x14ac:dyDescent="0.2">
      <c r="C453" s="69"/>
      <c r="D453" s="70"/>
      <c r="S453" s="34"/>
      <c r="T453" s="60" t="str">
        <f>IF(P453&lt;&gt;"",
    IF(OR(O453="", Q453="", R453=""),
        "Fill all the required columns",
        IFERROR(
            IF(OR(
                AND(R453="Marine Protected", VLOOKUP(O453, Reference!$A$2:$D$34, 4, FALSE) &lt;= P453),
                AND(R453="General Use", VLOOKUP(O453, Reference!$A$2:$D$34, 3, FALSE) &lt;= P453)
            ),
                "Exceeded",
                "OK"
            ),
            "No Regulation defined"
        )
    ),
    ""
)</f>
        <v/>
      </c>
      <c r="AB453" s="62" t="str">
        <f t="shared" si="7"/>
        <v/>
      </c>
    </row>
    <row r="454" spans="3:28" x14ac:dyDescent="0.2">
      <c r="C454" s="69"/>
      <c r="D454" s="70"/>
      <c r="S454" s="34"/>
      <c r="T454" s="60" t="str">
        <f>IF(P454&lt;&gt;"",
    IF(OR(O454="", Q454="", R454=""),
        "Fill all the required columns",
        IFERROR(
            IF(OR(
                AND(R454="Marine Protected", VLOOKUP(O454, Reference!$A$2:$D$34, 4, FALSE) &lt;= P454),
                AND(R454="General Use", VLOOKUP(O454, Reference!$A$2:$D$34, 3, FALSE) &lt;= P454)
            ),
                "Exceeded",
                "OK"
            ),
            "No Regulation defined"
        )
    ),
    ""
)</f>
        <v/>
      </c>
      <c r="AB454" s="62" t="str">
        <f t="shared" si="7"/>
        <v/>
      </c>
    </row>
    <row r="455" spans="3:28" x14ac:dyDescent="0.2">
      <c r="C455" s="69"/>
      <c r="D455" s="70"/>
      <c r="S455" s="34"/>
      <c r="T455" s="60" t="str">
        <f>IF(P455&lt;&gt;"",
    IF(OR(O455="", Q455="", R455=""),
        "Fill all the required columns",
        IFERROR(
            IF(OR(
                AND(R455="Marine Protected", VLOOKUP(O455, Reference!$A$2:$D$34, 4, FALSE) &lt;= P455),
                AND(R455="General Use", VLOOKUP(O455, Reference!$A$2:$D$34, 3, FALSE) &lt;= P455)
            ),
                "Exceeded",
                "OK"
            ),
            "No Regulation defined"
        )
    ),
    ""
)</f>
        <v/>
      </c>
      <c r="AB455" s="62" t="str">
        <f t="shared" si="7"/>
        <v/>
      </c>
    </row>
    <row r="456" spans="3:28" x14ac:dyDescent="0.2">
      <c r="C456" s="69"/>
      <c r="D456" s="70"/>
      <c r="S456" s="34"/>
      <c r="T456" s="60" t="str">
        <f>IF(P456&lt;&gt;"",
    IF(OR(O456="", Q456="", R456=""),
        "Fill all the required columns",
        IFERROR(
            IF(OR(
                AND(R456="Marine Protected", VLOOKUP(O456, Reference!$A$2:$D$34, 4, FALSE) &lt;= P456),
                AND(R456="General Use", VLOOKUP(O456, Reference!$A$2:$D$34, 3, FALSE) &lt;= P456)
            ),
                "Exceeded",
                "OK"
            ),
            "No Regulation defined"
        )
    ),
    ""
)</f>
        <v/>
      </c>
      <c r="AB456" s="62" t="str">
        <f t="shared" si="7"/>
        <v/>
      </c>
    </row>
    <row r="457" spans="3:28" x14ac:dyDescent="0.2">
      <c r="C457" s="69"/>
      <c r="D457" s="70"/>
      <c r="S457" s="34"/>
      <c r="T457" s="60" t="str">
        <f>IF(P457&lt;&gt;"",
    IF(OR(O457="", Q457="", R457=""),
        "Fill all the required columns",
        IFERROR(
            IF(OR(
                AND(R457="Marine Protected", VLOOKUP(O457, Reference!$A$2:$D$34, 4, FALSE) &lt;= P457),
                AND(R457="General Use", VLOOKUP(O457, Reference!$A$2:$D$34, 3, FALSE) &lt;= P457)
            ),
                "Exceeded",
                "OK"
            ),
            "No Regulation defined"
        )
    ),
    ""
)</f>
        <v/>
      </c>
      <c r="AB457" s="62" t="str">
        <f t="shared" si="7"/>
        <v/>
      </c>
    </row>
    <row r="458" spans="3:28" x14ac:dyDescent="0.2">
      <c r="C458" s="69"/>
      <c r="D458" s="70"/>
      <c r="S458" s="34"/>
      <c r="T458" s="60" t="str">
        <f>IF(P458&lt;&gt;"",
    IF(OR(O458="", Q458="", R458=""),
        "Fill all the required columns",
        IFERROR(
            IF(OR(
                AND(R458="Marine Protected", VLOOKUP(O458, Reference!$A$2:$D$34, 4, FALSE) &lt;= P458),
                AND(R458="General Use", VLOOKUP(O458, Reference!$A$2:$D$34, 3, FALSE) &lt;= P458)
            ),
                "Exceeded",
                "OK"
            ),
            "No Regulation defined"
        )
    ),
    ""
)</f>
        <v/>
      </c>
      <c r="AB458" s="62" t="str">
        <f t="shared" si="7"/>
        <v/>
      </c>
    </row>
    <row r="459" spans="3:28" x14ac:dyDescent="0.2">
      <c r="C459" s="69"/>
      <c r="D459" s="70"/>
      <c r="S459" s="34"/>
      <c r="T459" s="60" t="str">
        <f>IF(P459&lt;&gt;"",
    IF(OR(O459="", Q459="", R459=""),
        "Fill all the required columns",
        IFERROR(
            IF(OR(
                AND(R459="Marine Protected", VLOOKUP(O459, Reference!$A$2:$D$34, 4, FALSE) &lt;= P459),
                AND(R459="General Use", VLOOKUP(O459, Reference!$A$2:$D$34, 3, FALSE) &lt;= P459)
            ),
                "Exceeded",
                "OK"
            ),
            "No Regulation defined"
        )
    ),
    ""
)</f>
        <v/>
      </c>
      <c r="AB459" s="62" t="str">
        <f t="shared" si="7"/>
        <v/>
      </c>
    </row>
    <row r="460" spans="3:28" x14ac:dyDescent="0.2">
      <c r="C460" s="69"/>
      <c r="D460" s="70"/>
      <c r="S460" s="34"/>
      <c r="T460" s="60" t="str">
        <f>IF(P460&lt;&gt;"",
    IF(OR(O460="", Q460="", R460=""),
        "Fill all the required columns",
        IFERROR(
            IF(OR(
                AND(R460="Marine Protected", VLOOKUP(O460, Reference!$A$2:$D$34, 4, FALSE) &lt;= P460),
                AND(R460="General Use", VLOOKUP(O460, Reference!$A$2:$D$34, 3, FALSE) &lt;= P460)
            ),
                "Exceeded",
                "OK"
            ),
            "No Regulation defined"
        )
    ),
    ""
)</f>
        <v/>
      </c>
      <c r="AB460" s="62" t="str">
        <f t="shared" si="7"/>
        <v/>
      </c>
    </row>
    <row r="461" spans="3:28" x14ac:dyDescent="0.2">
      <c r="C461" s="69"/>
      <c r="D461" s="70"/>
      <c r="S461" s="34"/>
      <c r="T461" s="60" t="str">
        <f>IF(P461&lt;&gt;"",
    IF(OR(O461="", Q461="", R461=""),
        "Fill all the required columns",
        IFERROR(
            IF(OR(
                AND(R461="Marine Protected", VLOOKUP(O461, Reference!$A$2:$D$34, 4, FALSE) &lt;= P461),
                AND(R461="General Use", VLOOKUP(O461, Reference!$A$2:$D$34, 3, FALSE) &lt;= P461)
            ),
                "Exceeded",
                "OK"
            ),
            "No Regulation defined"
        )
    ),
    ""
)</f>
        <v/>
      </c>
      <c r="AB461" s="62" t="str">
        <f t="shared" si="7"/>
        <v/>
      </c>
    </row>
    <row r="462" spans="3:28" x14ac:dyDescent="0.2">
      <c r="C462" s="69"/>
      <c r="D462" s="70"/>
      <c r="S462" s="34"/>
      <c r="T462" s="60" t="str">
        <f>IF(P462&lt;&gt;"",
    IF(OR(O462="", Q462="", R462=""),
        "Fill all the required columns",
        IFERROR(
            IF(OR(
                AND(R462="Marine Protected", VLOOKUP(O462, Reference!$A$2:$D$34, 4, FALSE) &lt;= P462),
                AND(R462="General Use", VLOOKUP(O462, Reference!$A$2:$D$34, 3, FALSE) &lt;= P462)
            ),
                "Exceeded",
                "OK"
            ),
            "No Regulation defined"
        )
    ),
    ""
)</f>
        <v/>
      </c>
      <c r="AB462" s="62" t="str">
        <f t="shared" si="7"/>
        <v/>
      </c>
    </row>
    <row r="463" spans="3:28" x14ac:dyDescent="0.2">
      <c r="C463" s="69"/>
      <c r="D463" s="70"/>
      <c r="S463" s="34"/>
      <c r="T463" s="60" t="str">
        <f>IF(P463&lt;&gt;"",
    IF(OR(O463="", Q463="", R463=""),
        "Fill all the required columns",
        IFERROR(
            IF(OR(
                AND(R463="Marine Protected", VLOOKUP(O463, Reference!$A$2:$D$34, 4, FALSE) &lt;= P463),
                AND(R463="General Use", VLOOKUP(O463, Reference!$A$2:$D$34, 3, FALSE) &lt;= P463)
            ),
                "Exceeded",
                "OK"
            ),
            "No Regulation defined"
        )
    ),
    ""
)</f>
        <v/>
      </c>
      <c r="AB463" s="62" t="str">
        <f t="shared" si="7"/>
        <v/>
      </c>
    </row>
    <row r="464" spans="3:28" x14ac:dyDescent="0.2">
      <c r="C464" s="69"/>
      <c r="D464" s="70"/>
      <c r="S464" s="34"/>
      <c r="T464" s="60" t="str">
        <f>IF(P464&lt;&gt;"",
    IF(OR(O464="", Q464="", R464=""),
        "Fill all the required columns",
        IFERROR(
            IF(OR(
                AND(R464="Marine Protected", VLOOKUP(O464, Reference!$A$2:$D$34, 4, FALSE) &lt;= P464),
                AND(R464="General Use", VLOOKUP(O464, Reference!$A$2:$D$34, 3, FALSE) &lt;= P464)
            ),
                "Exceeded",
                "OK"
            ),
            "No Regulation defined"
        )
    ),
    ""
)</f>
        <v/>
      </c>
      <c r="AB464" s="62" t="str">
        <f t="shared" si="7"/>
        <v/>
      </c>
    </row>
    <row r="465" spans="3:28" x14ac:dyDescent="0.2">
      <c r="C465" s="69"/>
      <c r="D465" s="70"/>
      <c r="S465" s="34"/>
      <c r="T465" s="60" t="str">
        <f>IF(P465&lt;&gt;"",
    IF(OR(O465="", Q465="", R465=""),
        "Fill all the required columns",
        IFERROR(
            IF(OR(
                AND(R465="Marine Protected", VLOOKUP(O465, Reference!$A$2:$D$34, 4, FALSE) &lt;= P465),
                AND(R465="General Use", VLOOKUP(O465, Reference!$A$2:$D$34, 3, FALSE) &lt;= P465)
            ),
                "Exceeded",
                "OK"
            ),
            "No Regulation defined"
        )
    ),
    ""
)</f>
        <v/>
      </c>
      <c r="AB465" s="62" t="str">
        <f t="shared" si="7"/>
        <v/>
      </c>
    </row>
    <row r="466" spans="3:28" x14ac:dyDescent="0.2">
      <c r="C466" s="69"/>
      <c r="D466" s="70"/>
      <c r="S466" s="34"/>
      <c r="T466" s="60" t="str">
        <f>IF(P466&lt;&gt;"",
    IF(OR(O466="", Q466="", R466=""),
        "Fill all the required columns",
        IFERROR(
            IF(OR(
                AND(R466="Marine Protected", VLOOKUP(O466, Reference!$A$2:$D$34, 4, FALSE) &lt;= P466),
                AND(R466="General Use", VLOOKUP(O466, Reference!$A$2:$D$34, 3, FALSE) &lt;= P466)
            ),
                "Exceeded",
                "OK"
            ),
            "No Regulation defined"
        )
    ),
    ""
)</f>
        <v/>
      </c>
      <c r="AB466" s="62" t="str">
        <f t="shared" si="7"/>
        <v/>
      </c>
    </row>
    <row r="467" spans="3:28" x14ac:dyDescent="0.2">
      <c r="C467" s="69"/>
      <c r="D467" s="70"/>
      <c r="S467" s="34"/>
      <c r="T467" s="60" t="str">
        <f>IF(P467&lt;&gt;"",
    IF(OR(O467="", Q467="", R467=""),
        "Fill all the required columns",
        IFERROR(
            IF(OR(
                AND(R467="Marine Protected", VLOOKUP(O467, Reference!$A$2:$D$34, 4, FALSE) &lt;= P467),
                AND(R467="General Use", VLOOKUP(O467, Reference!$A$2:$D$34, 3, FALSE) &lt;= P467)
            ),
                "Exceeded",
                "OK"
            ),
            "No Regulation defined"
        )
    ),
    ""
)</f>
        <v/>
      </c>
      <c r="AB467" s="62" t="str">
        <f t="shared" si="7"/>
        <v/>
      </c>
    </row>
    <row r="468" spans="3:28" x14ac:dyDescent="0.2">
      <c r="C468" s="69"/>
      <c r="D468" s="70"/>
      <c r="S468" s="34"/>
      <c r="T468" s="60" t="str">
        <f>IF(P468&lt;&gt;"",
    IF(OR(O468="", Q468="", R468=""),
        "Fill all the required columns",
        IFERROR(
            IF(OR(
                AND(R468="Marine Protected", VLOOKUP(O468, Reference!$A$2:$D$34, 4, FALSE) &lt;= P468),
                AND(R468="General Use", VLOOKUP(O468, Reference!$A$2:$D$34, 3, FALSE) &lt;= P468)
            ),
                "Exceeded",
                "OK"
            ),
            "No Regulation defined"
        )
    ),
    ""
)</f>
        <v/>
      </c>
      <c r="AB468" s="62" t="str">
        <f t="shared" si="7"/>
        <v/>
      </c>
    </row>
    <row r="469" spans="3:28" x14ac:dyDescent="0.2">
      <c r="C469" s="69"/>
      <c r="D469" s="70"/>
      <c r="S469" s="34"/>
      <c r="T469" s="60" t="str">
        <f>IF(P469&lt;&gt;"",
    IF(OR(O469="", Q469="", R469=""),
        "Fill all the required columns",
        IFERROR(
            IF(OR(
                AND(R469="Marine Protected", VLOOKUP(O469, Reference!$A$2:$D$34, 4, FALSE) &lt;= P469),
                AND(R469="General Use", VLOOKUP(O469, Reference!$A$2:$D$34, 3, FALSE) &lt;= P469)
            ),
                "Exceeded",
                "OK"
            ),
            "No Regulation defined"
        )
    ),
    ""
)</f>
        <v/>
      </c>
      <c r="AB469" s="62" t="str">
        <f t="shared" si="7"/>
        <v/>
      </c>
    </row>
    <row r="470" spans="3:28" x14ac:dyDescent="0.2">
      <c r="C470" s="69"/>
      <c r="D470" s="70"/>
      <c r="S470" s="34"/>
      <c r="T470" s="60" t="str">
        <f>IF(P470&lt;&gt;"",
    IF(OR(O470="", Q470="", R470=""),
        "Fill all the required columns",
        IFERROR(
            IF(OR(
                AND(R470="Marine Protected", VLOOKUP(O470, Reference!$A$2:$D$34, 4, FALSE) &lt;= P470),
                AND(R470="General Use", VLOOKUP(O470, Reference!$A$2:$D$34, 3, FALSE) &lt;= P470)
            ),
                "Exceeded",
                "OK"
            ),
            "No Regulation defined"
        )
    ),
    ""
)</f>
        <v/>
      </c>
      <c r="AB470" s="62" t="str">
        <f t="shared" si="7"/>
        <v/>
      </c>
    </row>
    <row r="471" spans="3:28" x14ac:dyDescent="0.2">
      <c r="C471" s="69"/>
      <c r="D471" s="70"/>
      <c r="S471" s="34"/>
      <c r="T471" s="60" t="str">
        <f>IF(P471&lt;&gt;"",
    IF(OR(O471="", Q471="", R471=""),
        "Fill all the required columns",
        IFERROR(
            IF(OR(
                AND(R471="Marine Protected", VLOOKUP(O471, Reference!$A$2:$D$34, 4, FALSE) &lt;= P471),
                AND(R471="General Use", VLOOKUP(O471, Reference!$A$2:$D$34, 3, FALSE) &lt;= P471)
            ),
                "Exceeded",
                "OK"
            ),
            "No Regulation defined"
        )
    ),
    ""
)</f>
        <v/>
      </c>
      <c r="AB471" s="62" t="str">
        <f t="shared" si="7"/>
        <v/>
      </c>
    </row>
    <row r="472" spans="3:28" x14ac:dyDescent="0.2">
      <c r="C472" s="69"/>
      <c r="D472" s="70"/>
      <c r="S472" s="34"/>
      <c r="T472" s="60" t="str">
        <f>IF(P472&lt;&gt;"",
    IF(OR(O472="", Q472="", R472=""),
        "Fill all the required columns",
        IFERROR(
            IF(OR(
                AND(R472="Marine Protected", VLOOKUP(O472, Reference!$A$2:$D$34, 4, FALSE) &lt;= P472),
                AND(R472="General Use", VLOOKUP(O472, Reference!$A$2:$D$34, 3, FALSE) &lt;= P472)
            ),
                "Exceeded",
                "OK"
            ),
            "No Regulation defined"
        )
    ),
    ""
)</f>
        <v/>
      </c>
      <c r="AB472" s="62" t="str">
        <f t="shared" si="7"/>
        <v/>
      </c>
    </row>
    <row r="473" spans="3:28" x14ac:dyDescent="0.2">
      <c r="C473" s="69"/>
      <c r="D473" s="70"/>
      <c r="S473" s="34"/>
      <c r="T473" s="60" t="str">
        <f>IF(P473&lt;&gt;"",
    IF(OR(O473="", Q473="", R473=""),
        "Fill all the required columns",
        IFERROR(
            IF(OR(
                AND(R473="Marine Protected", VLOOKUP(O473, Reference!$A$2:$D$34, 4, FALSE) &lt;= P473),
                AND(R473="General Use", VLOOKUP(O473, Reference!$A$2:$D$34, 3, FALSE) &lt;= P473)
            ),
                "Exceeded",
                "OK"
            ),
            "No Regulation defined"
        )
    ),
    ""
)</f>
        <v/>
      </c>
      <c r="AB473" s="62" t="str">
        <f t="shared" si="7"/>
        <v/>
      </c>
    </row>
    <row r="474" spans="3:28" x14ac:dyDescent="0.2">
      <c r="C474" s="69"/>
      <c r="D474" s="70"/>
      <c r="S474" s="34"/>
      <c r="T474" s="60" t="str">
        <f>IF(P474&lt;&gt;"",
    IF(OR(O474="", Q474="", R474=""),
        "Fill all the required columns",
        IFERROR(
            IF(OR(
                AND(R474="Marine Protected", VLOOKUP(O474, Reference!$A$2:$D$34, 4, FALSE) &lt;= P474),
                AND(R474="General Use", VLOOKUP(O474, Reference!$A$2:$D$34, 3, FALSE) &lt;= P474)
            ),
                "Exceeded",
                "OK"
            ),
            "No Regulation defined"
        )
    ),
    ""
)</f>
        <v/>
      </c>
      <c r="AB474" s="62" t="str">
        <f t="shared" si="7"/>
        <v/>
      </c>
    </row>
    <row r="475" spans="3:28" x14ac:dyDescent="0.2">
      <c r="C475" s="69"/>
      <c r="D475" s="70"/>
      <c r="S475" s="34"/>
      <c r="T475" s="60" t="str">
        <f>IF(P475&lt;&gt;"",
    IF(OR(O475="", Q475="", R475=""),
        "Fill all the required columns",
        IFERROR(
            IF(OR(
                AND(R475="Marine Protected", VLOOKUP(O475, Reference!$A$2:$D$34, 4, FALSE) &lt;= P475),
                AND(R475="General Use", VLOOKUP(O475, Reference!$A$2:$D$34, 3, FALSE) &lt;= P475)
            ),
                "Exceeded",
                "OK"
            ),
            "No Regulation defined"
        )
    ),
    ""
)</f>
        <v/>
      </c>
      <c r="AB475" s="62" t="str">
        <f t="shared" si="7"/>
        <v/>
      </c>
    </row>
    <row r="476" spans="3:28" x14ac:dyDescent="0.2">
      <c r="C476" s="69"/>
      <c r="D476" s="70"/>
      <c r="S476" s="34"/>
      <c r="T476" s="60" t="str">
        <f>IF(P476&lt;&gt;"",
    IF(OR(O476="", Q476="", R476=""),
        "Fill all the required columns",
        IFERROR(
            IF(OR(
                AND(R476="Marine Protected", VLOOKUP(O476, Reference!$A$2:$D$34, 4, FALSE) &lt;= P476),
                AND(R476="General Use", VLOOKUP(O476, Reference!$A$2:$D$34, 3, FALSE) &lt;= P476)
            ),
                "Exceeded",
                "OK"
            ),
            "No Regulation defined"
        )
    ),
    ""
)</f>
        <v/>
      </c>
      <c r="AB476" s="62" t="str">
        <f t="shared" si="7"/>
        <v/>
      </c>
    </row>
    <row r="477" spans="3:28" x14ac:dyDescent="0.2">
      <c r="C477" s="69"/>
      <c r="D477" s="70"/>
      <c r="S477" s="34"/>
      <c r="T477" s="60" t="str">
        <f>IF(P477&lt;&gt;"",
    IF(OR(O477="", Q477="", R477=""),
        "Fill all the required columns",
        IFERROR(
            IF(OR(
                AND(R477="Marine Protected", VLOOKUP(O477, Reference!$A$2:$D$34, 4, FALSE) &lt;= P477),
                AND(R477="General Use", VLOOKUP(O477, Reference!$A$2:$D$34, 3, FALSE) &lt;= P477)
            ),
                "Exceeded",
                "OK"
            ),
            "No Regulation defined"
        )
    ),
    ""
)</f>
        <v/>
      </c>
      <c r="AB477" s="62" t="str">
        <f t="shared" si="7"/>
        <v/>
      </c>
    </row>
    <row r="478" spans="3:28" x14ac:dyDescent="0.2">
      <c r="C478" s="69"/>
      <c r="D478" s="70"/>
      <c r="S478" s="34"/>
      <c r="T478" s="60" t="str">
        <f>IF(P478&lt;&gt;"",
    IF(OR(O478="", Q478="", R478=""),
        "Fill all the required columns",
        IFERROR(
            IF(OR(
                AND(R478="Marine Protected", VLOOKUP(O478, Reference!$A$2:$D$34, 4, FALSE) &lt;= P478),
                AND(R478="General Use", VLOOKUP(O478, Reference!$A$2:$D$34, 3, FALSE) &lt;= P478)
            ),
                "Exceeded",
                "OK"
            ),
            "No Regulation defined"
        )
    ),
    ""
)</f>
        <v/>
      </c>
      <c r="AB478" s="62" t="str">
        <f t="shared" si="7"/>
        <v/>
      </c>
    </row>
    <row r="479" spans="3:28" x14ac:dyDescent="0.2">
      <c r="C479" s="69"/>
      <c r="D479" s="70"/>
      <c r="S479" s="34"/>
      <c r="T479" s="60" t="str">
        <f>IF(P479&lt;&gt;"",
    IF(OR(O479="", Q479="", R479=""),
        "Fill all the required columns",
        IFERROR(
            IF(OR(
                AND(R479="Marine Protected", VLOOKUP(O479, Reference!$A$2:$D$34, 4, FALSE) &lt;= P479),
                AND(R479="General Use", VLOOKUP(O479, Reference!$A$2:$D$34, 3, FALSE) &lt;= P479)
            ),
                "Exceeded",
                "OK"
            ),
            "No Regulation defined"
        )
    ),
    ""
)</f>
        <v/>
      </c>
      <c r="AB479" s="62" t="str">
        <f t="shared" si="7"/>
        <v/>
      </c>
    </row>
    <row r="480" spans="3:28" x14ac:dyDescent="0.2">
      <c r="C480" s="69"/>
      <c r="D480" s="70"/>
      <c r="S480" s="34"/>
      <c r="T480" s="60" t="str">
        <f>IF(P480&lt;&gt;"",
    IF(OR(O480="", Q480="", R480=""),
        "Fill all the required columns",
        IFERROR(
            IF(OR(
                AND(R480="Marine Protected", VLOOKUP(O480, Reference!$A$2:$D$34, 4, FALSE) &lt;= P480),
                AND(R480="General Use", VLOOKUP(O480, Reference!$A$2:$D$34, 3, FALSE) &lt;= P480)
            ),
                "Exceeded",
                "OK"
            ),
            "No Regulation defined"
        )
    ),
    ""
)</f>
        <v/>
      </c>
      <c r="AB480" s="62" t="str">
        <f t="shared" si="7"/>
        <v/>
      </c>
    </row>
    <row r="481" spans="3:28" x14ac:dyDescent="0.2">
      <c r="C481" s="69"/>
      <c r="D481" s="70"/>
      <c r="S481" s="34"/>
      <c r="T481" s="60" t="str">
        <f>IF(P481&lt;&gt;"",
    IF(OR(O481="", Q481="", R481=""),
        "Fill all the required columns",
        IFERROR(
            IF(OR(
                AND(R481="Marine Protected", VLOOKUP(O481, Reference!$A$2:$D$34, 4, FALSE) &lt;= P481),
                AND(R481="General Use", VLOOKUP(O481, Reference!$A$2:$D$34, 3, FALSE) &lt;= P481)
            ),
                "Exceeded",
                "OK"
            ),
            "No Regulation defined"
        )
    ),
    ""
)</f>
        <v/>
      </c>
      <c r="AB481" s="62" t="str">
        <f t="shared" si="7"/>
        <v/>
      </c>
    </row>
    <row r="482" spans="3:28" x14ac:dyDescent="0.2">
      <c r="C482" s="69"/>
      <c r="D482" s="70"/>
      <c r="S482" s="34"/>
      <c r="T482" s="60" t="str">
        <f>IF(P482&lt;&gt;"",
    IF(OR(O482="", Q482="", R482=""),
        "Fill all the required columns",
        IFERROR(
            IF(OR(
                AND(R482="Marine Protected", VLOOKUP(O482, Reference!$A$2:$D$34, 4, FALSE) &lt;= P482),
                AND(R482="General Use", VLOOKUP(O482, Reference!$A$2:$D$34, 3, FALSE) &lt;= P482)
            ),
                "Exceeded",
                "OK"
            ),
            "No Regulation defined"
        )
    ),
    ""
)</f>
        <v/>
      </c>
      <c r="AB482" s="62" t="str">
        <f t="shared" si="7"/>
        <v/>
      </c>
    </row>
    <row r="483" spans="3:28" x14ac:dyDescent="0.2">
      <c r="C483" s="69"/>
      <c r="D483" s="70"/>
      <c r="S483" s="34"/>
      <c r="T483" s="60" t="str">
        <f>IF(P483&lt;&gt;"",
    IF(OR(O483="", Q483="", R483=""),
        "Fill all the required columns",
        IFERROR(
            IF(OR(
                AND(R483="Marine Protected", VLOOKUP(O483, Reference!$A$2:$D$34, 4, FALSE) &lt;= P483),
                AND(R483="General Use", VLOOKUP(O483, Reference!$A$2:$D$34, 3, FALSE) &lt;= P483)
            ),
                "Exceeded",
                "OK"
            ),
            "No Regulation defined"
        )
    ),
    ""
)</f>
        <v/>
      </c>
      <c r="AB483" s="62" t="str">
        <f t="shared" si="7"/>
        <v/>
      </c>
    </row>
    <row r="484" spans="3:28" x14ac:dyDescent="0.2">
      <c r="C484" s="69"/>
      <c r="D484" s="70"/>
      <c r="S484" s="34"/>
      <c r="T484" s="60" t="str">
        <f>IF(P484&lt;&gt;"",
    IF(OR(O484="", Q484="", R484=""),
        "Fill all the required columns",
        IFERROR(
            IF(OR(
                AND(R484="Marine Protected", VLOOKUP(O484, Reference!$A$2:$D$34, 4, FALSE) &lt;= P484),
                AND(R484="General Use", VLOOKUP(O484, Reference!$A$2:$D$34, 3, FALSE) &lt;= P484)
            ),
                "Exceeded",
                "OK"
            ),
            "No Regulation defined"
        )
    ),
    ""
)</f>
        <v/>
      </c>
      <c r="AB484" s="62" t="str">
        <f t="shared" si="7"/>
        <v/>
      </c>
    </row>
    <row r="485" spans="3:28" x14ac:dyDescent="0.2">
      <c r="C485" s="69"/>
      <c r="D485" s="70"/>
      <c r="S485" s="34"/>
      <c r="T485" s="60" t="str">
        <f>IF(P485&lt;&gt;"",
    IF(OR(O485="", Q485="", R485=""),
        "Fill all the required columns",
        IFERROR(
            IF(OR(
                AND(R485="Marine Protected", VLOOKUP(O485, Reference!$A$2:$D$34, 4, FALSE) &lt;= P485),
                AND(R485="General Use", VLOOKUP(O485, Reference!$A$2:$D$34, 3, FALSE) &lt;= P485)
            ),
                "Exceeded",
                "OK"
            ),
            "No Regulation defined"
        )
    ),
    ""
)</f>
        <v/>
      </c>
      <c r="AB485" s="62" t="str">
        <f t="shared" si="7"/>
        <v/>
      </c>
    </row>
    <row r="486" spans="3:28" x14ac:dyDescent="0.2">
      <c r="C486" s="69"/>
      <c r="D486" s="70"/>
      <c r="S486" s="34"/>
      <c r="T486" s="60" t="str">
        <f>IF(P486&lt;&gt;"",
    IF(OR(O486="", Q486="", R486=""),
        "Fill all the required columns",
        IFERROR(
            IF(OR(
                AND(R486="Marine Protected", VLOOKUP(O486, Reference!$A$2:$D$34, 4, FALSE) &lt;= P486),
                AND(R486="General Use", VLOOKUP(O486, Reference!$A$2:$D$34, 3, FALSE) &lt;= P486)
            ),
                "Exceeded",
                "OK"
            ),
            "No Regulation defined"
        )
    ),
    ""
)</f>
        <v/>
      </c>
      <c r="AB486" s="62" t="str">
        <f t="shared" si="7"/>
        <v/>
      </c>
    </row>
    <row r="487" spans="3:28" x14ac:dyDescent="0.2">
      <c r="C487" s="69"/>
      <c r="D487" s="70"/>
      <c r="S487" s="34"/>
      <c r="T487" s="60" t="str">
        <f>IF(P487&lt;&gt;"",
    IF(OR(O487="", Q487="", R487=""),
        "Fill all the required columns",
        IFERROR(
            IF(OR(
                AND(R487="Marine Protected", VLOOKUP(O487, Reference!$A$2:$D$34, 4, FALSE) &lt;= P487),
                AND(R487="General Use", VLOOKUP(O487, Reference!$A$2:$D$34, 3, FALSE) &lt;= P487)
            ),
                "Exceeded",
                "OK"
            ),
            "No Regulation defined"
        )
    ),
    ""
)</f>
        <v/>
      </c>
      <c r="AB487" s="62" t="str">
        <f t="shared" si="7"/>
        <v/>
      </c>
    </row>
    <row r="488" spans="3:28" x14ac:dyDescent="0.2">
      <c r="C488" s="69"/>
      <c r="D488" s="70"/>
      <c r="S488" s="34"/>
      <c r="T488" s="60" t="str">
        <f>IF(P488&lt;&gt;"",
    IF(OR(O488="", Q488="", R488=""),
        "Fill all the required columns",
        IFERROR(
            IF(OR(
                AND(R488="Marine Protected", VLOOKUP(O488, Reference!$A$2:$D$34, 4, FALSE) &lt;= P488),
                AND(R488="General Use", VLOOKUP(O488, Reference!$A$2:$D$34, 3, FALSE) &lt;= P488)
            ),
                "Exceeded",
                "OK"
            ),
            "No Regulation defined"
        )
    ),
    ""
)</f>
        <v/>
      </c>
      <c r="AB488" s="62" t="str">
        <f t="shared" si="7"/>
        <v/>
      </c>
    </row>
    <row r="489" spans="3:28" x14ac:dyDescent="0.2">
      <c r="C489" s="69"/>
      <c r="D489" s="70"/>
      <c r="S489" s="34"/>
      <c r="T489" s="60" t="str">
        <f>IF(P489&lt;&gt;"",
    IF(OR(O489="", Q489="", R489=""),
        "Fill all the required columns",
        IFERROR(
            IF(OR(
                AND(R489="Marine Protected", VLOOKUP(O489, Reference!$A$2:$D$34, 4, FALSE) &lt;= P489),
                AND(R489="General Use", VLOOKUP(O489, Reference!$A$2:$D$34, 3, FALSE) &lt;= P489)
            ),
                "Exceeded",
                "OK"
            ),
            "No Regulation defined"
        )
    ),
    ""
)</f>
        <v/>
      </c>
      <c r="AB489" s="62" t="str">
        <f t="shared" si="7"/>
        <v/>
      </c>
    </row>
    <row r="490" spans="3:28" x14ac:dyDescent="0.2">
      <c r="C490" s="69"/>
      <c r="D490" s="70"/>
      <c r="S490" s="34"/>
      <c r="T490" s="60" t="str">
        <f>IF(P490&lt;&gt;"",
    IF(OR(O490="", Q490="", R490=""),
        "Fill all the required columns",
        IFERROR(
            IF(OR(
                AND(R490="Marine Protected", VLOOKUP(O490, Reference!$A$2:$D$34, 4, FALSE) &lt;= P490),
                AND(R490="General Use", VLOOKUP(O490, Reference!$A$2:$D$34, 3, FALSE) &lt;= P490)
            ),
                "Exceeded",
                "OK"
            ),
            "No Regulation defined"
        )
    ),
    ""
)</f>
        <v/>
      </c>
      <c r="AB490" s="62" t="str">
        <f t="shared" si="7"/>
        <v/>
      </c>
    </row>
    <row r="491" spans="3:28" x14ac:dyDescent="0.2">
      <c r="C491" s="69"/>
      <c r="D491" s="70"/>
      <c r="S491" s="34"/>
      <c r="T491" s="60" t="str">
        <f>IF(P491&lt;&gt;"",
    IF(OR(O491="", Q491="", R491=""),
        "Fill all the required columns",
        IFERROR(
            IF(OR(
                AND(R491="Marine Protected", VLOOKUP(O491, Reference!$A$2:$D$34, 4, FALSE) &lt;= P491),
                AND(R491="General Use", VLOOKUP(O491, Reference!$A$2:$D$34, 3, FALSE) &lt;= P491)
            ),
                "Exceeded",
                "OK"
            ),
            "No Regulation defined"
        )
    ),
    ""
)</f>
        <v/>
      </c>
      <c r="AB491" s="62" t="str">
        <f t="shared" si="7"/>
        <v/>
      </c>
    </row>
    <row r="492" spans="3:28" x14ac:dyDescent="0.2">
      <c r="C492" s="69"/>
      <c r="D492" s="70"/>
      <c r="S492" s="34"/>
      <c r="T492" s="60" t="str">
        <f>IF(P492&lt;&gt;"",
    IF(OR(O492="", Q492="", R492=""),
        "Fill all the required columns",
        IFERROR(
            IF(OR(
                AND(R492="Marine Protected", VLOOKUP(O492, Reference!$A$2:$D$34, 4, FALSE) &lt;= P492),
                AND(R492="General Use", VLOOKUP(O492, Reference!$A$2:$D$34, 3, FALSE) &lt;= P492)
            ),
                "Exceeded",
                "OK"
            ),
            "No Regulation defined"
        )
    ),
    ""
)</f>
        <v/>
      </c>
      <c r="AB492" s="62" t="str">
        <f t="shared" si="7"/>
        <v/>
      </c>
    </row>
    <row r="493" spans="3:28" x14ac:dyDescent="0.2">
      <c r="C493" s="69"/>
      <c r="D493" s="70"/>
      <c r="S493" s="34"/>
      <c r="T493" s="60" t="str">
        <f>IF(P493&lt;&gt;"",
    IF(OR(O493="", Q493="", R493=""),
        "Fill all the required columns",
        IFERROR(
            IF(OR(
                AND(R493="Marine Protected", VLOOKUP(O493, Reference!$A$2:$D$34, 4, FALSE) &lt;= P493),
                AND(R493="General Use", VLOOKUP(O493, Reference!$A$2:$D$34, 3, FALSE) &lt;= P493)
            ),
                "Exceeded",
                "OK"
            ),
            "No Regulation defined"
        )
    ),
    ""
)</f>
        <v/>
      </c>
      <c r="AB493" s="62" t="str">
        <f t="shared" si="7"/>
        <v/>
      </c>
    </row>
    <row r="494" spans="3:28" x14ac:dyDescent="0.2">
      <c r="C494" s="69"/>
      <c r="D494" s="70"/>
      <c r="S494" s="34"/>
      <c r="T494" s="60" t="str">
        <f>IF(P494&lt;&gt;"",
    IF(OR(O494="", Q494="", R494=""),
        "Fill all the required columns",
        IFERROR(
            IF(OR(
                AND(R494="Marine Protected", VLOOKUP(O494, Reference!$A$2:$D$34, 4, FALSE) &lt;= P494),
                AND(R494="General Use", VLOOKUP(O494, Reference!$A$2:$D$34, 3, FALSE) &lt;= P494)
            ),
                "Exceeded",
                "OK"
            ),
            "No Regulation defined"
        )
    ),
    ""
)</f>
        <v/>
      </c>
      <c r="AB494" s="62" t="str">
        <f t="shared" si="7"/>
        <v/>
      </c>
    </row>
    <row r="495" spans="3:28" x14ac:dyDescent="0.2">
      <c r="C495" s="69"/>
      <c r="D495" s="70"/>
      <c r="S495" s="34"/>
      <c r="T495" s="60" t="str">
        <f>IF(P495&lt;&gt;"",
    IF(OR(O495="", Q495="", R495=""),
        "Fill all the required columns",
        IFERROR(
            IF(OR(
                AND(R495="Marine Protected", VLOOKUP(O495, Reference!$A$2:$D$34, 4, FALSE) &lt;= P495),
                AND(R495="General Use", VLOOKUP(O495, Reference!$A$2:$D$34, 3, FALSE) &lt;= P495)
            ),
                "Exceeded",
                "OK"
            ),
            "No Regulation defined"
        )
    ),
    ""
)</f>
        <v/>
      </c>
      <c r="AB495" s="62" t="str">
        <f t="shared" si="7"/>
        <v/>
      </c>
    </row>
    <row r="496" spans="3:28" x14ac:dyDescent="0.2">
      <c r="C496" s="69"/>
      <c r="D496" s="70"/>
      <c r="S496" s="34"/>
      <c r="T496" s="60" t="str">
        <f>IF(P496&lt;&gt;"",
    IF(OR(O496="", Q496="", R496=""),
        "Fill all the required columns",
        IFERROR(
            IF(OR(
                AND(R496="Marine Protected", VLOOKUP(O496, Reference!$A$2:$D$34, 4, FALSE) &lt;= P496),
                AND(R496="General Use", VLOOKUP(O496, Reference!$A$2:$D$34, 3, FALSE) &lt;= P496)
            ),
                "Exceeded",
                "OK"
            ),
            "No Regulation defined"
        )
    ),
    ""
)</f>
        <v/>
      </c>
      <c r="AB496" s="62" t="str">
        <f t="shared" si="7"/>
        <v/>
      </c>
    </row>
    <row r="497" spans="3:28" x14ac:dyDescent="0.2">
      <c r="C497" s="69"/>
      <c r="D497" s="70"/>
      <c r="S497" s="34"/>
      <c r="T497" s="60" t="str">
        <f>IF(P497&lt;&gt;"",
    IF(OR(O497="", Q497="", R497=""),
        "Fill all the required columns",
        IFERROR(
            IF(OR(
                AND(R497="Marine Protected", VLOOKUP(O497, Reference!$A$2:$D$34, 4, FALSE) &lt;= P497),
                AND(R497="General Use", VLOOKUP(O497, Reference!$A$2:$D$34, 3, FALSE) &lt;= P497)
            ),
                "Exceeded",
                "OK"
            ),
            "No Regulation defined"
        )
    ),
    ""
)</f>
        <v/>
      </c>
      <c r="AB497" s="62" t="str">
        <f t="shared" si="7"/>
        <v/>
      </c>
    </row>
    <row r="498" spans="3:28" x14ac:dyDescent="0.2">
      <c r="C498" s="69"/>
      <c r="D498" s="70"/>
      <c r="S498" s="34"/>
      <c r="T498" s="60" t="str">
        <f>IF(P498&lt;&gt;"",
    IF(OR(O498="", Q498="", R498=""),
        "Fill all the required columns",
        IFERROR(
            IF(OR(
                AND(R498="Marine Protected", VLOOKUP(O498, Reference!$A$2:$D$34, 4, FALSE) &lt;= P498),
                AND(R498="General Use", VLOOKUP(O498, Reference!$A$2:$D$34, 3, FALSE) &lt;= P498)
            ),
                "Exceeded",
                "OK"
            ),
            "No Regulation defined"
        )
    ),
    ""
)</f>
        <v/>
      </c>
      <c r="AB498" s="62" t="str">
        <f t="shared" si="7"/>
        <v/>
      </c>
    </row>
    <row r="499" spans="3:28" x14ac:dyDescent="0.2">
      <c r="C499" s="69"/>
      <c r="D499" s="70"/>
      <c r="S499" s="34"/>
      <c r="T499" s="60" t="str">
        <f>IF(P499&lt;&gt;"",
    IF(OR(O499="", Q499="", R499=""),
        "Fill all the required columns",
        IFERROR(
            IF(OR(
                AND(R499="Marine Protected", VLOOKUP(O499, Reference!$A$2:$D$34, 4, FALSE) &lt;= P499),
                AND(R499="General Use", VLOOKUP(O499, Reference!$A$2:$D$34, 3, FALSE) &lt;= P499)
            ),
                "Exceeded",
                "OK"
            ),
            "No Regulation defined"
        )
    ),
    ""
)</f>
        <v/>
      </c>
      <c r="AB499" s="62" t="str">
        <f t="shared" si="7"/>
        <v/>
      </c>
    </row>
    <row r="500" spans="3:28" x14ac:dyDescent="0.2">
      <c r="C500" s="69"/>
      <c r="D500" s="70"/>
      <c r="S500" s="34"/>
      <c r="T500" s="60" t="str">
        <f>IF(P500&lt;&gt;"",
    IF(OR(O500="", Q500="", R500=""),
        "Fill all the required columns",
        IFERROR(
            IF(OR(
                AND(R500="Marine Protected", VLOOKUP(O500, Reference!$A$2:$D$34, 4, FALSE) &lt;= P500),
                AND(R500="General Use", VLOOKUP(O500, Reference!$A$2:$D$34, 3, FALSE) &lt;= P500)
            ),
                "Exceeded",
                "OK"
            ),
            "No Regulation defined"
        )
    ),
    ""
)</f>
        <v/>
      </c>
      <c r="AB500" s="62" t="str">
        <f t="shared" si="7"/>
        <v/>
      </c>
    </row>
    <row r="501" spans="3:28" x14ac:dyDescent="0.2">
      <c r="C501" s="69"/>
      <c r="D501" s="70"/>
      <c r="S501" s="34"/>
      <c r="T501" s="60" t="str">
        <f>IF(P501&lt;&gt;"",
    IF(OR(O501="", Q501="", R501=""),
        "Fill all the required columns",
        IFERROR(
            IF(OR(
                AND(R501="Marine Protected", VLOOKUP(O501, Reference!$A$2:$D$34, 4, FALSE) &lt;= P501),
                AND(R501="General Use", VLOOKUP(O501, Reference!$A$2:$D$34, 3, FALSE) &lt;= P501)
            ),
                "Exceeded",
                "OK"
            ),
            "No Regulation defined"
        )
    ),
    ""
)</f>
        <v/>
      </c>
      <c r="AB501" s="62" t="str">
        <f t="shared" si="7"/>
        <v/>
      </c>
    </row>
    <row r="502" spans="3:28" x14ac:dyDescent="0.2">
      <c r="C502" s="69"/>
      <c r="D502" s="70"/>
      <c r="S502" s="34"/>
      <c r="T502" s="60" t="str">
        <f>IF(P502&lt;&gt;"",
    IF(OR(O502="", Q502="", R502=""),
        "Fill all the required columns",
        IFERROR(
            IF(OR(
                AND(R502="Marine Protected", VLOOKUP(O502, Reference!$A$2:$D$34, 4, FALSE) &lt;= P502),
                AND(R502="General Use", VLOOKUP(O502, Reference!$A$2:$D$34, 3, FALSE) &lt;= P502)
            ),
                "Exceeded",
                "OK"
            ),
            "No Regulation defined"
        )
    ),
    ""
)</f>
        <v/>
      </c>
      <c r="AB502" s="62" t="str">
        <f t="shared" si="7"/>
        <v/>
      </c>
    </row>
    <row r="503" spans="3:28" x14ac:dyDescent="0.2">
      <c r="C503" s="69"/>
      <c r="D503" s="70"/>
      <c r="S503" s="34"/>
      <c r="T503" s="60" t="str">
        <f>IF(P503&lt;&gt;"",
    IF(OR(O503="", Q503="", R503=""),
        "Fill all the required columns",
        IFERROR(
            IF(OR(
                AND(R503="Marine Protected", VLOOKUP(O503, Reference!$A$2:$D$34, 4, FALSE) &lt;= P503),
                AND(R503="General Use", VLOOKUP(O503, Reference!$A$2:$D$34, 3, FALSE) &lt;= P503)
            ),
                "Exceeded",
                "OK"
            ),
            "No Regulation defined"
        )
    ),
    ""
)</f>
        <v/>
      </c>
      <c r="AB503" s="62" t="str">
        <f t="shared" si="7"/>
        <v/>
      </c>
    </row>
    <row r="504" spans="3:28" x14ac:dyDescent="0.2">
      <c r="C504" s="69"/>
      <c r="D504" s="70"/>
      <c r="S504" s="34"/>
      <c r="T504" s="60" t="str">
        <f>IF(P504&lt;&gt;"",
    IF(OR(O504="", Q504="", R504=""),
        "Fill all the required columns",
        IFERROR(
            IF(OR(
                AND(R504="Marine Protected", VLOOKUP(O504, Reference!$A$2:$D$34, 4, FALSE) &lt;= P504),
                AND(R504="General Use", VLOOKUP(O504, Reference!$A$2:$D$34, 3, FALSE) &lt;= P504)
            ),
                "Exceeded",
                "OK"
            ),
            "No Regulation defined"
        )
    ),
    ""
)</f>
        <v/>
      </c>
      <c r="AB504" s="62" t="str">
        <f t="shared" si="7"/>
        <v/>
      </c>
    </row>
    <row r="505" spans="3:28" x14ac:dyDescent="0.2">
      <c r="C505" s="69"/>
      <c r="D505" s="70"/>
      <c r="S505" s="34"/>
      <c r="T505" s="60" t="str">
        <f>IF(P505&lt;&gt;"",
    IF(OR(O505="", Q505="", R505=""),
        "Fill all the required columns",
        IFERROR(
            IF(OR(
                AND(R505="Marine Protected", VLOOKUP(O505, Reference!$A$2:$D$34, 4, FALSE) &lt;= P505),
                AND(R505="General Use", VLOOKUP(O505, Reference!$A$2:$D$34, 3, FALSE) &lt;= P505)
            ),
                "Exceeded",
                "OK"
            ),
            "No Regulation defined"
        )
    ),
    ""
)</f>
        <v/>
      </c>
      <c r="AB505" s="62" t="str">
        <f t="shared" si="7"/>
        <v/>
      </c>
    </row>
    <row r="506" spans="3:28" x14ac:dyDescent="0.2">
      <c r="C506" s="69"/>
      <c r="D506" s="70"/>
      <c r="S506" s="34"/>
      <c r="T506" s="60" t="str">
        <f>IF(P506&lt;&gt;"",
    IF(OR(O506="", Q506="", R506=""),
        "Fill all the required columns",
        IFERROR(
            IF(OR(
                AND(R506="Marine Protected", VLOOKUP(O506, Reference!$A$2:$D$34, 4, FALSE) &lt;= P506),
                AND(R506="General Use", VLOOKUP(O506, Reference!$A$2:$D$34, 3, FALSE) &lt;= P506)
            ),
                "Exceeded",
                "OK"
            ),
            "No Regulation defined"
        )
    ),
    ""
)</f>
        <v/>
      </c>
      <c r="AB506" s="62" t="str">
        <f t="shared" si="7"/>
        <v/>
      </c>
    </row>
    <row r="507" spans="3:28" x14ac:dyDescent="0.2">
      <c r="C507" s="69"/>
      <c r="D507" s="70"/>
      <c r="S507" s="34"/>
      <c r="T507" s="60" t="str">
        <f>IF(P507&lt;&gt;"",
    IF(OR(O507="", Q507="", R507=""),
        "Fill all the required columns",
        IFERROR(
            IF(OR(
                AND(R507="Marine Protected", VLOOKUP(O507, Reference!$A$2:$D$34, 4, FALSE) &lt;= P507),
                AND(R507="General Use", VLOOKUP(O507, Reference!$A$2:$D$34, 3, FALSE) &lt;= P507)
            ),
                "Exceeded",
                "OK"
            ),
            "No Regulation defined"
        )
    ),
    ""
)</f>
        <v/>
      </c>
      <c r="AB507" s="62" t="str">
        <f t="shared" si="7"/>
        <v/>
      </c>
    </row>
    <row r="508" spans="3:28" x14ac:dyDescent="0.2">
      <c r="C508" s="69"/>
      <c r="D508" s="70"/>
      <c r="S508" s="34"/>
      <c r="T508" s="60" t="str">
        <f>IF(P508&lt;&gt;"",
    IF(OR(O508="", Q508="", R508=""),
        "Fill all the required columns",
        IFERROR(
            IF(OR(
                AND(R508="Marine Protected", VLOOKUP(O508, Reference!$A$2:$D$34, 4, FALSE) &lt;= P508),
                AND(R508="General Use", VLOOKUP(O508, Reference!$A$2:$D$34, 3, FALSE) &lt;= P508)
            ),
                "Exceeded",
                "OK"
            ),
            "No Regulation defined"
        )
    ),
    ""
)</f>
        <v/>
      </c>
      <c r="AB508" s="62" t="str">
        <f t="shared" si="7"/>
        <v/>
      </c>
    </row>
    <row r="509" spans="3:28" x14ac:dyDescent="0.2">
      <c r="C509" s="69"/>
      <c r="D509" s="70"/>
      <c r="S509" s="34"/>
      <c r="T509" s="60" t="str">
        <f>IF(P509&lt;&gt;"",
    IF(OR(O509="", Q509="", R509=""),
        "Fill all the required columns",
        IFERROR(
            IF(OR(
                AND(R509="Marine Protected", VLOOKUP(O509, Reference!$A$2:$D$34, 4, FALSE) &lt;= P509),
                AND(R509="General Use", VLOOKUP(O509, Reference!$A$2:$D$34, 3, FALSE) &lt;= P509)
            ),
                "Exceeded",
                "OK"
            ),
            "No Regulation defined"
        )
    ),
    ""
)</f>
        <v/>
      </c>
      <c r="AB509" s="62" t="str">
        <f t="shared" si="7"/>
        <v/>
      </c>
    </row>
    <row r="510" spans="3:28" x14ac:dyDescent="0.2">
      <c r="C510" s="69"/>
      <c r="D510" s="70"/>
      <c r="S510" s="34"/>
      <c r="T510" s="60" t="str">
        <f>IF(P510&lt;&gt;"",
    IF(OR(O510="", Q510="", R510=""),
        "Fill all the required columns",
        IFERROR(
            IF(OR(
                AND(R510="Marine Protected", VLOOKUP(O510, Reference!$A$2:$D$34, 4, FALSE) &lt;= P510),
                AND(R510="General Use", VLOOKUP(O510, Reference!$A$2:$D$34, 3, FALSE) &lt;= P510)
            ),
                "Exceeded",
                "OK"
            ),
            "No Regulation defined"
        )
    ),
    ""
)</f>
        <v/>
      </c>
      <c r="AB510" s="62" t="str">
        <f t="shared" si="7"/>
        <v/>
      </c>
    </row>
    <row r="511" spans="3:28" x14ac:dyDescent="0.2">
      <c r="C511" s="69"/>
      <c r="D511" s="70"/>
      <c r="S511" s="34"/>
      <c r="T511" s="60" t="str">
        <f>IF(P511&lt;&gt;"",
    IF(OR(O511="", Q511="", R511=""),
        "Fill all the required columns",
        IFERROR(
            IF(OR(
                AND(R511="Marine Protected", VLOOKUP(O511, Reference!$A$2:$D$34, 4, FALSE) &lt;= P511),
                AND(R511="General Use", VLOOKUP(O511, Reference!$A$2:$D$34, 3, FALSE) &lt;= P511)
            ),
                "Exceeded",
                "OK"
            ),
            "No Regulation defined"
        )
    ),
    ""
)</f>
        <v/>
      </c>
      <c r="AB511" s="62" t="str">
        <f t="shared" si="7"/>
        <v/>
      </c>
    </row>
    <row r="512" spans="3:28" x14ac:dyDescent="0.2">
      <c r="C512" s="69"/>
      <c r="D512" s="70"/>
      <c r="S512" s="34"/>
      <c r="T512" s="60" t="str">
        <f>IF(P512&lt;&gt;"",
    IF(OR(O512="", Q512="", R512=""),
        "Fill all the required columns",
        IFERROR(
            IF(OR(
                AND(R512="Marine Protected", VLOOKUP(O512, Reference!$A$2:$D$34, 4, FALSE) &lt;= P512),
                AND(R512="General Use", VLOOKUP(O512, Reference!$A$2:$D$34, 3, FALSE) &lt;= P512)
            ),
                "Exceeded",
                "OK"
            ),
            "No Regulation defined"
        )
    ),
    ""
)</f>
        <v/>
      </c>
      <c r="AB512" s="62" t="str">
        <f t="shared" si="7"/>
        <v/>
      </c>
    </row>
    <row r="513" spans="3:28" x14ac:dyDescent="0.2">
      <c r="C513" s="69"/>
      <c r="D513" s="70"/>
      <c r="S513" s="34"/>
      <c r="T513" s="60" t="str">
        <f>IF(P513&lt;&gt;"",
    IF(OR(O513="", Q513="", R513=""),
        "Fill all the required columns",
        IFERROR(
            IF(OR(
                AND(R513="Marine Protected", VLOOKUP(O513, Reference!$A$2:$D$34, 4, FALSE) &lt;= P513),
                AND(R513="General Use", VLOOKUP(O513, Reference!$A$2:$D$34, 3, FALSE) &lt;= P513)
            ),
                "Exceeded",
                "OK"
            ),
            "No Regulation defined"
        )
    ),
    ""
)</f>
        <v/>
      </c>
      <c r="AB513" s="62" t="str">
        <f t="shared" si="7"/>
        <v/>
      </c>
    </row>
    <row r="514" spans="3:28" x14ac:dyDescent="0.2">
      <c r="C514" s="69"/>
      <c r="D514" s="70"/>
      <c r="S514" s="34"/>
      <c r="T514" s="60" t="str">
        <f>IF(P514&lt;&gt;"",
    IF(OR(O514="", Q514="", R514=""),
        "Fill all the required columns",
        IFERROR(
            IF(OR(
                AND(R514="Marine Protected", VLOOKUP(O514, Reference!$A$2:$D$34, 4, FALSE) &lt;= P514),
                AND(R514="General Use", VLOOKUP(O514, Reference!$A$2:$D$34, 3, FALSE) &lt;= P514)
            ),
                "Exceeded",
                "OK"
            ),
            "No Regulation defined"
        )
    ),
    ""
)</f>
        <v/>
      </c>
      <c r="AB514" s="62" t="str">
        <f t="shared" si="7"/>
        <v/>
      </c>
    </row>
    <row r="515" spans="3:28" x14ac:dyDescent="0.2">
      <c r="C515" s="69"/>
      <c r="D515" s="70"/>
      <c r="S515" s="34"/>
      <c r="T515" s="60" t="str">
        <f>IF(P515&lt;&gt;"",
    IF(OR(O515="", Q515="", R515=""),
        "Fill all the required columns",
        IFERROR(
            IF(OR(
                AND(R515="Marine Protected", VLOOKUP(O515, Reference!$A$2:$D$34, 4, FALSE) &lt;= P515),
                AND(R515="General Use", VLOOKUP(O515, Reference!$A$2:$D$34, 3, FALSE) &lt;= P515)
            ),
                "Exceeded",
                "OK"
            ),
            "No Regulation defined"
        )
    ),
    ""
)</f>
        <v/>
      </c>
      <c r="AB515" s="62" t="str">
        <f t="shared" ref="AB515:AB578" si="8">IF(COUNTA(A515, E515, F515, H515, I515, O515, P515, Q515, R515,S515) = 0, "", IF(COUNTA(A515, E515, F515, H515, I515, O515, P515, Q515, R515,S515) = 10, "OK", "Incomplete"))</f>
        <v/>
      </c>
    </row>
    <row r="516" spans="3:28" x14ac:dyDescent="0.2">
      <c r="C516" s="69"/>
      <c r="D516" s="70"/>
      <c r="S516" s="34"/>
      <c r="T516" s="60" t="str">
        <f>IF(P516&lt;&gt;"",
    IF(OR(O516="", Q516="", R516=""),
        "Fill all the required columns",
        IFERROR(
            IF(OR(
                AND(R516="Marine Protected", VLOOKUP(O516, Reference!$A$2:$D$34, 4, FALSE) &lt;= P516),
                AND(R516="General Use", VLOOKUP(O516, Reference!$A$2:$D$34, 3, FALSE) &lt;= P516)
            ),
                "Exceeded",
                "OK"
            ),
            "No Regulation defined"
        )
    ),
    ""
)</f>
        <v/>
      </c>
      <c r="AB516" s="62" t="str">
        <f t="shared" si="8"/>
        <v/>
      </c>
    </row>
    <row r="517" spans="3:28" x14ac:dyDescent="0.2">
      <c r="C517" s="69"/>
      <c r="D517" s="70"/>
      <c r="S517" s="34"/>
      <c r="T517" s="60" t="str">
        <f>IF(P517&lt;&gt;"",
    IF(OR(O517="", Q517="", R517=""),
        "Fill all the required columns",
        IFERROR(
            IF(OR(
                AND(R517="Marine Protected", VLOOKUP(O517, Reference!$A$2:$D$34, 4, FALSE) &lt;= P517),
                AND(R517="General Use", VLOOKUP(O517, Reference!$A$2:$D$34, 3, FALSE) &lt;= P517)
            ),
                "Exceeded",
                "OK"
            ),
            "No Regulation defined"
        )
    ),
    ""
)</f>
        <v/>
      </c>
      <c r="AB517" s="62" t="str">
        <f t="shared" si="8"/>
        <v/>
      </c>
    </row>
    <row r="518" spans="3:28" x14ac:dyDescent="0.2">
      <c r="C518" s="69"/>
      <c r="D518" s="70"/>
      <c r="S518" s="34"/>
      <c r="T518" s="60" t="str">
        <f>IF(P518&lt;&gt;"",
    IF(OR(O518="", Q518="", R518=""),
        "Fill all the required columns",
        IFERROR(
            IF(OR(
                AND(R518="Marine Protected", VLOOKUP(O518, Reference!$A$2:$D$34, 4, FALSE) &lt;= P518),
                AND(R518="General Use", VLOOKUP(O518, Reference!$A$2:$D$34, 3, FALSE) &lt;= P518)
            ),
                "Exceeded",
                "OK"
            ),
            "No Regulation defined"
        )
    ),
    ""
)</f>
        <v/>
      </c>
      <c r="AB518" s="62" t="str">
        <f t="shared" si="8"/>
        <v/>
      </c>
    </row>
    <row r="519" spans="3:28" x14ac:dyDescent="0.2">
      <c r="C519" s="69"/>
      <c r="D519" s="70"/>
      <c r="S519" s="34"/>
      <c r="T519" s="60" t="str">
        <f>IF(P519&lt;&gt;"",
    IF(OR(O519="", Q519="", R519=""),
        "Fill all the required columns",
        IFERROR(
            IF(OR(
                AND(R519="Marine Protected", VLOOKUP(O519, Reference!$A$2:$D$34, 4, FALSE) &lt;= P519),
                AND(R519="General Use", VLOOKUP(O519, Reference!$A$2:$D$34, 3, FALSE) &lt;= P519)
            ),
                "Exceeded",
                "OK"
            ),
            "No Regulation defined"
        )
    ),
    ""
)</f>
        <v/>
      </c>
      <c r="AB519" s="62" t="str">
        <f t="shared" si="8"/>
        <v/>
      </c>
    </row>
    <row r="520" spans="3:28" x14ac:dyDescent="0.2">
      <c r="C520" s="69"/>
      <c r="D520" s="70"/>
      <c r="S520" s="34"/>
      <c r="T520" s="60" t="str">
        <f>IF(P520&lt;&gt;"",
    IF(OR(O520="", Q520="", R520=""),
        "Fill all the required columns",
        IFERROR(
            IF(OR(
                AND(R520="Marine Protected", VLOOKUP(O520, Reference!$A$2:$D$34, 4, FALSE) &lt;= P520),
                AND(R520="General Use", VLOOKUP(O520, Reference!$A$2:$D$34, 3, FALSE) &lt;= P520)
            ),
                "Exceeded",
                "OK"
            ),
            "No Regulation defined"
        )
    ),
    ""
)</f>
        <v/>
      </c>
      <c r="AB520" s="62" t="str">
        <f t="shared" si="8"/>
        <v/>
      </c>
    </row>
    <row r="521" spans="3:28" x14ac:dyDescent="0.2">
      <c r="C521" s="69"/>
      <c r="D521" s="70"/>
      <c r="S521" s="34"/>
      <c r="T521" s="60" t="str">
        <f>IF(P521&lt;&gt;"",
    IF(OR(O521="", Q521="", R521=""),
        "Fill all the required columns",
        IFERROR(
            IF(OR(
                AND(R521="Marine Protected", VLOOKUP(O521, Reference!$A$2:$D$34, 4, FALSE) &lt;= P521),
                AND(R521="General Use", VLOOKUP(O521, Reference!$A$2:$D$34, 3, FALSE) &lt;= P521)
            ),
                "Exceeded",
                "OK"
            ),
            "No Regulation defined"
        )
    ),
    ""
)</f>
        <v/>
      </c>
      <c r="AB521" s="62" t="str">
        <f t="shared" si="8"/>
        <v/>
      </c>
    </row>
    <row r="522" spans="3:28" x14ac:dyDescent="0.2">
      <c r="C522" s="69"/>
      <c r="D522" s="70"/>
      <c r="S522" s="34"/>
      <c r="T522" s="60" t="str">
        <f>IF(P522&lt;&gt;"",
    IF(OR(O522="", Q522="", R522=""),
        "Fill all the required columns",
        IFERROR(
            IF(OR(
                AND(R522="Marine Protected", VLOOKUP(O522, Reference!$A$2:$D$34, 4, FALSE) &lt;= P522),
                AND(R522="General Use", VLOOKUP(O522, Reference!$A$2:$D$34, 3, FALSE) &lt;= P522)
            ),
                "Exceeded",
                "OK"
            ),
            "No Regulation defined"
        )
    ),
    ""
)</f>
        <v/>
      </c>
      <c r="AB522" s="62" t="str">
        <f t="shared" si="8"/>
        <v/>
      </c>
    </row>
    <row r="523" spans="3:28" x14ac:dyDescent="0.2">
      <c r="C523" s="69"/>
      <c r="D523" s="70"/>
      <c r="S523" s="34"/>
      <c r="T523" s="60" t="str">
        <f>IF(P523&lt;&gt;"",
    IF(OR(O523="", Q523="", R523=""),
        "Fill all the required columns",
        IFERROR(
            IF(OR(
                AND(R523="Marine Protected", VLOOKUP(O523, Reference!$A$2:$D$34, 4, FALSE) &lt;= P523),
                AND(R523="General Use", VLOOKUP(O523, Reference!$A$2:$D$34, 3, FALSE) &lt;= P523)
            ),
                "Exceeded",
                "OK"
            ),
            "No Regulation defined"
        )
    ),
    ""
)</f>
        <v/>
      </c>
      <c r="AB523" s="62" t="str">
        <f t="shared" si="8"/>
        <v/>
      </c>
    </row>
    <row r="524" spans="3:28" x14ac:dyDescent="0.2">
      <c r="C524" s="69"/>
      <c r="D524" s="70"/>
      <c r="S524" s="34"/>
      <c r="T524" s="60" t="str">
        <f>IF(P524&lt;&gt;"",
    IF(OR(O524="", Q524="", R524=""),
        "Fill all the required columns",
        IFERROR(
            IF(OR(
                AND(R524="Marine Protected", VLOOKUP(O524, Reference!$A$2:$D$34, 4, FALSE) &lt;= P524),
                AND(R524="General Use", VLOOKUP(O524, Reference!$A$2:$D$34, 3, FALSE) &lt;= P524)
            ),
                "Exceeded",
                "OK"
            ),
            "No Regulation defined"
        )
    ),
    ""
)</f>
        <v/>
      </c>
      <c r="AB524" s="62" t="str">
        <f t="shared" si="8"/>
        <v/>
      </c>
    </row>
    <row r="525" spans="3:28" x14ac:dyDescent="0.2">
      <c r="C525" s="69"/>
      <c r="D525" s="70"/>
      <c r="S525" s="34"/>
      <c r="T525" s="60" t="str">
        <f>IF(P525&lt;&gt;"",
    IF(OR(O525="", Q525="", R525=""),
        "Fill all the required columns",
        IFERROR(
            IF(OR(
                AND(R525="Marine Protected", VLOOKUP(O525, Reference!$A$2:$D$34, 4, FALSE) &lt;= P525),
                AND(R525="General Use", VLOOKUP(O525, Reference!$A$2:$D$34, 3, FALSE) &lt;= P525)
            ),
                "Exceeded",
                "OK"
            ),
            "No Regulation defined"
        )
    ),
    ""
)</f>
        <v/>
      </c>
      <c r="AB525" s="62" t="str">
        <f t="shared" si="8"/>
        <v/>
      </c>
    </row>
    <row r="526" spans="3:28" x14ac:dyDescent="0.2">
      <c r="C526" s="69"/>
      <c r="D526" s="70"/>
      <c r="S526" s="34"/>
      <c r="T526" s="60" t="str">
        <f>IF(P526&lt;&gt;"",
    IF(OR(O526="", Q526="", R526=""),
        "Fill all the required columns",
        IFERROR(
            IF(OR(
                AND(R526="Marine Protected", VLOOKUP(O526, Reference!$A$2:$D$34, 4, FALSE) &lt;= P526),
                AND(R526="General Use", VLOOKUP(O526, Reference!$A$2:$D$34, 3, FALSE) &lt;= P526)
            ),
                "Exceeded",
                "OK"
            ),
            "No Regulation defined"
        )
    ),
    ""
)</f>
        <v/>
      </c>
      <c r="AB526" s="62" t="str">
        <f t="shared" si="8"/>
        <v/>
      </c>
    </row>
    <row r="527" spans="3:28" x14ac:dyDescent="0.2">
      <c r="C527" s="69"/>
      <c r="D527" s="70"/>
      <c r="S527" s="34"/>
      <c r="T527" s="60" t="str">
        <f>IF(P527&lt;&gt;"",
    IF(OR(O527="", Q527="", R527=""),
        "Fill all the required columns",
        IFERROR(
            IF(OR(
                AND(R527="Marine Protected", VLOOKUP(O527, Reference!$A$2:$D$34, 4, FALSE) &lt;= P527),
                AND(R527="General Use", VLOOKUP(O527, Reference!$A$2:$D$34, 3, FALSE) &lt;= P527)
            ),
                "Exceeded",
                "OK"
            ),
            "No Regulation defined"
        )
    ),
    ""
)</f>
        <v/>
      </c>
      <c r="AB527" s="62" t="str">
        <f t="shared" si="8"/>
        <v/>
      </c>
    </row>
    <row r="528" spans="3:28" x14ac:dyDescent="0.2">
      <c r="C528" s="69"/>
      <c r="D528" s="70"/>
      <c r="S528" s="34"/>
      <c r="T528" s="60" t="str">
        <f>IF(P528&lt;&gt;"",
    IF(OR(O528="", Q528="", R528=""),
        "Fill all the required columns",
        IFERROR(
            IF(OR(
                AND(R528="Marine Protected", VLOOKUP(O528, Reference!$A$2:$D$34, 4, FALSE) &lt;= P528),
                AND(R528="General Use", VLOOKUP(O528, Reference!$A$2:$D$34, 3, FALSE) &lt;= P528)
            ),
                "Exceeded",
                "OK"
            ),
            "No Regulation defined"
        )
    ),
    ""
)</f>
        <v/>
      </c>
      <c r="AB528" s="62" t="str">
        <f t="shared" si="8"/>
        <v/>
      </c>
    </row>
    <row r="529" spans="3:28" x14ac:dyDescent="0.2">
      <c r="C529" s="69"/>
      <c r="D529" s="70"/>
      <c r="S529" s="34"/>
      <c r="T529" s="60" t="str">
        <f>IF(P529&lt;&gt;"",
    IF(OR(O529="", Q529="", R529=""),
        "Fill all the required columns",
        IFERROR(
            IF(OR(
                AND(R529="Marine Protected", VLOOKUP(O529, Reference!$A$2:$D$34, 4, FALSE) &lt;= P529),
                AND(R529="General Use", VLOOKUP(O529, Reference!$A$2:$D$34, 3, FALSE) &lt;= P529)
            ),
                "Exceeded",
                "OK"
            ),
            "No Regulation defined"
        )
    ),
    ""
)</f>
        <v/>
      </c>
      <c r="AB529" s="62" t="str">
        <f t="shared" si="8"/>
        <v/>
      </c>
    </row>
    <row r="530" spans="3:28" x14ac:dyDescent="0.2">
      <c r="C530" s="69"/>
      <c r="D530" s="70"/>
      <c r="S530" s="34"/>
      <c r="T530" s="60" t="str">
        <f>IF(P530&lt;&gt;"",
    IF(OR(O530="", Q530="", R530=""),
        "Fill all the required columns",
        IFERROR(
            IF(OR(
                AND(R530="Marine Protected", VLOOKUP(O530, Reference!$A$2:$D$34, 4, FALSE) &lt;= P530),
                AND(R530="General Use", VLOOKUP(O530, Reference!$A$2:$D$34, 3, FALSE) &lt;= P530)
            ),
                "Exceeded",
                "OK"
            ),
            "No Regulation defined"
        )
    ),
    ""
)</f>
        <v/>
      </c>
      <c r="AB530" s="62" t="str">
        <f t="shared" si="8"/>
        <v/>
      </c>
    </row>
    <row r="531" spans="3:28" x14ac:dyDescent="0.2">
      <c r="C531" s="69"/>
      <c r="D531" s="70"/>
      <c r="S531" s="34"/>
      <c r="T531" s="60" t="str">
        <f>IF(P531&lt;&gt;"",
    IF(OR(O531="", Q531="", R531=""),
        "Fill all the required columns",
        IFERROR(
            IF(OR(
                AND(R531="Marine Protected", VLOOKUP(O531, Reference!$A$2:$D$34, 4, FALSE) &lt;= P531),
                AND(R531="General Use", VLOOKUP(O531, Reference!$A$2:$D$34, 3, FALSE) &lt;= P531)
            ),
                "Exceeded",
                "OK"
            ),
            "No Regulation defined"
        )
    ),
    ""
)</f>
        <v/>
      </c>
      <c r="AB531" s="62" t="str">
        <f t="shared" si="8"/>
        <v/>
      </c>
    </row>
    <row r="532" spans="3:28" x14ac:dyDescent="0.2">
      <c r="C532" s="69"/>
      <c r="D532" s="70"/>
      <c r="S532" s="34"/>
      <c r="T532" s="60" t="str">
        <f>IF(P532&lt;&gt;"",
    IF(OR(O532="", Q532="", R532=""),
        "Fill all the required columns",
        IFERROR(
            IF(OR(
                AND(R532="Marine Protected", VLOOKUP(O532, Reference!$A$2:$D$34, 4, FALSE) &lt;= P532),
                AND(R532="General Use", VLOOKUP(O532, Reference!$A$2:$D$34, 3, FALSE) &lt;= P532)
            ),
                "Exceeded",
                "OK"
            ),
            "No Regulation defined"
        )
    ),
    ""
)</f>
        <v/>
      </c>
      <c r="AB532" s="62" t="str">
        <f t="shared" si="8"/>
        <v/>
      </c>
    </row>
    <row r="533" spans="3:28" x14ac:dyDescent="0.2">
      <c r="C533" s="69"/>
      <c r="D533" s="70"/>
      <c r="S533" s="34"/>
      <c r="T533" s="60" t="str">
        <f>IF(P533&lt;&gt;"",
    IF(OR(O533="", Q533="", R533=""),
        "Fill all the required columns",
        IFERROR(
            IF(OR(
                AND(R533="Marine Protected", VLOOKUP(O533, Reference!$A$2:$D$34, 4, FALSE) &lt;= P533),
                AND(R533="General Use", VLOOKUP(O533, Reference!$A$2:$D$34, 3, FALSE) &lt;= P533)
            ),
                "Exceeded",
                "OK"
            ),
            "No Regulation defined"
        )
    ),
    ""
)</f>
        <v/>
      </c>
      <c r="AB533" s="62" t="str">
        <f t="shared" si="8"/>
        <v/>
      </c>
    </row>
    <row r="534" spans="3:28" x14ac:dyDescent="0.2">
      <c r="C534" s="69"/>
      <c r="D534" s="70"/>
      <c r="S534" s="34"/>
      <c r="T534" s="60" t="str">
        <f>IF(P534&lt;&gt;"",
    IF(OR(O534="", Q534="", R534=""),
        "Fill all the required columns",
        IFERROR(
            IF(OR(
                AND(R534="Marine Protected", VLOOKUP(O534, Reference!$A$2:$D$34, 4, FALSE) &lt;= P534),
                AND(R534="General Use", VLOOKUP(O534, Reference!$A$2:$D$34, 3, FALSE) &lt;= P534)
            ),
                "Exceeded",
                "OK"
            ),
            "No Regulation defined"
        )
    ),
    ""
)</f>
        <v/>
      </c>
      <c r="AB534" s="62" t="str">
        <f t="shared" si="8"/>
        <v/>
      </c>
    </row>
    <row r="535" spans="3:28" x14ac:dyDescent="0.2">
      <c r="C535" s="69"/>
      <c r="D535" s="70"/>
      <c r="S535" s="34"/>
      <c r="T535" s="60" t="str">
        <f>IF(P535&lt;&gt;"",
    IF(OR(O535="", Q535="", R535=""),
        "Fill all the required columns",
        IFERROR(
            IF(OR(
                AND(R535="Marine Protected", VLOOKUP(O535, Reference!$A$2:$D$34, 4, FALSE) &lt;= P535),
                AND(R535="General Use", VLOOKUP(O535, Reference!$A$2:$D$34, 3, FALSE) &lt;= P535)
            ),
                "Exceeded",
                "OK"
            ),
            "No Regulation defined"
        )
    ),
    ""
)</f>
        <v/>
      </c>
      <c r="AB535" s="62" t="str">
        <f t="shared" si="8"/>
        <v/>
      </c>
    </row>
    <row r="536" spans="3:28" x14ac:dyDescent="0.2">
      <c r="C536" s="69"/>
      <c r="D536" s="70"/>
      <c r="S536" s="34"/>
      <c r="T536" s="60" t="str">
        <f>IF(P536&lt;&gt;"",
    IF(OR(O536="", Q536="", R536=""),
        "Fill all the required columns",
        IFERROR(
            IF(OR(
                AND(R536="Marine Protected", VLOOKUP(O536, Reference!$A$2:$D$34, 4, FALSE) &lt;= P536),
                AND(R536="General Use", VLOOKUP(O536, Reference!$A$2:$D$34, 3, FALSE) &lt;= P536)
            ),
                "Exceeded",
                "OK"
            ),
            "No Regulation defined"
        )
    ),
    ""
)</f>
        <v/>
      </c>
      <c r="AB536" s="62" t="str">
        <f t="shared" si="8"/>
        <v/>
      </c>
    </row>
    <row r="537" spans="3:28" x14ac:dyDescent="0.2">
      <c r="C537" s="69"/>
      <c r="D537" s="70"/>
      <c r="S537" s="34"/>
      <c r="T537" s="60" t="str">
        <f>IF(P537&lt;&gt;"",
    IF(OR(O537="", Q537="", R537=""),
        "Fill all the required columns",
        IFERROR(
            IF(OR(
                AND(R537="Marine Protected", VLOOKUP(O537, Reference!$A$2:$D$34, 4, FALSE) &lt;= P537),
                AND(R537="General Use", VLOOKUP(O537, Reference!$A$2:$D$34, 3, FALSE) &lt;= P537)
            ),
                "Exceeded",
                "OK"
            ),
            "No Regulation defined"
        )
    ),
    ""
)</f>
        <v/>
      </c>
      <c r="AB537" s="62" t="str">
        <f t="shared" si="8"/>
        <v/>
      </c>
    </row>
    <row r="538" spans="3:28" x14ac:dyDescent="0.2">
      <c r="C538" s="69"/>
      <c r="D538" s="70"/>
      <c r="S538" s="34"/>
      <c r="T538" s="60" t="str">
        <f>IF(P538&lt;&gt;"",
    IF(OR(O538="", Q538="", R538=""),
        "Fill all the required columns",
        IFERROR(
            IF(OR(
                AND(R538="Marine Protected", VLOOKUP(O538, Reference!$A$2:$D$34, 4, FALSE) &lt;= P538),
                AND(R538="General Use", VLOOKUP(O538, Reference!$A$2:$D$34, 3, FALSE) &lt;= P538)
            ),
                "Exceeded",
                "OK"
            ),
            "No Regulation defined"
        )
    ),
    ""
)</f>
        <v/>
      </c>
      <c r="AB538" s="62" t="str">
        <f t="shared" si="8"/>
        <v/>
      </c>
    </row>
    <row r="539" spans="3:28" x14ac:dyDescent="0.2">
      <c r="C539" s="69"/>
      <c r="D539" s="70"/>
      <c r="S539" s="34"/>
      <c r="T539" s="60" t="str">
        <f>IF(P539&lt;&gt;"",
    IF(OR(O539="", Q539="", R539=""),
        "Fill all the required columns",
        IFERROR(
            IF(OR(
                AND(R539="Marine Protected", VLOOKUP(O539, Reference!$A$2:$D$34, 4, FALSE) &lt;= P539),
                AND(R539="General Use", VLOOKUP(O539, Reference!$A$2:$D$34, 3, FALSE) &lt;= P539)
            ),
                "Exceeded",
                "OK"
            ),
            "No Regulation defined"
        )
    ),
    ""
)</f>
        <v/>
      </c>
      <c r="AB539" s="62" t="str">
        <f t="shared" si="8"/>
        <v/>
      </c>
    </row>
    <row r="540" spans="3:28" x14ac:dyDescent="0.2">
      <c r="C540" s="69"/>
      <c r="D540" s="70"/>
      <c r="S540" s="34"/>
      <c r="T540" s="60" t="str">
        <f>IF(P540&lt;&gt;"",
    IF(OR(O540="", Q540="", R540=""),
        "Fill all the required columns",
        IFERROR(
            IF(OR(
                AND(R540="Marine Protected", VLOOKUP(O540, Reference!$A$2:$D$34, 4, FALSE) &lt;= P540),
                AND(R540="General Use", VLOOKUP(O540, Reference!$A$2:$D$34, 3, FALSE) &lt;= P540)
            ),
                "Exceeded",
                "OK"
            ),
            "No Regulation defined"
        )
    ),
    ""
)</f>
        <v/>
      </c>
      <c r="AB540" s="62" t="str">
        <f t="shared" si="8"/>
        <v/>
      </c>
    </row>
    <row r="541" spans="3:28" x14ac:dyDescent="0.2">
      <c r="C541" s="69"/>
      <c r="D541" s="70"/>
      <c r="S541" s="34"/>
      <c r="T541" s="60" t="str">
        <f>IF(P541&lt;&gt;"",
    IF(OR(O541="", Q541="", R541=""),
        "Fill all the required columns",
        IFERROR(
            IF(OR(
                AND(R541="Marine Protected", VLOOKUP(O541, Reference!$A$2:$D$34, 4, FALSE) &lt;= P541),
                AND(R541="General Use", VLOOKUP(O541, Reference!$A$2:$D$34, 3, FALSE) &lt;= P541)
            ),
                "Exceeded",
                "OK"
            ),
            "No Regulation defined"
        )
    ),
    ""
)</f>
        <v/>
      </c>
      <c r="AB541" s="62" t="str">
        <f t="shared" si="8"/>
        <v/>
      </c>
    </row>
    <row r="542" spans="3:28" x14ac:dyDescent="0.2">
      <c r="C542" s="69"/>
      <c r="D542" s="70"/>
      <c r="S542" s="34"/>
      <c r="T542" s="60" t="str">
        <f>IF(P542&lt;&gt;"",
    IF(OR(O542="", Q542="", R542=""),
        "Fill all the required columns",
        IFERROR(
            IF(OR(
                AND(R542="Marine Protected", VLOOKUP(O542, Reference!$A$2:$D$34, 4, FALSE) &lt;= P542),
                AND(R542="General Use", VLOOKUP(O542, Reference!$A$2:$D$34, 3, FALSE) &lt;= P542)
            ),
                "Exceeded",
                "OK"
            ),
            "No Regulation defined"
        )
    ),
    ""
)</f>
        <v/>
      </c>
      <c r="AB542" s="62" t="str">
        <f t="shared" si="8"/>
        <v/>
      </c>
    </row>
    <row r="543" spans="3:28" x14ac:dyDescent="0.2">
      <c r="C543" s="69"/>
      <c r="D543" s="70"/>
      <c r="S543" s="34"/>
      <c r="T543" s="60" t="str">
        <f>IF(P543&lt;&gt;"",
    IF(OR(O543="", Q543="", R543=""),
        "Fill all the required columns",
        IFERROR(
            IF(OR(
                AND(R543="Marine Protected", VLOOKUP(O543, Reference!$A$2:$D$34, 4, FALSE) &lt;= P543),
                AND(R543="General Use", VLOOKUP(O543, Reference!$A$2:$D$34, 3, FALSE) &lt;= P543)
            ),
                "Exceeded",
                "OK"
            ),
            "No Regulation defined"
        )
    ),
    ""
)</f>
        <v/>
      </c>
      <c r="AB543" s="62" t="str">
        <f t="shared" si="8"/>
        <v/>
      </c>
    </row>
    <row r="544" spans="3:28" x14ac:dyDescent="0.2">
      <c r="C544" s="69"/>
      <c r="D544" s="70"/>
      <c r="S544" s="34"/>
      <c r="T544" s="60" t="str">
        <f>IF(P544&lt;&gt;"",
    IF(OR(O544="", Q544="", R544=""),
        "Fill all the required columns",
        IFERROR(
            IF(OR(
                AND(R544="Marine Protected", VLOOKUP(O544, Reference!$A$2:$D$34, 4, FALSE) &lt;= P544),
                AND(R544="General Use", VLOOKUP(O544, Reference!$A$2:$D$34, 3, FALSE) &lt;= P544)
            ),
                "Exceeded",
                "OK"
            ),
            "No Regulation defined"
        )
    ),
    ""
)</f>
        <v/>
      </c>
      <c r="AB544" s="62" t="str">
        <f t="shared" si="8"/>
        <v/>
      </c>
    </row>
    <row r="545" spans="3:28" x14ac:dyDescent="0.2">
      <c r="C545" s="69"/>
      <c r="D545" s="70"/>
      <c r="S545" s="34"/>
      <c r="T545" s="60" t="str">
        <f>IF(P545&lt;&gt;"",
    IF(OR(O545="", Q545="", R545=""),
        "Fill all the required columns",
        IFERROR(
            IF(OR(
                AND(R545="Marine Protected", VLOOKUP(O545, Reference!$A$2:$D$34, 4, FALSE) &lt;= P545),
                AND(R545="General Use", VLOOKUP(O545, Reference!$A$2:$D$34, 3, FALSE) &lt;= P545)
            ),
                "Exceeded",
                "OK"
            ),
            "No Regulation defined"
        )
    ),
    ""
)</f>
        <v/>
      </c>
      <c r="AB545" s="62" t="str">
        <f t="shared" si="8"/>
        <v/>
      </c>
    </row>
    <row r="546" spans="3:28" x14ac:dyDescent="0.2">
      <c r="C546" s="69"/>
      <c r="D546" s="70"/>
      <c r="S546" s="34"/>
      <c r="T546" s="60" t="str">
        <f>IF(P546&lt;&gt;"",
    IF(OR(O546="", Q546="", R546=""),
        "Fill all the required columns",
        IFERROR(
            IF(OR(
                AND(R546="Marine Protected", VLOOKUP(O546, Reference!$A$2:$D$34, 4, FALSE) &lt;= P546),
                AND(R546="General Use", VLOOKUP(O546, Reference!$A$2:$D$34, 3, FALSE) &lt;= P546)
            ),
                "Exceeded",
                "OK"
            ),
            "No Regulation defined"
        )
    ),
    ""
)</f>
        <v/>
      </c>
      <c r="AB546" s="62" t="str">
        <f t="shared" si="8"/>
        <v/>
      </c>
    </row>
    <row r="547" spans="3:28" x14ac:dyDescent="0.2">
      <c r="C547" s="69"/>
      <c r="D547" s="70"/>
      <c r="S547" s="34"/>
      <c r="T547" s="60" t="str">
        <f>IF(P547&lt;&gt;"",
    IF(OR(O547="", Q547="", R547=""),
        "Fill all the required columns",
        IFERROR(
            IF(OR(
                AND(R547="Marine Protected", VLOOKUP(O547, Reference!$A$2:$D$34, 4, FALSE) &lt;= P547),
                AND(R547="General Use", VLOOKUP(O547, Reference!$A$2:$D$34, 3, FALSE) &lt;= P547)
            ),
                "Exceeded",
                "OK"
            ),
            "No Regulation defined"
        )
    ),
    ""
)</f>
        <v/>
      </c>
      <c r="AB547" s="62" t="str">
        <f t="shared" si="8"/>
        <v/>
      </c>
    </row>
    <row r="548" spans="3:28" x14ac:dyDescent="0.2">
      <c r="C548" s="69"/>
      <c r="D548" s="70"/>
      <c r="S548" s="34"/>
      <c r="T548" s="60" t="str">
        <f>IF(P548&lt;&gt;"",
    IF(OR(O548="", Q548="", R548=""),
        "Fill all the required columns",
        IFERROR(
            IF(OR(
                AND(R548="Marine Protected", VLOOKUP(O548, Reference!$A$2:$D$34, 4, FALSE) &lt;= P548),
                AND(R548="General Use", VLOOKUP(O548, Reference!$A$2:$D$34, 3, FALSE) &lt;= P548)
            ),
                "Exceeded",
                "OK"
            ),
            "No Regulation defined"
        )
    ),
    ""
)</f>
        <v/>
      </c>
      <c r="AB548" s="62" t="str">
        <f t="shared" si="8"/>
        <v/>
      </c>
    </row>
    <row r="549" spans="3:28" x14ac:dyDescent="0.2">
      <c r="C549" s="69"/>
      <c r="D549" s="70"/>
      <c r="S549" s="34"/>
      <c r="T549" s="60" t="str">
        <f>IF(P549&lt;&gt;"",
    IF(OR(O549="", Q549="", R549=""),
        "Fill all the required columns",
        IFERROR(
            IF(OR(
                AND(R549="Marine Protected", VLOOKUP(O549, Reference!$A$2:$D$34, 4, FALSE) &lt;= P549),
                AND(R549="General Use", VLOOKUP(O549, Reference!$A$2:$D$34, 3, FALSE) &lt;= P549)
            ),
                "Exceeded",
                "OK"
            ),
            "No Regulation defined"
        )
    ),
    ""
)</f>
        <v/>
      </c>
      <c r="AB549" s="62" t="str">
        <f t="shared" si="8"/>
        <v/>
      </c>
    </row>
    <row r="550" spans="3:28" x14ac:dyDescent="0.2">
      <c r="C550" s="69"/>
      <c r="D550" s="70"/>
      <c r="S550" s="34"/>
      <c r="T550" s="60" t="str">
        <f>IF(P550&lt;&gt;"",
    IF(OR(O550="", Q550="", R550=""),
        "Fill all the required columns",
        IFERROR(
            IF(OR(
                AND(R550="Marine Protected", VLOOKUP(O550, Reference!$A$2:$D$34, 4, FALSE) &lt;= P550),
                AND(R550="General Use", VLOOKUP(O550, Reference!$A$2:$D$34, 3, FALSE) &lt;= P550)
            ),
                "Exceeded",
                "OK"
            ),
            "No Regulation defined"
        )
    ),
    ""
)</f>
        <v/>
      </c>
      <c r="AB550" s="62" t="str">
        <f t="shared" si="8"/>
        <v/>
      </c>
    </row>
    <row r="551" spans="3:28" x14ac:dyDescent="0.2">
      <c r="C551" s="69"/>
      <c r="D551" s="70"/>
      <c r="S551" s="34"/>
      <c r="T551" s="60" t="str">
        <f>IF(P551&lt;&gt;"",
    IF(OR(O551="", Q551="", R551=""),
        "Fill all the required columns",
        IFERROR(
            IF(OR(
                AND(R551="Marine Protected", VLOOKUP(O551, Reference!$A$2:$D$34, 4, FALSE) &lt;= P551),
                AND(R551="General Use", VLOOKUP(O551, Reference!$A$2:$D$34, 3, FALSE) &lt;= P551)
            ),
                "Exceeded",
                "OK"
            ),
            "No Regulation defined"
        )
    ),
    ""
)</f>
        <v/>
      </c>
      <c r="AB551" s="62" t="str">
        <f t="shared" si="8"/>
        <v/>
      </c>
    </row>
    <row r="552" spans="3:28" x14ac:dyDescent="0.2">
      <c r="C552" s="69"/>
      <c r="D552" s="70"/>
      <c r="S552" s="34"/>
      <c r="T552" s="60" t="str">
        <f>IF(P552&lt;&gt;"",
    IF(OR(O552="", Q552="", R552=""),
        "Fill all the required columns",
        IFERROR(
            IF(OR(
                AND(R552="Marine Protected", VLOOKUP(O552, Reference!$A$2:$D$34, 4, FALSE) &lt;= P552),
                AND(R552="General Use", VLOOKUP(O552, Reference!$A$2:$D$34, 3, FALSE) &lt;= P552)
            ),
                "Exceeded",
                "OK"
            ),
            "No Regulation defined"
        )
    ),
    ""
)</f>
        <v/>
      </c>
      <c r="AB552" s="62" t="str">
        <f t="shared" si="8"/>
        <v/>
      </c>
    </row>
    <row r="553" spans="3:28" x14ac:dyDescent="0.2">
      <c r="C553" s="69"/>
      <c r="D553" s="70"/>
      <c r="S553" s="34"/>
      <c r="T553" s="60" t="str">
        <f>IF(P553&lt;&gt;"",
    IF(OR(O553="", Q553="", R553=""),
        "Fill all the required columns",
        IFERROR(
            IF(OR(
                AND(R553="Marine Protected", VLOOKUP(O553, Reference!$A$2:$D$34, 4, FALSE) &lt;= P553),
                AND(R553="General Use", VLOOKUP(O553, Reference!$A$2:$D$34, 3, FALSE) &lt;= P553)
            ),
                "Exceeded",
                "OK"
            ),
            "No Regulation defined"
        )
    ),
    ""
)</f>
        <v/>
      </c>
      <c r="AB553" s="62" t="str">
        <f t="shared" si="8"/>
        <v/>
      </c>
    </row>
    <row r="554" spans="3:28" x14ac:dyDescent="0.2">
      <c r="C554" s="69"/>
      <c r="D554" s="70"/>
      <c r="S554" s="34"/>
      <c r="T554" s="60" t="str">
        <f>IF(P554&lt;&gt;"",
    IF(OR(O554="", Q554="", R554=""),
        "Fill all the required columns",
        IFERROR(
            IF(OR(
                AND(R554="Marine Protected", VLOOKUP(O554, Reference!$A$2:$D$34, 4, FALSE) &lt;= P554),
                AND(R554="General Use", VLOOKUP(O554, Reference!$A$2:$D$34, 3, FALSE) &lt;= P554)
            ),
                "Exceeded",
                "OK"
            ),
            "No Regulation defined"
        )
    ),
    ""
)</f>
        <v/>
      </c>
      <c r="AB554" s="62" t="str">
        <f t="shared" si="8"/>
        <v/>
      </c>
    </row>
    <row r="555" spans="3:28" x14ac:dyDescent="0.2">
      <c r="C555" s="69"/>
      <c r="D555" s="70"/>
      <c r="S555" s="34"/>
      <c r="T555" s="60" t="str">
        <f>IF(P555&lt;&gt;"",
    IF(OR(O555="", Q555="", R555=""),
        "Fill all the required columns",
        IFERROR(
            IF(OR(
                AND(R555="Marine Protected", VLOOKUP(O555, Reference!$A$2:$D$34, 4, FALSE) &lt;= P555),
                AND(R555="General Use", VLOOKUP(O555, Reference!$A$2:$D$34, 3, FALSE) &lt;= P555)
            ),
                "Exceeded",
                "OK"
            ),
            "No Regulation defined"
        )
    ),
    ""
)</f>
        <v/>
      </c>
      <c r="AB555" s="62" t="str">
        <f t="shared" si="8"/>
        <v/>
      </c>
    </row>
    <row r="556" spans="3:28" x14ac:dyDescent="0.2">
      <c r="C556" s="69"/>
      <c r="D556" s="70"/>
      <c r="S556" s="34"/>
      <c r="T556" s="60" t="str">
        <f>IF(P556&lt;&gt;"",
    IF(OR(O556="", Q556="", R556=""),
        "Fill all the required columns",
        IFERROR(
            IF(OR(
                AND(R556="Marine Protected", VLOOKUP(O556, Reference!$A$2:$D$34, 4, FALSE) &lt;= P556),
                AND(R556="General Use", VLOOKUP(O556, Reference!$A$2:$D$34, 3, FALSE) &lt;= P556)
            ),
                "Exceeded",
                "OK"
            ),
            "No Regulation defined"
        )
    ),
    ""
)</f>
        <v/>
      </c>
      <c r="AB556" s="62" t="str">
        <f t="shared" si="8"/>
        <v/>
      </c>
    </row>
    <row r="557" spans="3:28" x14ac:dyDescent="0.2">
      <c r="C557" s="69"/>
      <c r="D557" s="70"/>
      <c r="S557" s="34"/>
      <c r="T557" s="60" t="str">
        <f>IF(P557&lt;&gt;"",
    IF(OR(O557="", Q557="", R557=""),
        "Fill all the required columns",
        IFERROR(
            IF(OR(
                AND(R557="Marine Protected", VLOOKUP(O557, Reference!$A$2:$D$34, 4, FALSE) &lt;= P557),
                AND(R557="General Use", VLOOKUP(O557, Reference!$A$2:$D$34, 3, FALSE) &lt;= P557)
            ),
                "Exceeded",
                "OK"
            ),
            "No Regulation defined"
        )
    ),
    ""
)</f>
        <v/>
      </c>
      <c r="AB557" s="62" t="str">
        <f t="shared" si="8"/>
        <v/>
      </c>
    </row>
    <row r="558" spans="3:28" x14ac:dyDescent="0.2">
      <c r="C558" s="69"/>
      <c r="D558" s="70"/>
      <c r="S558" s="34"/>
      <c r="T558" s="60" t="str">
        <f>IF(P558&lt;&gt;"",
    IF(OR(O558="", Q558="", R558=""),
        "Fill all the required columns",
        IFERROR(
            IF(OR(
                AND(R558="Marine Protected", VLOOKUP(O558, Reference!$A$2:$D$34, 4, FALSE) &lt;= P558),
                AND(R558="General Use", VLOOKUP(O558, Reference!$A$2:$D$34, 3, FALSE) &lt;= P558)
            ),
                "Exceeded",
                "OK"
            ),
            "No Regulation defined"
        )
    ),
    ""
)</f>
        <v/>
      </c>
      <c r="AB558" s="62" t="str">
        <f t="shared" si="8"/>
        <v/>
      </c>
    </row>
    <row r="559" spans="3:28" x14ac:dyDescent="0.2">
      <c r="C559" s="69"/>
      <c r="D559" s="70"/>
      <c r="S559" s="34"/>
      <c r="T559" s="60" t="str">
        <f>IF(P559&lt;&gt;"",
    IF(OR(O559="", Q559="", R559=""),
        "Fill all the required columns",
        IFERROR(
            IF(OR(
                AND(R559="Marine Protected", VLOOKUP(O559, Reference!$A$2:$D$34, 4, FALSE) &lt;= P559),
                AND(R559="General Use", VLOOKUP(O559, Reference!$A$2:$D$34, 3, FALSE) &lt;= P559)
            ),
                "Exceeded",
                "OK"
            ),
            "No Regulation defined"
        )
    ),
    ""
)</f>
        <v/>
      </c>
      <c r="AB559" s="62" t="str">
        <f t="shared" si="8"/>
        <v/>
      </c>
    </row>
    <row r="560" spans="3:28" x14ac:dyDescent="0.2">
      <c r="C560" s="69"/>
      <c r="D560" s="70"/>
      <c r="S560" s="34"/>
      <c r="T560" s="60" t="str">
        <f>IF(P560&lt;&gt;"",
    IF(OR(O560="", Q560="", R560=""),
        "Fill all the required columns",
        IFERROR(
            IF(OR(
                AND(R560="Marine Protected", VLOOKUP(O560, Reference!$A$2:$D$34, 4, FALSE) &lt;= P560),
                AND(R560="General Use", VLOOKUP(O560, Reference!$A$2:$D$34, 3, FALSE) &lt;= P560)
            ),
                "Exceeded",
                "OK"
            ),
            "No Regulation defined"
        )
    ),
    ""
)</f>
        <v/>
      </c>
      <c r="AB560" s="62" t="str">
        <f t="shared" si="8"/>
        <v/>
      </c>
    </row>
    <row r="561" spans="3:28" x14ac:dyDescent="0.2">
      <c r="C561" s="69"/>
      <c r="D561" s="70"/>
      <c r="S561" s="34"/>
      <c r="T561" s="60" t="str">
        <f>IF(P561&lt;&gt;"",
    IF(OR(O561="", Q561="", R561=""),
        "Fill all the required columns",
        IFERROR(
            IF(OR(
                AND(R561="Marine Protected", VLOOKUP(O561, Reference!$A$2:$D$34, 4, FALSE) &lt;= P561),
                AND(R561="General Use", VLOOKUP(O561, Reference!$A$2:$D$34, 3, FALSE) &lt;= P561)
            ),
                "Exceeded",
                "OK"
            ),
            "No Regulation defined"
        )
    ),
    ""
)</f>
        <v/>
      </c>
      <c r="AB561" s="62" t="str">
        <f t="shared" si="8"/>
        <v/>
      </c>
    </row>
    <row r="562" spans="3:28" x14ac:dyDescent="0.2">
      <c r="C562" s="69"/>
      <c r="D562" s="70"/>
      <c r="S562" s="34"/>
      <c r="T562" s="60" t="str">
        <f>IF(P562&lt;&gt;"",
    IF(OR(O562="", Q562="", R562=""),
        "Fill all the required columns",
        IFERROR(
            IF(OR(
                AND(R562="Marine Protected", VLOOKUP(O562, Reference!$A$2:$D$34, 4, FALSE) &lt;= P562),
                AND(R562="General Use", VLOOKUP(O562, Reference!$A$2:$D$34, 3, FALSE) &lt;= P562)
            ),
                "Exceeded",
                "OK"
            ),
            "No Regulation defined"
        )
    ),
    ""
)</f>
        <v/>
      </c>
      <c r="AB562" s="62" t="str">
        <f t="shared" si="8"/>
        <v/>
      </c>
    </row>
    <row r="563" spans="3:28" x14ac:dyDescent="0.2">
      <c r="C563" s="69"/>
      <c r="D563" s="70"/>
      <c r="S563" s="34"/>
      <c r="T563" s="60" t="str">
        <f>IF(P563&lt;&gt;"",
    IF(OR(O563="", Q563="", R563=""),
        "Fill all the required columns",
        IFERROR(
            IF(OR(
                AND(R563="Marine Protected", VLOOKUP(O563, Reference!$A$2:$D$34, 4, FALSE) &lt;= P563),
                AND(R563="General Use", VLOOKUP(O563, Reference!$A$2:$D$34, 3, FALSE) &lt;= P563)
            ),
                "Exceeded",
                "OK"
            ),
            "No Regulation defined"
        )
    ),
    ""
)</f>
        <v/>
      </c>
      <c r="AB563" s="62" t="str">
        <f t="shared" si="8"/>
        <v/>
      </c>
    </row>
    <row r="564" spans="3:28" x14ac:dyDescent="0.2">
      <c r="C564" s="69"/>
      <c r="D564" s="70"/>
      <c r="S564" s="34"/>
      <c r="T564" s="60" t="str">
        <f>IF(P564&lt;&gt;"",
    IF(OR(O564="", Q564="", R564=""),
        "Fill all the required columns",
        IFERROR(
            IF(OR(
                AND(R564="Marine Protected", VLOOKUP(O564, Reference!$A$2:$D$34, 4, FALSE) &lt;= P564),
                AND(R564="General Use", VLOOKUP(O564, Reference!$A$2:$D$34, 3, FALSE) &lt;= P564)
            ),
                "Exceeded",
                "OK"
            ),
            "No Regulation defined"
        )
    ),
    ""
)</f>
        <v/>
      </c>
      <c r="AB564" s="62" t="str">
        <f t="shared" si="8"/>
        <v/>
      </c>
    </row>
    <row r="565" spans="3:28" x14ac:dyDescent="0.2">
      <c r="C565" s="69"/>
      <c r="D565" s="70"/>
      <c r="S565" s="34"/>
      <c r="T565" s="60" t="str">
        <f>IF(P565&lt;&gt;"",
    IF(OR(O565="", Q565="", R565=""),
        "Fill all the required columns",
        IFERROR(
            IF(OR(
                AND(R565="Marine Protected", VLOOKUP(O565, Reference!$A$2:$D$34, 4, FALSE) &lt;= P565),
                AND(R565="General Use", VLOOKUP(O565, Reference!$A$2:$D$34, 3, FALSE) &lt;= P565)
            ),
                "Exceeded",
                "OK"
            ),
            "No Regulation defined"
        )
    ),
    ""
)</f>
        <v/>
      </c>
      <c r="AB565" s="62" t="str">
        <f t="shared" si="8"/>
        <v/>
      </c>
    </row>
    <row r="566" spans="3:28" x14ac:dyDescent="0.2">
      <c r="C566" s="69"/>
      <c r="D566" s="70"/>
      <c r="S566" s="34"/>
      <c r="T566" s="60" t="str">
        <f>IF(P566&lt;&gt;"",
    IF(OR(O566="", Q566="", R566=""),
        "Fill all the required columns",
        IFERROR(
            IF(OR(
                AND(R566="Marine Protected", VLOOKUP(O566, Reference!$A$2:$D$34, 4, FALSE) &lt;= P566),
                AND(R566="General Use", VLOOKUP(O566, Reference!$A$2:$D$34, 3, FALSE) &lt;= P566)
            ),
                "Exceeded",
                "OK"
            ),
            "No Regulation defined"
        )
    ),
    ""
)</f>
        <v/>
      </c>
      <c r="AB566" s="62" t="str">
        <f t="shared" si="8"/>
        <v/>
      </c>
    </row>
    <row r="567" spans="3:28" x14ac:dyDescent="0.2">
      <c r="C567" s="69"/>
      <c r="D567" s="70"/>
      <c r="S567" s="34"/>
      <c r="T567" s="60" t="str">
        <f>IF(P567&lt;&gt;"",
    IF(OR(O567="", Q567="", R567=""),
        "Fill all the required columns",
        IFERROR(
            IF(OR(
                AND(R567="Marine Protected", VLOOKUP(O567, Reference!$A$2:$D$34, 4, FALSE) &lt;= P567),
                AND(R567="General Use", VLOOKUP(O567, Reference!$A$2:$D$34, 3, FALSE) &lt;= P567)
            ),
                "Exceeded",
                "OK"
            ),
            "No Regulation defined"
        )
    ),
    ""
)</f>
        <v/>
      </c>
      <c r="AB567" s="62" t="str">
        <f t="shared" si="8"/>
        <v/>
      </c>
    </row>
    <row r="568" spans="3:28" x14ac:dyDescent="0.2">
      <c r="C568" s="69"/>
      <c r="D568" s="70"/>
      <c r="S568" s="34"/>
      <c r="T568" s="60" t="str">
        <f>IF(P568&lt;&gt;"",
    IF(OR(O568="", Q568="", R568=""),
        "Fill all the required columns",
        IFERROR(
            IF(OR(
                AND(R568="Marine Protected", VLOOKUP(O568, Reference!$A$2:$D$34, 4, FALSE) &lt;= P568),
                AND(R568="General Use", VLOOKUP(O568, Reference!$A$2:$D$34, 3, FALSE) &lt;= P568)
            ),
                "Exceeded",
                "OK"
            ),
            "No Regulation defined"
        )
    ),
    ""
)</f>
        <v/>
      </c>
      <c r="AB568" s="62" t="str">
        <f t="shared" si="8"/>
        <v/>
      </c>
    </row>
    <row r="569" spans="3:28" x14ac:dyDescent="0.2">
      <c r="C569" s="69"/>
      <c r="D569" s="70"/>
      <c r="S569" s="34"/>
      <c r="T569" s="60" t="str">
        <f>IF(P569&lt;&gt;"",
    IF(OR(O569="", Q569="", R569=""),
        "Fill all the required columns",
        IFERROR(
            IF(OR(
                AND(R569="Marine Protected", VLOOKUP(O569, Reference!$A$2:$D$34, 4, FALSE) &lt;= P569),
                AND(R569="General Use", VLOOKUP(O569, Reference!$A$2:$D$34, 3, FALSE) &lt;= P569)
            ),
                "Exceeded",
                "OK"
            ),
            "No Regulation defined"
        )
    ),
    ""
)</f>
        <v/>
      </c>
      <c r="AB569" s="62" t="str">
        <f t="shared" si="8"/>
        <v/>
      </c>
    </row>
    <row r="570" spans="3:28" x14ac:dyDescent="0.2">
      <c r="C570" s="69"/>
      <c r="D570" s="70"/>
      <c r="S570" s="34"/>
      <c r="T570" s="60" t="str">
        <f>IF(P570&lt;&gt;"",
    IF(OR(O570="", Q570="", R570=""),
        "Fill all the required columns",
        IFERROR(
            IF(OR(
                AND(R570="Marine Protected", VLOOKUP(O570, Reference!$A$2:$D$34, 4, FALSE) &lt;= P570),
                AND(R570="General Use", VLOOKUP(O570, Reference!$A$2:$D$34, 3, FALSE) &lt;= P570)
            ),
                "Exceeded",
                "OK"
            ),
            "No Regulation defined"
        )
    ),
    ""
)</f>
        <v/>
      </c>
      <c r="AB570" s="62" t="str">
        <f t="shared" si="8"/>
        <v/>
      </c>
    </row>
    <row r="571" spans="3:28" x14ac:dyDescent="0.2">
      <c r="C571" s="69"/>
      <c r="D571" s="70"/>
      <c r="S571" s="34"/>
      <c r="T571" s="60" t="str">
        <f>IF(P571&lt;&gt;"",
    IF(OR(O571="", Q571="", R571=""),
        "Fill all the required columns",
        IFERROR(
            IF(OR(
                AND(R571="Marine Protected", VLOOKUP(O571, Reference!$A$2:$D$34, 4, FALSE) &lt;= P571),
                AND(R571="General Use", VLOOKUP(O571, Reference!$A$2:$D$34, 3, FALSE) &lt;= P571)
            ),
                "Exceeded",
                "OK"
            ),
            "No Regulation defined"
        )
    ),
    ""
)</f>
        <v/>
      </c>
      <c r="AB571" s="62" t="str">
        <f t="shared" si="8"/>
        <v/>
      </c>
    </row>
    <row r="572" spans="3:28" x14ac:dyDescent="0.2">
      <c r="C572" s="69"/>
      <c r="D572" s="70"/>
      <c r="S572" s="34"/>
      <c r="T572" s="60" t="str">
        <f>IF(P572&lt;&gt;"",
    IF(OR(O572="", Q572="", R572=""),
        "Fill all the required columns",
        IFERROR(
            IF(OR(
                AND(R572="Marine Protected", VLOOKUP(O572, Reference!$A$2:$D$34, 4, FALSE) &lt;= P572),
                AND(R572="General Use", VLOOKUP(O572, Reference!$A$2:$D$34, 3, FALSE) &lt;= P572)
            ),
                "Exceeded",
                "OK"
            ),
            "No Regulation defined"
        )
    ),
    ""
)</f>
        <v/>
      </c>
      <c r="AB572" s="62" t="str">
        <f t="shared" si="8"/>
        <v/>
      </c>
    </row>
    <row r="573" spans="3:28" x14ac:dyDescent="0.2">
      <c r="C573" s="69"/>
      <c r="D573" s="70"/>
      <c r="S573" s="34"/>
      <c r="T573" s="60" t="str">
        <f>IF(P573&lt;&gt;"",
    IF(OR(O573="", Q573="", R573=""),
        "Fill all the required columns",
        IFERROR(
            IF(OR(
                AND(R573="Marine Protected", VLOOKUP(O573, Reference!$A$2:$D$34, 4, FALSE) &lt;= P573),
                AND(R573="General Use", VLOOKUP(O573, Reference!$A$2:$D$34, 3, FALSE) &lt;= P573)
            ),
                "Exceeded",
                "OK"
            ),
            "No Regulation defined"
        )
    ),
    ""
)</f>
        <v/>
      </c>
      <c r="AB573" s="62" t="str">
        <f t="shared" si="8"/>
        <v/>
      </c>
    </row>
    <row r="574" spans="3:28" x14ac:dyDescent="0.2">
      <c r="C574" s="69"/>
      <c r="D574" s="70"/>
      <c r="S574" s="34"/>
      <c r="T574" s="60" t="str">
        <f>IF(P574&lt;&gt;"",
    IF(OR(O574="", Q574="", R574=""),
        "Fill all the required columns",
        IFERROR(
            IF(OR(
                AND(R574="Marine Protected", VLOOKUP(O574, Reference!$A$2:$D$34, 4, FALSE) &lt;= P574),
                AND(R574="General Use", VLOOKUP(O574, Reference!$A$2:$D$34, 3, FALSE) &lt;= P574)
            ),
                "Exceeded",
                "OK"
            ),
            "No Regulation defined"
        )
    ),
    ""
)</f>
        <v/>
      </c>
      <c r="AB574" s="62" t="str">
        <f t="shared" si="8"/>
        <v/>
      </c>
    </row>
    <row r="575" spans="3:28" x14ac:dyDescent="0.2">
      <c r="C575" s="69"/>
      <c r="D575" s="70"/>
      <c r="S575" s="34"/>
      <c r="T575" s="60" t="str">
        <f>IF(P575&lt;&gt;"",
    IF(OR(O575="", Q575="", R575=""),
        "Fill all the required columns",
        IFERROR(
            IF(OR(
                AND(R575="Marine Protected", VLOOKUP(O575, Reference!$A$2:$D$34, 4, FALSE) &lt;= P575),
                AND(R575="General Use", VLOOKUP(O575, Reference!$A$2:$D$34, 3, FALSE) &lt;= P575)
            ),
                "Exceeded",
                "OK"
            ),
            "No Regulation defined"
        )
    ),
    ""
)</f>
        <v/>
      </c>
      <c r="AB575" s="62" t="str">
        <f t="shared" si="8"/>
        <v/>
      </c>
    </row>
    <row r="576" spans="3:28" x14ac:dyDescent="0.2">
      <c r="C576" s="69"/>
      <c r="D576" s="70"/>
      <c r="S576" s="34"/>
      <c r="T576" s="60" t="str">
        <f>IF(P576&lt;&gt;"",
    IF(OR(O576="", Q576="", R576=""),
        "Fill all the required columns",
        IFERROR(
            IF(OR(
                AND(R576="Marine Protected", VLOOKUP(O576, Reference!$A$2:$D$34, 4, FALSE) &lt;= P576),
                AND(R576="General Use", VLOOKUP(O576, Reference!$A$2:$D$34, 3, FALSE) &lt;= P576)
            ),
                "Exceeded",
                "OK"
            ),
            "No Regulation defined"
        )
    ),
    ""
)</f>
        <v/>
      </c>
      <c r="AB576" s="62" t="str">
        <f t="shared" si="8"/>
        <v/>
      </c>
    </row>
    <row r="577" spans="3:28" x14ac:dyDescent="0.2">
      <c r="C577" s="69"/>
      <c r="D577" s="70"/>
      <c r="S577" s="34"/>
      <c r="T577" s="60" t="str">
        <f>IF(P577&lt;&gt;"",
    IF(OR(O577="", Q577="", R577=""),
        "Fill all the required columns",
        IFERROR(
            IF(OR(
                AND(R577="Marine Protected", VLOOKUP(O577, Reference!$A$2:$D$34, 4, FALSE) &lt;= P577),
                AND(R577="General Use", VLOOKUP(O577, Reference!$A$2:$D$34, 3, FALSE) &lt;= P577)
            ),
                "Exceeded",
                "OK"
            ),
            "No Regulation defined"
        )
    ),
    ""
)</f>
        <v/>
      </c>
      <c r="AB577" s="62" t="str">
        <f t="shared" si="8"/>
        <v/>
      </c>
    </row>
    <row r="578" spans="3:28" x14ac:dyDescent="0.2">
      <c r="C578" s="69"/>
      <c r="D578" s="70"/>
      <c r="S578" s="34"/>
      <c r="T578" s="60" t="str">
        <f>IF(P578&lt;&gt;"",
    IF(OR(O578="", Q578="", R578=""),
        "Fill all the required columns",
        IFERROR(
            IF(OR(
                AND(R578="Marine Protected", VLOOKUP(O578, Reference!$A$2:$D$34, 4, FALSE) &lt;= P578),
                AND(R578="General Use", VLOOKUP(O578, Reference!$A$2:$D$34, 3, FALSE) &lt;= P578)
            ),
                "Exceeded",
                "OK"
            ),
            "No Regulation defined"
        )
    ),
    ""
)</f>
        <v/>
      </c>
      <c r="AB578" s="62" t="str">
        <f t="shared" si="8"/>
        <v/>
      </c>
    </row>
    <row r="579" spans="3:28" x14ac:dyDescent="0.2">
      <c r="C579" s="69"/>
      <c r="D579" s="70"/>
      <c r="S579" s="34"/>
      <c r="T579" s="60" t="str">
        <f>IF(P579&lt;&gt;"",
    IF(OR(O579="", Q579="", R579=""),
        "Fill all the required columns",
        IFERROR(
            IF(OR(
                AND(R579="Marine Protected", VLOOKUP(O579, Reference!$A$2:$D$34, 4, FALSE) &lt;= P579),
                AND(R579="General Use", VLOOKUP(O579, Reference!$A$2:$D$34, 3, FALSE) &lt;= P579)
            ),
                "Exceeded",
                "OK"
            ),
            "No Regulation defined"
        )
    ),
    ""
)</f>
        <v/>
      </c>
      <c r="AB579" s="62" t="str">
        <f t="shared" ref="AB579:AB642" si="9">IF(COUNTA(A579, E579, F579, H579, I579, O579, P579, Q579, R579,S579) = 0, "", IF(COUNTA(A579, E579, F579, H579, I579, O579, P579, Q579, R579,S579) = 10, "OK", "Incomplete"))</f>
        <v/>
      </c>
    </row>
    <row r="580" spans="3:28" x14ac:dyDescent="0.2">
      <c r="C580" s="69"/>
      <c r="D580" s="70"/>
      <c r="S580" s="34"/>
      <c r="T580" s="60" t="str">
        <f>IF(P580&lt;&gt;"",
    IF(OR(O580="", Q580="", R580=""),
        "Fill all the required columns",
        IFERROR(
            IF(OR(
                AND(R580="Marine Protected", VLOOKUP(O580, Reference!$A$2:$D$34, 4, FALSE) &lt;= P580),
                AND(R580="General Use", VLOOKUP(O580, Reference!$A$2:$D$34, 3, FALSE) &lt;= P580)
            ),
                "Exceeded",
                "OK"
            ),
            "No Regulation defined"
        )
    ),
    ""
)</f>
        <v/>
      </c>
      <c r="AB580" s="62" t="str">
        <f t="shared" si="9"/>
        <v/>
      </c>
    </row>
    <row r="581" spans="3:28" x14ac:dyDescent="0.2">
      <c r="C581" s="69"/>
      <c r="D581" s="70"/>
      <c r="S581" s="34"/>
      <c r="T581" s="60" t="str">
        <f>IF(P581&lt;&gt;"",
    IF(OR(O581="", Q581="", R581=""),
        "Fill all the required columns",
        IFERROR(
            IF(OR(
                AND(R581="Marine Protected", VLOOKUP(O581, Reference!$A$2:$D$34, 4, FALSE) &lt;= P581),
                AND(R581="General Use", VLOOKUP(O581, Reference!$A$2:$D$34, 3, FALSE) &lt;= P581)
            ),
                "Exceeded",
                "OK"
            ),
            "No Regulation defined"
        )
    ),
    ""
)</f>
        <v/>
      </c>
      <c r="AB581" s="62" t="str">
        <f t="shared" si="9"/>
        <v/>
      </c>
    </row>
    <row r="582" spans="3:28" x14ac:dyDescent="0.2">
      <c r="C582" s="69"/>
      <c r="D582" s="70"/>
      <c r="S582" s="34"/>
      <c r="T582" s="60" t="str">
        <f>IF(P582&lt;&gt;"",
    IF(OR(O582="", Q582="", R582=""),
        "Fill all the required columns",
        IFERROR(
            IF(OR(
                AND(R582="Marine Protected", VLOOKUP(O582, Reference!$A$2:$D$34, 4, FALSE) &lt;= P582),
                AND(R582="General Use", VLOOKUP(O582, Reference!$A$2:$D$34, 3, FALSE) &lt;= P582)
            ),
                "Exceeded",
                "OK"
            ),
            "No Regulation defined"
        )
    ),
    ""
)</f>
        <v/>
      </c>
      <c r="AB582" s="62" t="str">
        <f t="shared" si="9"/>
        <v/>
      </c>
    </row>
    <row r="583" spans="3:28" x14ac:dyDescent="0.2">
      <c r="C583" s="69"/>
      <c r="D583" s="70"/>
      <c r="S583" s="34"/>
      <c r="T583" s="60" t="str">
        <f>IF(P583&lt;&gt;"",
    IF(OR(O583="", Q583="", R583=""),
        "Fill all the required columns",
        IFERROR(
            IF(OR(
                AND(R583="Marine Protected", VLOOKUP(O583, Reference!$A$2:$D$34, 4, FALSE) &lt;= P583),
                AND(R583="General Use", VLOOKUP(O583, Reference!$A$2:$D$34, 3, FALSE) &lt;= P583)
            ),
                "Exceeded",
                "OK"
            ),
            "No Regulation defined"
        )
    ),
    ""
)</f>
        <v/>
      </c>
      <c r="AB583" s="62" t="str">
        <f t="shared" si="9"/>
        <v/>
      </c>
    </row>
    <row r="584" spans="3:28" x14ac:dyDescent="0.2">
      <c r="C584" s="69"/>
      <c r="D584" s="70"/>
      <c r="S584" s="34"/>
      <c r="T584" s="60" t="str">
        <f>IF(P584&lt;&gt;"",
    IF(OR(O584="", Q584="", R584=""),
        "Fill all the required columns",
        IFERROR(
            IF(OR(
                AND(R584="Marine Protected", VLOOKUP(O584, Reference!$A$2:$D$34, 4, FALSE) &lt;= P584),
                AND(R584="General Use", VLOOKUP(O584, Reference!$A$2:$D$34, 3, FALSE) &lt;= P584)
            ),
                "Exceeded",
                "OK"
            ),
            "No Regulation defined"
        )
    ),
    ""
)</f>
        <v/>
      </c>
      <c r="AB584" s="62" t="str">
        <f t="shared" si="9"/>
        <v/>
      </c>
    </row>
    <row r="585" spans="3:28" x14ac:dyDescent="0.2">
      <c r="C585" s="69"/>
      <c r="D585" s="70"/>
      <c r="S585" s="34"/>
      <c r="T585" s="60" t="str">
        <f>IF(P585&lt;&gt;"",
    IF(OR(O585="", Q585="", R585=""),
        "Fill all the required columns",
        IFERROR(
            IF(OR(
                AND(R585="Marine Protected", VLOOKUP(O585, Reference!$A$2:$D$34, 4, FALSE) &lt;= P585),
                AND(R585="General Use", VLOOKUP(O585, Reference!$A$2:$D$34, 3, FALSE) &lt;= P585)
            ),
                "Exceeded",
                "OK"
            ),
            "No Regulation defined"
        )
    ),
    ""
)</f>
        <v/>
      </c>
      <c r="AB585" s="62" t="str">
        <f t="shared" si="9"/>
        <v/>
      </c>
    </row>
    <row r="586" spans="3:28" x14ac:dyDescent="0.2">
      <c r="C586" s="69"/>
      <c r="D586" s="70"/>
      <c r="S586" s="34"/>
      <c r="T586" s="60" t="str">
        <f>IF(P586&lt;&gt;"",
    IF(OR(O586="", Q586="", R586=""),
        "Fill all the required columns",
        IFERROR(
            IF(OR(
                AND(R586="Marine Protected", VLOOKUP(O586, Reference!$A$2:$D$34, 4, FALSE) &lt;= P586),
                AND(R586="General Use", VLOOKUP(O586, Reference!$A$2:$D$34, 3, FALSE) &lt;= P586)
            ),
                "Exceeded",
                "OK"
            ),
            "No Regulation defined"
        )
    ),
    ""
)</f>
        <v/>
      </c>
      <c r="AB586" s="62" t="str">
        <f t="shared" si="9"/>
        <v/>
      </c>
    </row>
    <row r="587" spans="3:28" x14ac:dyDescent="0.2">
      <c r="C587" s="69"/>
      <c r="D587" s="70"/>
      <c r="S587" s="34"/>
      <c r="T587" s="60" t="str">
        <f>IF(P587&lt;&gt;"",
    IF(OR(O587="", Q587="", R587=""),
        "Fill all the required columns",
        IFERROR(
            IF(OR(
                AND(R587="Marine Protected", VLOOKUP(O587, Reference!$A$2:$D$34, 4, FALSE) &lt;= P587),
                AND(R587="General Use", VLOOKUP(O587, Reference!$A$2:$D$34, 3, FALSE) &lt;= P587)
            ),
                "Exceeded",
                "OK"
            ),
            "No Regulation defined"
        )
    ),
    ""
)</f>
        <v/>
      </c>
      <c r="AB587" s="62" t="str">
        <f t="shared" si="9"/>
        <v/>
      </c>
    </row>
    <row r="588" spans="3:28" x14ac:dyDescent="0.2">
      <c r="C588" s="69"/>
      <c r="D588" s="70"/>
      <c r="S588" s="34"/>
      <c r="T588" s="60" t="str">
        <f>IF(P588&lt;&gt;"",
    IF(OR(O588="", Q588="", R588=""),
        "Fill all the required columns",
        IFERROR(
            IF(OR(
                AND(R588="Marine Protected", VLOOKUP(O588, Reference!$A$2:$D$34, 4, FALSE) &lt;= P588),
                AND(R588="General Use", VLOOKUP(O588, Reference!$A$2:$D$34, 3, FALSE) &lt;= P588)
            ),
                "Exceeded",
                "OK"
            ),
            "No Regulation defined"
        )
    ),
    ""
)</f>
        <v/>
      </c>
      <c r="AB588" s="62" t="str">
        <f t="shared" si="9"/>
        <v/>
      </c>
    </row>
    <row r="589" spans="3:28" x14ac:dyDescent="0.2">
      <c r="C589" s="69"/>
      <c r="D589" s="70"/>
      <c r="S589" s="34"/>
      <c r="T589" s="60" t="str">
        <f>IF(P589&lt;&gt;"",
    IF(OR(O589="", Q589="", R589=""),
        "Fill all the required columns",
        IFERROR(
            IF(OR(
                AND(R589="Marine Protected", VLOOKUP(O589, Reference!$A$2:$D$34, 4, FALSE) &lt;= P589),
                AND(R589="General Use", VLOOKUP(O589, Reference!$A$2:$D$34, 3, FALSE) &lt;= P589)
            ),
                "Exceeded",
                "OK"
            ),
            "No Regulation defined"
        )
    ),
    ""
)</f>
        <v/>
      </c>
      <c r="AB589" s="62" t="str">
        <f t="shared" si="9"/>
        <v/>
      </c>
    </row>
    <row r="590" spans="3:28" x14ac:dyDescent="0.2">
      <c r="C590" s="69"/>
      <c r="D590" s="70"/>
      <c r="S590" s="34"/>
      <c r="T590" s="60" t="str">
        <f>IF(P590&lt;&gt;"",
    IF(OR(O590="", Q590="", R590=""),
        "Fill all the required columns",
        IFERROR(
            IF(OR(
                AND(R590="Marine Protected", VLOOKUP(O590, Reference!$A$2:$D$34, 4, FALSE) &lt;= P590),
                AND(R590="General Use", VLOOKUP(O590, Reference!$A$2:$D$34, 3, FALSE) &lt;= P590)
            ),
                "Exceeded",
                "OK"
            ),
            "No Regulation defined"
        )
    ),
    ""
)</f>
        <v/>
      </c>
      <c r="AB590" s="62" t="str">
        <f t="shared" si="9"/>
        <v/>
      </c>
    </row>
    <row r="591" spans="3:28" x14ac:dyDescent="0.2">
      <c r="C591" s="69"/>
      <c r="D591" s="70"/>
      <c r="S591" s="34"/>
      <c r="T591" s="60" t="str">
        <f>IF(P591&lt;&gt;"",
    IF(OR(O591="", Q591="", R591=""),
        "Fill all the required columns",
        IFERROR(
            IF(OR(
                AND(R591="Marine Protected", VLOOKUP(O591, Reference!$A$2:$D$34, 4, FALSE) &lt;= P591),
                AND(R591="General Use", VLOOKUP(O591, Reference!$A$2:$D$34, 3, FALSE) &lt;= P591)
            ),
                "Exceeded",
                "OK"
            ),
            "No Regulation defined"
        )
    ),
    ""
)</f>
        <v/>
      </c>
      <c r="AB591" s="62" t="str">
        <f t="shared" si="9"/>
        <v/>
      </c>
    </row>
    <row r="592" spans="3:28" x14ac:dyDescent="0.2">
      <c r="C592" s="69"/>
      <c r="D592" s="70"/>
      <c r="S592" s="34"/>
      <c r="T592" s="60" t="str">
        <f>IF(P592&lt;&gt;"",
    IF(OR(O592="", Q592="", R592=""),
        "Fill all the required columns",
        IFERROR(
            IF(OR(
                AND(R592="Marine Protected", VLOOKUP(O592, Reference!$A$2:$D$34, 4, FALSE) &lt;= P592),
                AND(R592="General Use", VLOOKUP(O592, Reference!$A$2:$D$34, 3, FALSE) &lt;= P592)
            ),
                "Exceeded",
                "OK"
            ),
            "No Regulation defined"
        )
    ),
    ""
)</f>
        <v/>
      </c>
      <c r="AB592" s="62" t="str">
        <f t="shared" si="9"/>
        <v/>
      </c>
    </row>
    <row r="593" spans="3:28" x14ac:dyDescent="0.2">
      <c r="C593" s="69"/>
      <c r="D593" s="70"/>
      <c r="S593" s="34"/>
      <c r="T593" s="60" t="str">
        <f>IF(P593&lt;&gt;"",
    IF(OR(O593="", Q593="", R593=""),
        "Fill all the required columns",
        IFERROR(
            IF(OR(
                AND(R593="Marine Protected", VLOOKUP(O593, Reference!$A$2:$D$34, 4, FALSE) &lt;= P593),
                AND(R593="General Use", VLOOKUP(O593, Reference!$A$2:$D$34, 3, FALSE) &lt;= P593)
            ),
                "Exceeded",
                "OK"
            ),
            "No Regulation defined"
        )
    ),
    ""
)</f>
        <v/>
      </c>
      <c r="AB593" s="62" t="str">
        <f t="shared" si="9"/>
        <v/>
      </c>
    </row>
    <row r="594" spans="3:28" x14ac:dyDescent="0.2">
      <c r="C594" s="69"/>
      <c r="D594" s="70"/>
      <c r="S594" s="34"/>
      <c r="T594" s="60" t="str">
        <f>IF(P594&lt;&gt;"",
    IF(OR(O594="", Q594="", R594=""),
        "Fill all the required columns",
        IFERROR(
            IF(OR(
                AND(R594="Marine Protected", VLOOKUP(O594, Reference!$A$2:$D$34, 4, FALSE) &lt;= P594),
                AND(R594="General Use", VLOOKUP(O594, Reference!$A$2:$D$34, 3, FALSE) &lt;= P594)
            ),
                "Exceeded",
                "OK"
            ),
            "No Regulation defined"
        )
    ),
    ""
)</f>
        <v/>
      </c>
      <c r="AB594" s="62" t="str">
        <f t="shared" si="9"/>
        <v/>
      </c>
    </row>
    <row r="595" spans="3:28" x14ac:dyDescent="0.2">
      <c r="C595" s="69"/>
      <c r="D595" s="70"/>
      <c r="S595" s="34"/>
      <c r="T595" s="60" t="str">
        <f>IF(P595&lt;&gt;"",
    IF(OR(O595="", Q595="", R595=""),
        "Fill all the required columns",
        IFERROR(
            IF(OR(
                AND(R595="Marine Protected", VLOOKUP(O595, Reference!$A$2:$D$34, 4, FALSE) &lt;= P595),
                AND(R595="General Use", VLOOKUP(O595, Reference!$A$2:$D$34, 3, FALSE) &lt;= P595)
            ),
                "Exceeded",
                "OK"
            ),
            "No Regulation defined"
        )
    ),
    ""
)</f>
        <v/>
      </c>
      <c r="AB595" s="62" t="str">
        <f t="shared" si="9"/>
        <v/>
      </c>
    </row>
    <row r="596" spans="3:28" x14ac:dyDescent="0.2">
      <c r="C596" s="69"/>
      <c r="D596" s="70"/>
      <c r="S596" s="34"/>
      <c r="T596" s="60" t="str">
        <f>IF(P596&lt;&gt;"",
    IF(OR(O596="", Q596="", R596=""),
        "Fill all the required columns",
        IFERROR(
            IF(OR(
                AND(R596="Marine Protected", VLOOKUP(O596, Reference!$A$2:$D$34, 4, FALSE) &lt;= P596),
                AND(R596="General Use", VLOOKUP(O596, Reference!$A$2:$D$34, 3, FALSE) &lt;= P596)
            ),
                "Exceeded",
                "OK"
            ),
            "No Regulation defined"
        )
    ),
    ""
)</f>
        <v/>
      </c>
      <c r="AB596" s="62" t="str">
        <f t="shared" si="9"/>
        <v/>
      </c>
    </row>
    <row r="597" spans="3:28" x14ac:dyDescent="0.2">
      <c r="C597" s="69"/>
      <c r="D597" s="70"/>
      <c r="S597" s="34"/>
      <c r="T597" s="60" t="str">
        <f>IF(P597&lt;&gt;"",
    IF(OR(O597="", Q597="", R597=""),
        "Fill all the required columns",
        IFERROR(
            IF(OR(
                AND(R597="Marine Protected", VLOOKUP(O597, Reference!$A$2:$D$34, 4, FALSE) &lt;= P597),
                AND(R597="General Use", VLOOKUP(O597, Reference!$A$2:$D$34, 3, FALSE) &lt;= P597)
            ),
                "Exceeded",
                "OK"
            ),
            "No Regulation defined"
        )
    ),
    ""
)</f>
        <v/>
      </c>
      <c r="AB597" s="62" t="str">
        <f t="shared" si="9"/>
        <v/>
      </c>
    </row>
    <row r="598" spans="3:28" x14ac:dyDescent="0.2">
      <c r="C598" s="69"/>
      <c r="D598" s="70"/>
      <c r="S598" s="34"/>
      <c r="T598" s="60" t="str">
        <f>IF(P598&lt;&gt;"",
    IF(OR(O598="", Q598="", R598=""),
        "Fill all the required columns",
        IFERROR(
            IF(OR(
                AND(R598="Marine Protected", VLOOKUP(O598, Reference!$A$2:$D$34, 4, FALSE) &lt;= P598),
                AND(R598="General Use", VLOOKUP(O598, Reference!$A$2:$D$34, 3, FALSE) &lt;= P598)
            ),
                "Exceeded",
                "OK"
            ),
            "No Regulation defined"
        )
    ),
    ""
)</f>
        <v/>
      </c>
      <c r="AB598" s="62" t="str">
        <f t="shared" si="9"/>
        <v/>
      </c>
    </row>
    <row r="599" spans="3:28" x14ac:dyDescent="0.2">
      <c r="C599" s="69"/>
      <c r="D599" s="70"/>
      <c r="S599" s="34"/>
      <c r="T599" s="60" t="str">
        <f>IF(P599&lt;&gt;"",
    IF(OR(O599="", Q599="", R599=""),
        "Fill all the required columns",
        IFERROR(
            IF(OR(
                AND(R599="Marine Protected", VLOOKUP(O599, Reference!$A$2:$D$34, 4, FALSE) &lt;= P599),
                AND(R599="General Use", VLOOKUP(O599, Reference!$A$2:$D$34, 3, FALSE) &lt;= P599)
            ),
                "Exceeded",
                "OK"
            ),
            "No Regulation defined"
        )
    ),
    ""
)</f>
        <v/>
      </c>
      <c r="AB599" s="62" t="str">
        <f t="shared" si="9"/>
        <v/>
      </c>
    </row>
    <row r="600" spans="3:28" x14ac:dyDescent="0.2">
      <c r="C600" s="69"/>
      <c r="D600" s="70"/>
      <c r="S600" s="34"/>
      <c r="T600" s="60" t="str">
        <f>IF(P600&lt;&gt;"",
    IF(OR(O600="", Q600="", R600=""),
        "Fill all the required columns",
        IFERROR(
            IF(OR(
                AND(R600="Marine Protected", VLOOKUP(O600, Reference!$A$2:$D$34, 4, FALSE) &lt;= P600),
                AND(R600="General Use", VLOOKUP(O600, Reference!$A$2:$D$34, 3, FALSE) &lt;= P600)
            ),
                "Exceeded",
                "OK"
            ),
            "No Regulation defined"
        )
    ),
    ""
)</f>
        <v/>
      </c>
      <c r="AB600" s="62" t="str">
        <f t="shared" si="9"/>
        <v/>
      </c>
    </row>
    <row r="601" spans="3:28" x14ac:dyDescent="0.2">
      <c r="C601" s="69"/>
      <c r="D601" s="70"/>
      <c r="S601" s="34"/>
      <c r="T601" s="60" t="str">
        <f>IF(P601&lt;&gt;"",
    IF(OR(O601="", Q601="", R601=""),
        "Fill all the required columns",
        IFERROR(
            IF(OR(
                AND(R601="Marine Protected", VLOOKUP(O601, Reference!$A$2:$D$34, 4, FALSE) &lt;= P601),
                AND(R601="General Use", VLOOKUP(O601, Reference!$A$2:$D$34, 3, FALSE) &lt;= P601)
            ),
                "Exceeded",
                "OK"
            ),
            "No Regulation defined"
        )
    ),
    ""
)</f>
        <v/>
      </c>
      <c r="AB601" s="62" t="str">
        <f t="shared" si="9"/>
        <v/>
      </c>
    </row>
    <row r="602" spans="3:28" x14ac:dyDescent="0.2">
      <c r="C602" s="69"/>
      <c r="D602" s="70"/>
      <c r="S602" s="34"/>
      <c r="T602" s="60" t="str">
        <f>IF(P602&lt;&gt;"",
    IF(OR(O602="", Q602="", R602=""),
        "Fill all the required columns",
        IFERROR(
            IF(OR(
                AND(R602="Marine Protected", VLOOKUP(O602, Reference!$A$2:$D$34, 4, FALSE) &lt;= P602),
                AND(R602="General Use", VLOOKUP(O602, Reference!$A$2:$D$34, 3, FALSE) &lt;= P602)
            ),
                "Exceeded",
                "OK"
            ),
            "No Regulation defined"
        )
    ),
    ""
)</f>
        <v/>
      </c>
      <c r="AB602" s="62" t="str">
        <f t="shared" si="9"/>
        <v/>
      </c>
    </row>
    <row r="603" spans="3:28" x14ac:dyDescent="0.2">
      <c r="C603" s="69"/>
      <c r="D603" s="70"/>
      <c r="S603" s="34"/>
      <c r="T603" s="60" t="str">
        <f>IF(P603&lt;&gt;"",
    IF(OR(O603="", Q603="", R603=""),
        "Fill all the required columns",
        IFERROR(
            IF(OR(
                AND(R603="Marine Protected", VLOOKUP(O603, Reference!$A$2:$D$34, 4, FALSE) &lt;= P603),
                AND(R603="General Use", VLOOKUP(O603, Reference!$A$2:$D$34, 3, FALSE) &lt;= P603)
            ),
                "Exceeded",
                "OK"
            ),
            "No Regulation defined"
        )
    ),
    ""
)</f>
        <v/>
      </c>
      <c r="AB603" s="62" t="str">
        <f t="shared" si="9"/>
        <v/>
      </c>
    </row>
    <row r="604" spans="3:28" x14ac:dyDescent="0.2">
      <c r="C604" s="69"/>
      <c r="D604" s="70"/>
      <c r="S604" s="34"/>
      <c r="T604" s="60" t="str">
        <f>IF(P604&lt;&gt;"",
    IF(OR(O604="", Q604="", R604=""),
        "Fill all the required columns",
        IFERROR(
            IF(OR(
                AND(R604="Marine Protected", VLOOKUP(O604, Reference!$A$2:$D$34, 4, FALSE) &lt;= P604),
                AND(R604="General Use", VLOOKUP(O604, Reference!$A$2:$D$34, 3, FALSE) &lt;= P604)
            ),
                "Exceeded",
                "OK"
            ),
            "No Regulation defined"
        )
    ),
    ""
)</f>
        <v/>
      </c>
      <c r="AB604" s="62" t="str">
        <f t="shared" si="9"/>
        <v/>
      </c>
    </row>
    <row r="605" spans="3:28" x14ac:dyDescent="0.2">
      <c r="C605" s="69"/>
      <c r="D605" s="70"/>
      <c r="S605" s="34"/>
      <c r="T605" s="60" t="str">
        <f>IF(P605&lt;&gt;"",
    IF(OR(O605="", Q605="", R605=""),
        "Fill all the required columns",
        IFERROR(
            IF(OR(
                AND(R605="Marine Protected", VLOOKUP(O605, Reference!$A$2:$D$34, 4, FALSE) &lt;= P605),
                AND(R605="General Use", VLOOKUP(O605, Reference!$A$2:$D$34, 3, FALSE) &lt;= P605)
            ),
                "Exceeded",
                "OK"
            ),
            "No Regulation defined"
        )
    ),
    ""
)</f>
        <v/>
      </c>
      <c r="AB605" s="62" t="str">
        <f t="shared" si="9"/>
        <v/>
      </c>
    </row>
    <row r="606" spans="3:28" x14ac:dyDescent="0.2">
      <c r="C606" s="69"/>
      <c r="D606" s="70"/>
      <c r="S606" s="34"/>
      <c r="T606" s="60" t="str">
        <f>IF(P606&lt;&gt;"",
    IF(OR(O606="", Q606="", R606=""),
        "Fill all the required columns",
        IFERROR(
            IF(OR(
                AND(R606="Marine Protected", VLOOKUP(O606, Reference!$A$2:$D$34, 4, FALSE) &lt;= P606),
                AND(R606="General Use", VLOOKUP(O606, Reference!$A$2:$D$34, 3, FALSE) &lt;= P606)
            ),
                "Exceeded",
                "OK"
            ),
            "No Regulation defined"
        )
    ),
    ""
)</f>
        <v/>
      </c>
      <c r="AB606" s="62" t="str">
        <f t="shared" si="9"/>
        <v/>
      </c>
    </row>
    <row r="607" spans="3:28" x14ac:dyDescent="0.2">
      <c r="C607" s="69"/>
      <c r="D607" s="70"/>
      <c r="S607" s="34"/>
      <c r="T607" s="60" t="str">
        <f>IF(P607&lt;&gt;"",
    IF(OR(O607="", Q607="", R607=""),
        "Fill all the required columns",
        IFERROR(
            IF(OR(
                AND(R607="Marine Protected", VLOOKUP(O607, Reference!$A$2:$D$34, 4, FALSE) &lt;= P607),
                AND(R607="General Use", VLOOKUP(O607, Reference!$A$2:$D$34, 3, FALSE) &lt;= P607)
            ),
                "Exceeded",
                "OK"
            ),
            "No Regulation defined"
        )
    ),
    ""
)</f>
        <v/>
      </c>
      <c r="AB607" s="62" t="str">
        <f t="shared" si="9"/>
        <v/>
      </c>
    </row>
    <row r="608" spans="3:28" x14ac:dyDescent="0.2">
      <c r="C608" s="69"/>
      <c r="D608" s="70"/>
      <c r="S608" s="34"/>
      <c r="T608" s="60" t="str">
        <f>IF(P608&lt;&gt;"",
    IF(OR(O608="", Q608="", R608=""),
        "Fill all the required columns",
        IFERROR(
            IF(OR(
                AND(R608="Marine Protected", VLOOKUP(O608, Reference!$A$2:$D$34, 4, FALSE) &lt;= P608),
                AND(R608="General Use", VLOOKUP(O608, Reference!$A$2:$D$34, 3, FALSE) &lt;= P608)
            ),
                "Exceeded",
                "OK"
            ),
            "No Regulation defined"
        )
    ),
    ""
)</f>
        <v/>
      </c>
      <c r="AB608" s="62" t="str">
        <f t="shared" si="9"/>
        <v/>
      </c>
    </row>
    <row r="609" spans="3:28" x14ac:dyDescent="0.2">
      <c r="C609" s="69"/>
      <c r="D609" s="70"/>
      <c r="S609" s="34"/>
      <c r="T609" s="60" t="str">
        <f>IF(P609&lt;&gt;"",
    IF(OR(O609="", Q609="", R609=""),
        "Fill all the required columns",
        IFERROR(
            IF(OR(
                AND(R609="Marine Protected", VLOOKUP(O609, Reference!$A$2:$D$34, 4, FALSE) &lt;= P609),
                AND(R609="General Use", VLOOKUP(O609, Reference!$A$2:$D$34, 3, FALSE) &lt;= P609)
            ),
                "Exceeded",
                "OK"
            ),
            "No Regulation defined"
        )
    ),
    ""
)</f>
        <v/>
      </c>
      <c r="AB609" s="62" t="str">
        <f t="shared" si="9"/>
        <v/>
      </c>
    </row>
    <row r="610" spans="3:28" x14ac:dyDescent="0.2">
      <c r="C610" s="69"/>
      <c r="D610" s="70"/>
      <c r="S610" s="34"/>
      <c r="T610" s="60" t="str">
        <f>IF(P610&lt;&gt;"",
    IF(OR(O610="", Q610="", R610=""),
        "Fill all the required columns",
        IFERROR(
            IF(OR(
                AND(R610="Marine Protected", VLOOKUP(O610, Reference!$A$2:$D$34, 4, FALSE) &lt;= P610),
                AND(R610="General Use", VLOOKUP(O610, Reference!$A$2:$D$34, 3, FALSE) &lt;= P610)
            ),
                "Exceeded",
                "OK"
            ),
            "No Regulation defined"
        )
    ),
    ""
)</f>
        <v/>
      </c>
      <c r="AB610" s="62" t="str">
        <f t="shared" si="9"/>
        <v/>
      </c>
    </row>
    <row r="611" spans="3:28" x14ac:dyDescent="0.2">
      <c r="C611" s="69"/>
      <c r="D611" s="70"/>
      <c r="S611" s="34"/>
      <c r="T611" s="60" t="str">
        <f>IF(P611&lt;&gt;"",
    IF(OR(O611="", Q611="", R611=""),
        "Fill all the required columns",
        IFERROR(
            IF(OR(
                AND(R611="Marine Protected", VLOOKUP(O611, Reference!$A$2:$D$34, 4, FALSE) &lt;= P611),
                AND(R611="General Use", VLOOKUP(O611, Reference!$A$2:$D$34, 3, FALSE) &lt;= P611)
            ),
                "Exceeded",
                "OK"
            ),
            "No Regulation defined"
        )
    ),
    ""
)</f>
        <v/>
      </c>
      <c r="AB611" s="62" t="str">
        <f t="shared" si="9"/>
        <v/>
      </c>
    </row>
    <row r="612" spans="3:28" x14ac:dyDescent="0.2">
      <c r="C612" s="69"/>
      <c r="D612" s="70"/>
      <c r="S612" s="34"/>
      <c r="T612" s="60" t="str">
        <f>IF(P612&lt;&gt;"",
    IF(OR(O612="", Q612="", R612=""),
        "Fill all the required columns",
        IFERROR(
            IF(OR(
                AND(R612="Marine Protected", VLOOKUP(O612, Reference!$A$2:$D$34, 4, FALSE) &lt;= P612),
                AND(R612="General Use", VLOOKUP(O612, Reference!$A$2:$D$34, 3, FALSE) &lt;= P612)
            ),
                "Exceeded",
                "OK"
            ),
            "No Regulation defined"
        )
    ),
    ""
)</f>
        <v/>
      </c>
      <c r="AB612" s="62" t="str">
        <f t="shared" si="9"/>
        <v/>
      </c>
    </row>
    <row r="613" spans="3:28" x14ac:dyDescent="0.2">
      <c r="C613" s="69"/>
      <c r="D613" s="70"/>
      <c r="S613" s="34"/>
      <c r="T613" s="60" t="str">
        <f>IF(P613&lt;&gt;"",
    IF(OR(O613="", Q613="", R613=""),
        "Fill all the required columns",
        IFERROR(
            IF(OR(
                AND(R613="Marine Protected", VLOOKUP(O613, Reference!$A$2:$D$34, 4, FALSE) &lt;= P613),
                AND(R613="General Use", VLOOKUP(O613, Reference!$A$2:$D$34, 3, FALSE) &lt;= P613)
            ),
                "Exceeded",
                "OK"
            ),
            "No Regulation defined"
        )
    ),
    ""
)</f>
        <v/>
      </c>
      <c r="AB613" s="62" t="str">
        <f t="shared" si="9"/>
        <v/>
      </c>
    </row>
    <row r="614" spans="3:28" x14ac:dyDescent="0.2">
      <c r="C614" s="69"/>
      <c r="D614" s="70"/>
      <c r="S614" s="34"/>
      <c r="T614" s="60" t="str">
        <f>IF(P614&lt;&gt;"",
    IF(OR(O614="", Q614="", R614=""),
        "Fill all the required columns",
        IFERROR(
            IF(OR(
                AND(R614="Marine Protected", VLOOKUP(O614, Reference!$A$2:$D$34, 4, FALSE) &lt;= P614),
                AND(R614="General Use", VLOOKUP(O614, Reference!$A$2:$D$34, 3, FALSE) &lt;= P614)
            ),
                "Exceeded",
                "OK"
            ),
            "No Regulation defined"
        )
    ),
    ""
)</f>
        <v/>
      </c>
      <c r="AB614" s="62" t="str">
        <f t="shared" si="9"/>
        <v/>
      </c>
    </row>
    <row r="615" spans="3:28" x14ac:dyDescent="0.2">
      <c r="C615" s="69"/>
      <c r="D615" s="70"/>
      <c r="S615" s="34"/>
      <c r="T615" s="60" t="str">
        <f>IF(P615&lt;&gt;"",
    IF(OR(O615="", Q615="", R615=""),
        "Fill all the required columns",
        IFERROR(
            IF(OR(
                AND(R615="Marine Protected", VLOOKUP(O615, Reference!$A$2:$D$34, 4, FALSE) &lt;= P615),
                AND(R615="General Use", VLOOKUP(O615, Reference!$A$2:$D$34, 3, FALSE) &lt;= P615)
            ),
                "Exceeded",
                "OK"
            ),
            "No Regulation defined"
        )
    ),
    ""
)</f>
        <v/>
      </c>
      <c r="AB615" s="62" t="str">
        <f t="shared" si="9"/>
        <v/>
      </c>
    </row>
    <row r="616" spans="3:28" x14ac:dyDescent="0.2">
      <c r="C616" s="69"/>
      <c r="D616" s="70"/>
      <c r="S616" s="34"/>
      <c r="T616" s="60" t="str">
        <f>IF(P616&lt;&gt;"",
    IF(OR(O616="", Q616="", R616=""),
        "Fill all the required columns",
        IFERROR(
            IF(OR(
                AND(R616="Marine Protected", VLOOKUP(O616, Reference!$A$2:$D$34, 4, FALSE) &lt;= P616),
                AND(R616="General Use", VLOOKUP(O616, Reference!$A$2:$D$34, 3, FALSE) &lt;= P616)
            ),
                "Exceeded",
                "OK"
            ),
            "No Regulation defined"
        )
    ),
    ""
)</f>
        <v/>
      </c>
      <c r="AB616" s="62" t="str">
        <f t="shared" si="9"/>
        <v/>
      </c>
    </row>
    <row r="617" spans="3:28" x14ac:dyDescent="0.2">
      <c r="C617" s="69"/>
      <c r="D617" s="70"/>
      <c r="S617" s="34"/>
      <c r="T617" s="60" t="str">
        <f>IF(P617&lt;&gt;"",
    IF(OR(O617="", Q617="", R617=""),
        "Fill all the required columns",
        IFERROR(
            IF(OR(
                AND(R617="Marine Protected", VLOOKUP(O617, Reference!$A$2:$D$34, 4, FALSE) &lt;= P617),
                AND(R617="General Use", VLOOKUP(O617, Reference!$A$2:$D$34, 3, FALSE) &lt;= P617)
            ),
                "Exceeded",
                "OK"
            ),
            "No Regulation defined"
        )
    ),
    ""
)</f>
        <v/>
      </c>
      <c r="AB617" s="62" t="str">
        <f t="shared" si="9"/>
        <v/>
      </c>
    </row>
    <row r="618" spans="3:28" x14ac:dyDescent="0.2">
      <c r="C618" s="69"/>
      <c r="D618" s="70"/>
      <c r="S618" s="34"/>
      <c r="T618" s="60" t="str">
        <f>IF(P618&lt;&gt;"",
    IF(OR(O618="", Q618="", R618=""),
        "Fill all the required columns",
        IFERROR(
            IF(OR(
                AND(R618="Marine Protected", VLOOKUP(O618, Reference!$A$2:$D$34, 4, FALSE) &lt;= P618),
                AND(R618="General Use", VLOOKUP(O618, Reference!$A$2:$D$34, 3, FALSE) &lt;= P618)
            ),
                "Exceeded",
                "OK"
            ),
            "No Regulation defined"
        )
    ),
    ""
)</f>
        <v/>
      </c>
      <c r="AB618" s="62" t="str">
        <f t="shared" si="9"/>
        <v/>
      </c>
    </row>
    <row r="619" spans="3:28" x14ac:dyDescent="0.2">
      <c r="C619" s="69"/>
      <c r="D619" s="70"/>
      <c r="S619" s="34"/>
      <c r="T619" s="60" t="str">
        <f>IF(P619&lt;&gt;"",
    IF(OR(O619="", Q619="", R619=""),
        "Fill all the required columns",
        IFERROR(
            IF(OR(
                AND(R619="Marine Protected", VLOOKUP(O619, Reference!$A$2:$D$34, 4, FALSE) &lt;= P619),
                AND(R619="General Use", VLOOKUP(O619, Reference!$A$2:$D$34, 3, FALSE) &lt;= P619)
            ),
                "Exceeded",
                "OK"
            ),
            "No Regulation defined"
        )
    ),
    ""
)</f>
        <v/>
      </c>
      <c r="AB619" s="62" t="str">
        <f t="shared" si="9"/>
        <v/>
      </c>
    </row>
    <row r="620" spans="3:28" x14ac:dyDescent="0.2">
      <c r="C620" s="69"/>
      <c r="D620" s="70"/>
      <c r="S620" s="34"/>
      <c r="T620" s="60" t="str">
        <f>IF(P620&lt;&gt;"",
    IF(OR(O620="", Q620="", R620=""),
        "Fill all the required columns",
        IFERROR(
            IF(OR(
                AND(R620="Marine Protected", VLOOKUP(O620, Reference!$A$2:$D$34, 4, FALSE) &lt;= P620),
                AND(R620="General Use", VLOOKUP(O620, Reference!$A$2:$D$34, 3, FALSE) &lt;= P620)
            ),
                "Exceeded",
                "OK"
            ),
            "No Regulation defined"
        )
    ),
    ""
)</f>
        <v/>
      </c>
      <c r="AB620" s="62" t="str">
        <f t="shared" si="9"/>
        <v/>
      </c>
    </row>
    <row r="621" spans="3:28" x14ac:dyDescent="0.2">
      <c r="C621" s="69"/>
      <c r="D621" s="70"/>
      <c r="S621" s="34"/>
      <c r="T621" s="60" t="str">
        <f>IF(P621&lt;&gt;"",
    IF(OR(O621="", Q621="", R621=""),
        "Fill all the required columns",
        IFERROR(
            IF(OR(
                AND(R621="Marine Protected", VLOOKUP(O621, Reference!$A$2:$D$34, 4, FALSE) &lt;= P621),
                AND(R621="General Use", VLOOKUP(O621, Reference!$A$2:$D$34, 3, FALSE) &lt;= P621)
            ),
                "Exceeded",
                "OK"
            ),
            "No Regulation defined"
        )
    ),
    ""
)</f>
        <v/>
      </c>
      <c r="AB621" s="62" t="str">
        <f t="shared" si="9"/>
        <v/>
      </c>
    </row>
    <row r="622" spans="3:28" x14ac:dyDescent="0.2">
      <c r="C622" s="69"/>
      <c r="D622" s="70"/>
      <c r="S622" s="34"/>
      <c r="T622" s="60" t="str">
        <f>IF(P622&lt;&gt;"",
    IF(OR(O622="", Q622="", R622=""),
        "Fill all the required columns",
        IFERROR(
            IF(OR(
                AND(R622="Marine Protected", VLOOKUP(O622, Reference!$A$2:$D$34, 4, FALSE) &lt;= P622),
                AND(R622="General Use", VLOOKUP(O622, Reference!$A$2:$D$34, 3, FALSE) &lt;= P622)
            ),
                "Exceeded",
                "OK"
            ),
            "No Regulation defined"
        )
    ),
    ""
)</f>
        <v/>
      </c>
      <c r="AB622" s="62" t="str">
        <f t="shared" si="9"/>
        <v/>
      </c>
    </row>
    <row r="623" spans="3:28" x14ac:dyDescent="0.2">
      <c r="C623" s="69"/>
      <c r="D623" s="70"/>
      <c r="S623" s="34"/>
      <c r="T623" s="60" t="str">
        <f>IF(P623&lt;&gt;"",
    IF(OR(O623="", Q623="", R623=""),
        "Fill all the required columns",
        IFERROR(
            IF(OR(
                AND(R623="Marine Protected", VLOOKUP(O623, Reference!$A$2:$D$34, 4, FALSE) &lt;= P623),
                AND(R623="General Use", VLOOKUP(O623, Reference!$A$2:$D$34, 3, FALSE) &lt;= P623)
            ),
                "Exceeded",
                "OK"
            ),
            "No Regulation defined"
        )
    ),
    ""
)</f>
        <v/>
      </c>
      <c r="AB623" s="62" t="str">
        <f t="shared" si="9"/>
        <v/>
      </c>
    </row>
    <row r="624" spans="3:28" x14ac:dyDescent="0.2">
      <c r="C624" s="69"/>
      <c r="D624" s="70"/>
      <c r="S624" s="34"/>
      <c r="T624" s="60" t="str">
        <f>IF(P624&lt;&gt;"",
    IF(OR(O624="", Q624="", R624=""),
        "Fill all the required columns",
        IFERROR(
            IF(OR(
                AND(R624="Marine Protected", VLOOKUP(O624, Reference!$A$2:$D$34, 4, FALSE) &lt;= P624),
                AND(R624="General Use", VLOOKUP(O624, Reference!$A$2:$D$34, 3, FALSE) &lt;= P624)
            ),
                "Exceeded",
                "OK"
            ),
            "No Regulation defined"
        )
    ),
    ""
)</f>
        <v/>
      </c>
      <c r="AB624" s="62" t="str">
        <f t="shared" si="9"/>
        <v/>
      </c>
    </row>
    <row r="625" spans="3:28" x14ac:dyDescent="0.2">
      <c r="C625" s="69"/>
      <c r="D625" s="70"/>
      <c r="S625" s="34"/>
      <c r="T625" s="60" t="str">
        <f>IF(P625&lt;&gt;"",
    IF(OR(O625="", Q625="", R625=""),
        "Fill all the required columns",
        IFERROR(
            IF(OR(
                AND(R625="Marine Protected", VLOOKUP(O625, Reference!$A$2:$D$34, 4, FALSE) &lt;= P625),
                AND(R625="General Use", VLOOKUP(O625, Reference!$A$2:$D$34, 3, FALSE) &lt;= P625)
            ),
                "Exceeded",
                "OK"
            ),
            "No Regulation defined"
        )
    ),
    ""
)</f>
        <v/>
      </c>
      <c r="AB625" s="62" t="str">
        <f t="shared" si="9"/>
        <v/>
      </c>
    </row>
    <row r="626" spans="3:28" x14ac:dyDescent="0.2">
      <c r="C626" s="69"/>
      <c r="D626" s="70"/>
      <c r="S626" s="34"/>
      <c r="T626" s="60" t="str">
        <f>IF(P626&lt;&gt;"",
    IF(OR(O626="", Q626="", R626=""),
        "Fill all the required columns",
        IFERROR(
            IF(OR(
                AND(R626="Marine Protected", VLOOKUP(O626, Reference!$A$2:$D$34, 4, FALSE) &lt;= P626),
                AND(R626="General Use", VLOOKUP(O626, Reference!$A$2:$D$34, 3, FALSE) &lt;= P626)
            ),
                "Exceeded",
                "OK"
            ),
            "No Regulation defined"
        )
    ),
    ""
)</f>
        <v/>
      </c>
      <c r="AB626" s="62" t="str">
        <f t="shared" si="9"/>
        <v/>
      </c>
    </row>
    <row r="627" spans="3:28" x14ac:dyDescent="0.2">
      <c r="C627" s="69"/>
      <c r="D627" s="70"/>
      <c r="S627" s="34"/>
      <c r="T627" s="60" t="str">
        <f>IF(P627&lt;&gt;"",
    IF(OR(O627="", Q627="", R627=""),
        "Fill all the required columns",
        IFERROR(
            IF(OR(
                AND(R627="Marine Protected", VLOOKUP(O627, Reference!$A$2:$D$34, 4, FALSE) &lt;= P627),
                AND(R627="General Use", VLOOKUP(O627, Reference!$A$2:$D$34, 3, FALSE) &lt;= P627)
            ),
                "Exceeded",
                "OK"
            ),
            "No Regulation defined"
        )
    ),
    ""
)</f>
        <v/>
      </c>
      <c r="AB627" s="62" t="str">
        <f t="shared" si="9"/>
        <v/>
      </c>
    </row>
    <row r="628" spans="3:28" x14ac:dyDescent="0.2">
      <c r="C628" s="69"/>
      <c r="D628" s="70"/>
      <c r="S628" s="34"/>
      <c r="T628" s="60" t="str">
        <f>IF(P628&lt;&gt;"",
    IF(OR(O628="", Q628="", R628=""),
        "Fill all the required columns",
        IFERROR(
            IF(OR(
                AND(R628="Marine Protected", VLOOKUP(O628, Reference!$A$2:$D$34, 4, FALSE) &lt;= P628),
                AND(R628="General Use", VLOOKUP(O628, Reference!$A$2:$D$34, 3, FALSE) &lt;= P628)
            ),
                "Exceeded",
                "OK"
            ),
            "No Regulation defined"
        )
    ),
    ""
)</f>
        <v/>
      </c>
      <c r="AB628" s="62" t="str">
        <f t="shared" si="9"/>
        <v/>
      </c>
    </row>
    <row r="629" spans="3:28" x14ac:dyDescent="0.2">
      <c r="C629" s="69"/>
      <c r="D629" s="70"/>
      <c r="S629" s="34"/>
      <c r="T629" s="60" t="str">
        <f>IF(P629&lt;&gt;"",
    IF(OR(O629="", Q629="", R629=""),
        "Fill all the required columns",
        IFERROR(
            IF(OR(
                AND(R629="Marine Protected", VLOOKUP(O629, Reference!$A$2:$D$34, 4, FALSE) &lt;= P629),
                AND(R629="General Use", VLOOKUP(O629, Reference!$A$2:$D$34, 3, FALSE) &lt;= P629)
            ),
                "Exceeded",
                "OK"
            ),
            "No Regulation defined"
        )
    ),
    ""
)</f>
        <v/>
      </c>
      <c r="AB629" s="62" t="str">
        <f t="shared" si="9"/>
        <v/>
      </c>
    </row>
    <row r="630" spans="3:28" x14ac:dyDescent="0.2">
      <c r="C630" s="69"/>
      <c r="D630" s="70"/>
      <c r="S630" s="34"/>
      <c r="T630" s="60" t="str">
        <f>IF(P630&lt;&gt;"",
    IF(OR(O630="", Q630="", R630=""),
        "Fill all the required columns",
        IFERROR(
            IF(OR(
                AND(R630="Marine Protected", VLOOKUP(O630, Reference!$A$2:$D$34, 4, FALSE) &lt;= P630),
                AND(R630="General Use", VLOOKUP(O630, Reference!$A$2:$D$34, 3, FALSE) &lt;= P630)
            ),
                "Exceeded",
                "OK"
            ),
            "No Regulation defined"
        )
    ),
    ""
)</f>
        <v/>
      </c>
      <c r="AB630" s="62" t="str">
        <f t="shared" si="9"/>
        <v/>
      </c>
    </row>
    <row r="631" spans="3:28" x14ac:dyDescent="0.2">
      <c r="C631" s="69"/>
      <c r="D631" s="70"/>
      <c r="S631" s="34"/>
      <c r="T631" s="60" t="str">
        <f>IF(P631&lt;&gt;"",
    IF(OR(O631="", Q631="", R631=""),
        "Fill all the required columns",
        IFERROR(
            IF(OR(
                AND(R631="Marine Protected", VLOOKUP(O631, Reference!$A$2:$D$34, 4, FALSE) &lt;= P631),
                AND(R631="General Use", VLOOKUP(O631, Reference!$A$2:$D$34, 3, FALSE) &lt;= P631)
            ),
                "Exceeded",
                "OK"
            ),
            "No Regulation defined"
        )
    ),
    ""
)</f>
        <v/>
      </c>
      <c r="AB631" s="62" t="str">
        <f t="shared" si="9"/>
        <v/>
      </c>
    </row>
    <row r="632" spans="3:28" x14ac:dyDescent="0.2">
      <c r="C632" s="69"/>
      <c r="D632" s="70"/>
      <c r="S632" s="34"/>
      <c r="T632" s="60" t="str">
        <f>IF(P632&lt;&gt;"",
    IF(OR(O632="", Q632="", R632=""),
        "Fill all the required columns",
        IFERROR(
            IF(OR(
                AND(R632="Marine Protected", VLOOKUP(O632, Reference!$A$2:$D$34, 4, FALSE) &lt;= P632),
                AND(R632="General Use", VLOOKUP(O632, Reference!$A$2:$D$34, 3, FALSE) &lt;= P632)
            ),
                "Exceeded",
                "OK"
            ),
            "No Regulation defined"
        )
    ),
    ""
)</f>
        <v/>
      </c>
      <c r="AB632" s="62" t="str">
        <f t="shared" si="9"/>
        <v/>
      </c>
    </row>
    <row r="633" spans="3:28" x14ac:dyDescent="0.2">
      <c r="C633" s="69"/>
      <c r="D633" s="70"/>
      <c r="S633" s="34"/>
      <c r="T633" s="60" t="str">
        <f>IF(P633&lt;&gt;"",
    IF(OR(O633="", Q633="", R633=""),
        "Fill all the required columns",
        IFERROR(
            IF(OR(
                AND(R633="Marine Protected", VLOOKUP(O633, Reference!$A$2:$D$34, 4, FALSE) &lt;= P633),
                AND(R633="General Use", VLOOKUP(O633, Reference!$A$2:$D$34, 3, FALSE) &lt;= P633)
            ),
                "Exceeded",
                "OK"
            ),
            "No Regulation defined"
        )
    ),
    ""
)</f>
        <v/>
      </c>
      <c r="AB633" s="62" t="str">
        <f t="shared" si="9"/>
        <v/>
      </c>
    </row>
    <row r="634" spans="3:28" x14ac:dyDescent="0.2">
      <c r="C634" s="69"/>
      <c r="D634" s="70"/>
      <c r="S634" s="34"/>
      <c r="T634" s="60" t="str">
        <f>IF(P634&lt;&gt;"",
    IF(OR(O634="", Q634="", R634=""),
        "Fill all the required columns",
        IFERROR(
            IF(OR(
                AND(R634="Marine Protected", VLOOKUP(O634, Reference!$A$2:$D$34, 4, FALSE) &lt;= P634),
                AND(R634="General Use", VLOOKUP(O634, Reference!$A$2:$D$34, 3, FALSE) &lt;= P634)
            ),
                "Exceeded",
                "OK"
            ),
            "No Regulation defined"
        )
    ),
    ""
)</f>
        <v/>
      </c>
      <c r="AB634" s="62" t="str">
        <f t="shared" si="9"/>
        <v/>
      </c>
    </row>
    <row r="635" spans="3:28" x14ac:dyDescent="0.2">
      <c r="C635" s="69"/>
      <c r="D635" s="70"/>
      <c r="S635" s="34"/>
      <c r="T635" s="60" t="str">
        <f>IF(P635&lt;&gt;"",
    IF(OR(O635="", Q635="", R635=""),
        "Fill all the required columns",
        IFERROR(
            IF(OR(
                AND(R635="Marine Protected", VLOOKUP(O635, Reference!$A$2:$D$34, 4, FALSE) &lt;= P635),
                AND(R635="General Use", VLOOKUP(O635, Reference!$A$2:$D$34, 3, FALSE) &lt;= P635)
            ),
                "Exceeded",
                "OK"
            ),
            "No Regulation defined"
        )
    ),
    ""
)</f>
        <v/>
      </c>
      <c r="AB635" s="62" t="str">
        <f t="shared" si="9"/>
        <v/>
      </c>
    </row>
    <row r="636" spans="3:28" x14ac:dyDescent="0.2">
      <c r="C636" s="69"/>
      <c r="D636" s="70"/>
      <c r="S636" s="34"/>
      <c r="T636" s="60" t="str">
        <f>IF(P636&lt;&gt;"",
    IF(OR(O636="", Q636="", R636=""),
        "Fill all the required columns",
        IFERROR(
            IF(OR(
                AND(R636="Marine Protected", VLOOKUP(O636, Reference!$A$2:$D$34, 4, FALSE) &lt;= P636),
                AND(R636="General Use", VLOOKUP(O636, Reference!$A$2:$D$34, 3, FALSE) &lt;= P636)
            ),
                "Exceeded",
                "OK"
            ),
            "No Regulation defined"
        )
    ),
    ""
)</f>
        <v/>
      </c>
      <c r="AB636" s="62" t="str">
        <f t="shared" si="9"/>
        <v/>
      </c>
    </row>
    <row r="637" spans="3:28" x14ac:dyDescent="0.2">
      <c r="C637" s="69"/>
      <c r="D637" s="70"/>
      <c r="S637" s="34"/>
      <c r="T637" s="60" t="str">
        <f>IF(P637&lt;&gt;"",
    IF(OR(O637="", Q637="", R637=""),
        "Fill all the required columns",
        IFERROR(
            IF(OR(
                AND(R637="Marine Protected", VLOOKUP(O637, Reference!$A$2:$D$34, 4, FALSE) &lt;= P637),
                AND(R637="General Use", VLOOKUP(O637, Reference!$A$2:$D$34, 3, FALSE) &lt;= P637)
            ),
                "Exceeded",
                "OK"
            ),
            "No Regulation defined"
        )
    ),
    ""
)</f>
        <v/>
      </c>
      <c r="AB637" s="62" t="str">
        <f t="shared" si="9"/>
        <v/>
      </c>
    </row>
    <row r="638" spans="3:28" x14ac:dyDescent="0.2">
      <c r="C638" s="69"/>
      <c r="D638" s="70"/>
      <c r="S638" s="34"/>
      <c r="T638" s="60" t="str">
        <f>IF(P638&lt;&gt;"",
    IF(OR(O638="", Q638="", R638=""),
        "Fill all the required columns",
        IFERROR(
            IF(OR(
                AND(R638="Marine Protected", VLOOKUP(O638, Reference!$A$2:$D$34, 4, FALSE) &lt;= P638),
                AND(R638="General Use", VLOOKUP(O638, Reference!$A$2:$D$34, 3, FALSE) &lt;= P638)
            ),
                "Exceeded",
                "OK"
            ),
            "No Regulation defined"
        )
    ),
    ""
)</f>
        <v/>
      </c>
      <c r="AB638" s="62" t="str">
        <f t="shared" si="9"/>
        <v/>
      </c>
    </row>
    <row r="639" spans="3:28" x14ac:dyDescent="0.2">
      <c r="C639" s="69"/>
      <c r="D639" s="70"/>
      <c r="S639" s="34"/>
      <c r="T639" s="60" t="str">
        <f>IF(P639&lt;&gt;"",
    IF(OR(O639="", Q639="", R639=""),
        "Fill all the required columns",
        IFERROR(
            IF(OR(
                AND(R639="Marine Protected", VLOOKUP(O639, Reference!$A$2:$D$34, 4, FALSE) &lt;= P639),
                AND(R639="General Use", VLOOKUP(O639, Reference!$A$2:$D$34, 3, FALSE) &lt;= P639)
            ),
                "Exceeded",
                "OK"
            ),
            "No Regulation defined"
        )
    ),
    ""
)</f>
        <v/>
      </c>
      <c r="AB639" s="62" t="str">
        <f t="shared" si="9"/>
        <v/>
      </c>
    </row>
    <row r="640" spans="3:28" x14ac:dyDescent="0.2">
      <c r="C640" s="69"/>
      <c r="D640" s="70"/>
      <c r="S640" s="34"/>
      <c r="T640" s="60" t="str">
        <f>IF(P640&lt;&gt;"",
    IF(OR(O640="", Q640="", R640=""),
        "Fill all the required columns",
        IFERROR(
            IF(OR(
                AND(R640="Marine Protected", VLOOKUP(O640, Reference!$A$2:$D$34, 4, FALSE) &lt;= P640),
                AND(R640="General Use", VLOOKUP(O640, Reference!$A$2:$D$34, 3, FALSE) &lt;= P640)
            ),
                "Exceeded",
                "OK"
            ),
            "No Regulation defined"
        )
    ),
    ""
)</f>
        <v/>
      </c>
      <c r="AB640" s="62" t="str">
        <f t="shared" si="9"/>
        <v/>
      </c>
    </row>
    <row r="641" spans="3:28" x14ac:dyDescent="0.2">
      <c r="C641" s="69"/>
      <c r="D641" s="70"/>
      <c r="S641" s="34"/>
      <c r="T641" s="60" t="str">
        <f>IF(P641&lt;&gt;"",
    IF(OR(O641="", Q641="", R641=""),
        "Fill all the required columns",
        IFERROR(
            IF(OR(
                AND(R641="Marine Protected", VLOOKUP(O641, Reference!$A$2:$D$34, 4, FALSE) &lt;= P641),
                AND(R641="General Use", VLOOKUP(O641, Reference!$A$2:$D$34, 3, FALSE) &lt;= P641)
            ),
                "Exceeded",
                "OK"
            ),
            "No Regulation defined"
        )
    ),
    ""
)</f>
        <v/>
      </c>
      <c r="AB641" s="62" t="str">
        <f t="shared" si="9"/>
        <v/>
      </c>
    </row>
    <row r="642" spans="3:28" x14ac:dyDescent="0.2">
      <c r="C642" s="69"/>
      <c r="D642" s="70"/>
      <c r="S642" s="34"/>
      <c r="T642" s="60" t="str">
        <f>IF(P642&lt;&gt;"",
    IF(OR(O642="", Q642="", R642=""),
        "Fill all the required columns",
        IFERROR(
            IF(OR(
                AND(R642="Marine Protected", VLOOKUP(O642, Reference!$A$2:$D$34, 4, FALSE) &lt;= P642),
                AND(R642="General Use", VLOOKUP(O642, Reference!$A$2:$D$34, 3, FALSE) &lt;= P642)
            ),
                "Exceeded",
                "OK"
            ),
            "No Regulation defined"
        )
    ),
    ""
)</f>
        <v/>
      </c>
      <c r="AB642" s="62" t="str">
        <f t="shared" si="9"/>
        <v/>
      </c>
    </row>
    <row r="643" spans="3:28" x14ac:dyDescent="0.2">
      <c r="C643" s="69"/>
      <c r="D643" s="70"/>
      <c r="S643" s="34"/>
      <c r="T643" s="60" t="str">
        <f>IF(P643&lt;&gt;"",
    IF(OR(O643="", Q643="", R643=""),
        "Fill all the required columns",
        IFERROR(
            IF(OR(
                AND(R643="Marine Protected", VLOOKUP(O643, Reference!$A$2:$D$34, 4, FALSE) &lt;= P643),
                AND(R643="General Use", VLOOKUP(O643, Reference!$A$2:$D$34, 3, FALSE) &lt;= P643)
            ),
                "Exceeded",
                "OK"
            ),
            "No Regulation defined"
        )
    ),
    ""
)</f>
        <v/>
      </c>
      <c r="AB643" s="62" t="str">
        <f t="shared" ref="AB643:AB706" si="10">IF(COUNTA(A643, E643, F643, H643, I643, O643, P643, Q643, R643,S643) = 0, "", IF(COUNTA(A643, E643, F643, H643, I643, O643, P643, Q643, R643,S643) = 10, "OK", "Incomplete"))</f>
        <v/>
      </c>
    </row>
    <row r="644" spans="3:28" x14ac:dyDescent="0.2">
      <c r="C644" s="69"/>
      <c r="D644" s="70"/>
      <c r="S644" s="34"/>
      <c r="T644" s="60" t="str">
        <f>IF(P644&lt;&gt;"",
    IF(OR(O644="", Q644="", R644=""),
        "Fill all the required columns",
        IFERROR(
            IF(OR(
                AND(R644="Marine Protected", VLOOKUP(O644, Reference!$A$2:$D$34, 4, FALSE) &lt;= P644),
                AND(R644="General Use", VLOOKUP(O644, Reference!$A$2:$D$34, 3, FALSE) &lt;= P644)
            ),
                "Exceeded",
                "OK"
            ),
            "No Regulation defined"
        )
    ),
    ""
)</f>
        <v/>
      </c>
      <c r="AB644" s="62" t="str">
        <f t="shared" si="10"/>
        <v/>
      </c>
    </row>
    <row r="645" spans="3:28" x14ac:dyDescent="0.2">
      <c r="C645" s="69"/>
      <c r="D645" s="70"/>
      <c r="S645" s="34"/>
      <c r="T645" s="60" t="str">
        <f>IF(P645&lt;&gt;"",
    IF(OR(O645="", Q645="", R645=""),
        "Fill all the required columns",
        IFERROR(
            IF(OR(
                AND(R645="Marine Protected", VLOOKUP(O645, Reference!$A$2:$D$34, 4, FALSE) &lt;= P645),
                AND(R645="General Use", VLOOKUP(O645, Reference!$A$2:$D$34, 3, FALSE) &lt;= P645)
            ),
                "Exceeded",
                "OK"
            ),
            "No Regulation defined"
        )
    ),
    ""
)</f>
        <v/>
      </c>
      <c r="AB645" s="62" t="str">
        <f t="shared" si="10"/>
        <v/>
      </c>
    </row>
    <row r="646" spans="3:28" x14ac:dyDescent="0.2">
      <c r="C646" s="69"/>
      <c r="D646" s="70"/>
      <c r="S646" s="34"/>
      <c r="T646" s="60" t="str">
        <f>IF(P646&lt;&gt;"",
    IF(OR(O646="", Q646="", R646=""),
        "Fill all the required columns",
        IFERROR(
            IF(OR(
                AND(R646="Marine Protected", VLOOKUP(O646, Reference!$A$2:$D$34, 4, FALSE) &lt;= P646),
                AND(R646="General Use", VLOOKUP(O646, Reference!$A$2:$D$34, 3, FALSE) &lt;= P646)
            ),
                "Exceeded",
                "OK"
            ),
            "No Regulation defined"
        )
    ),
    ""
)</f>
        <v/>
      </c>
      <c r="AB646" s="62" t="str">
        <f t="shared" si="10"/>
        <v/>
      </c>
    </row>
    <row r="647" spans="3:28" x14ac:dyDescent="0.2">
      <c r="C647" s="69"/>
      <c r="D647" s="70"/>
      <c r="S647" s="34"/>
      <c r="T647" s="60" t="str">
        <f>IF(P647&lt;&gt;"",
    IF(OR(O647="", Q647="", R647=""),
        "Fill all the required columns",
        IFERROR(
            IF(OR(
                AND(R647="Marine Protected", VLOOKUP(O647, Reference!$A$2:$D$34, 4, FALSE) &lt;= P647),
                AND(R647="General Use", VLOOKUP(O647, Reference!$A$2:$D$34, 3, FALSE) &lt;= P647)
            ),
                "Exceeded",
                "OK"
            ),
            "No Regulation defined"
        )
    ),
    ""
)</f>
        <v/>
      </c>
      <c r="AB647" s="62" t="str">
        <f t="shared" si="10"/>
        <v/>
      </c>
    </row>
    <row r="648" spans="3:28" x14ac:dyDescent="0.2">
      <c r="C648" s="69"/>
      <c r="D648" s="70"/>
      <c r="S648" s="34"/>
      <c r="T648" s="60" t="str">
        <f>IF(P648&lt;&gt;"",
    IF(OR(O648="", Q648="", R648=""),
        "Fill all the required columns",
        IFERROR(
            IF(OR(
                AND(R648="Marine Protected", VLOOKUP(O648, Reference!$A$2:$D$34, 4, FALSE) &lt;= P648),
                AND(R648="General Use", VLOOKUP(O648, Reference!$A$2:$D$34, 3, FALSE) &lt;= P648)
            ),
                "Exceeded",
                "OK"
            ),
            "No Regulation defined"
        )
    ),
    ""
)</f>
        <v/>
      </c>
      <c r="AB648" s="62" t="str">
        <f t="shared" si="10"/>
        <v/>
      </c>
    </row>
    <row r="649" spans="3:28" x14ac:dyDescent="0.2">
      <c r="C649" s="69"/>
      <c r="D649" s="70"/>
      <c r="S649" s="34"/>
      <c r="T649" s="60" t="str">
        <f>IF(P649&lt;&gt;"",
    IF(OR(O649="", Q649="", R649=""),
        "Fill all the required columns",
        IFERROR(
            IF(OR(
                AND(R649="Marine Protected", VLOOKUP(O649, Reference!$A$2:$D$34, 4, FALSE) &lt;= P649),
                AND(R649="General Use", VLOOKUP(O649, Reference!$A$2:$D$34, 3, FALSE) &lt;= P649)
            ),
                "Exceeded",
                "OK"
            ),
            "No Regulation defined"
        )
    ),
    ""
)</f>
        <v/>
      </c>
      <c r="AB649" s="62" t="str">
        <f t="shared" si="10"/>
        <v/>
      </c>
    </row>
    <row r="650" spans="3:28" x14ac:dyDescent="0.2">
      <c r="C650" s="69"/>
      <c r="D650" s="70"/>
      <c r="S650" s="34"/>
      <c r="T650" s="60" t="str">
        <f>IF(P650&lt;&gt;"",
    IF(OR(O650="", Q650="", R650=""),
        "Fill all the required columns",
        IFERROR(
            IF(OR(
                AND(R650="Marine Protected", VLOOKUP(O650, Reference!$A$2:$D$34, 4, FALSE) &lt;= P650),
                AND(R650="General Use", VLOOKUP(O650, Reference!$A$2:$D$34, 3, FALSE) &lt;= P650)
            ),
                "Exceeded",
                "OK"
            ),
            "No Regulation defined"
        )
    ),
    ""
)</f>
        <v/>
      </c>
      <c r="AB650" s="62" t="str">
        <f t="shared" si="10"/>
        <v/>
      </c>
    </row>
    <row r="651" spans="3:28" x14ac:dyDescent="0.2">
      <c r="C651" s="69"/>
      <c r="D651" s="70"/>
      <c r="S651" s="34"/>
      <c r="T651" s="60" t="str">
        <f>IF(P651&lt;&gt;"",
    IF(OR(O651="", Q651="", R651=""),
        "Fill all the required columns",
        IFERROR(
            IF(OR(
                AND(R651="Marine Protected", VLOOKUP(O651, Reference!$A$2:$D$34, 4, FALSE) &lt;= P651),
                AND(R651="General Use", VLOOKUP(O651, Reference!$A$2:$D$34, 3, FALSE) &lt;= P651)
            ),
                "Exceeded",
                "OK"
            ),
            "No Regulation defined"
        )
    ),
    ""
)</f>
        <v/>
      </c>
      <c r="AB651" s="62" t="str">
        <f t="shared" si="10"/>
        <v/>
      </c>
    </row>
    <row r="652" spans="3:28" x14ac:dyDescent="0.2">
      <c r="C652" s="69"/>
      <c r="D652" s="70"/>
      <c r="S652" s="34"/>
      <c r="T652" s="60" t="str">
        <f>IF(P652&lt;&gt;"",
    IF(OR(O652="", Q652="", R652=""),
        "Fill all the required columns",
        IFERROR(
            IF(OR(
                AND(R652="Marine Protected", VLOOKUP(O652, Reference!$A$2:$D$34, 4, FALSE) &lt;= P652),
                AND(R652="General Use", VLOOKUP(O652, Reference!$A$2:$D$34, 3, FALSE) &lt;= P652)
            ),
                "Exceeded",
                "OK"
            ),
            "No Regulation defined"
        )
    ),
    ""
)</f>
        <v/>
      </c>
      <c r="AB652" s="62" t="str">
        <f t="shared" si="10"/>
        <v/>
      </c>
    </row>
    <row r="653" spans="3:28" x14ac:dyDescent="0.2">
      <c r="C653" s="69"/>
      <c r="D653" s="70"/>
      <c r="S653" s="34"/>
      <c r="T653" s="60" t="str">
        <f>IF(P653&lt;&gt;"",
    IF(OR(O653="", Q653="", R653=""),
        "Fill all the required columns",
        IFERROR(
            IF(OR(
                AND(R653="Marine Protected", VLOOKUP(O653, Reference!$A$2:$D$34, 4, FALSE) &lt;= P653),
                AND(R653="General Use", VLOOKUP(O653, Reference!$A$2:$D$34, 3, FALSE) &lt;= P653)
            ),
                "Exceeded",
                "OK"
            ),
            "No Regulation defined"
        )
    ),
    ""
)</f>
        <v/>
      </c>
      <c r="AB653" s="62" t="str">
        <f t="shared" si="10"/>
        <v/>
      </c>
    </row>
    <row r="654" spans="3:28" x14ac:dyDescent="0.2">
      <c r="C654" s="69"/>
      <c r="D654" s="70"/>
      <c r="S654" s="34"/>
      <c r="T654" s="60" t="str">
        <f>IF(P654&lt;&gt;"",
    IF(OR(O654="", Q654="", R654=""),
        "Fill all the required columns",
        IFERROR(
            IF(OR(
                AND(R654="Marine Protected", VLOOKUP(O654, Reference!$A$2:$D$34, 4, FALSE) &lt;= P654),
                AND(R654="General Use", VLOOKUP(O654, Reference!$A$2:$D$34, 3, FALSE) &lt;= P654)
            ),
                "Exceeded",
                "OK"
            ),
            "No Regulation defined"
        )
    ),
    ""
)</f>
        <v/>
      </c>
      <c r="AB654" s="62" t="str">
        <f t="shared" si="10"/>
        <v/>
      </c>
    </row>
    <row r="655" spans="3:28" x14ac:dyDescent="0.2">
      <c r="C655" s="69"/>
      <c r="D655" s="70"/>
      <c r="S655" s="34"/>
      <c r="T655" s="60" t="str">
        <f>IF(P655&lt;&gt;"",
    IF(OR(O655="", Q655="", R655=""),
        "Fill all the required columns",
        IFERROR(
            IF(OR(
                AND(R655="Marine Protected", VLOOKUP(O655, Reference!$A$2:$D$34, 4, FALSE) &lt;= P655),
                AND(R655="General Use", VLOOKUP(O655, Reference!$A$2:$D$34, 3, FALSE) &lt;= P655)
            ),
                "Exceeded",
                "OK"
            ),
            "No Regulation defined"
        )
    ),
    ""
)</f>
        <v/>
      </c>
      <c r="AB655" s="62" t="str">
        <f t="shared" si="10"/>
        <v/>
      </c>
    </row>
    <row r="656" spans="3:28" x14ac:dyDescent="0.2">
      <c r="C656" s="69"/>
      <c r="D656" s="70"/>
      <c r="S656" s="34"/>
      <c r="T656" s="60" t="str">
        <f>IF(P656&lt;&gt;"",
    IF(OR(O656="", Q656="", R656=""),
        "Fill all the required columns",
        IFERROR(
            IF(OR(
                AND(R656="Marine Protected", VLOOKUP(O656, Reference!$A$2:$D$34, 4, FALSE) &lt;= P656),
                AND(R656="General Use", VLOOKUP(O656, Reference!$A$2:$D$34, 3, FALSE) &lt;= P656)
            ),
                "Exceeded",
                "OK"
            ),
            "No Regulation defined"
        )
    ),
    ""
)</f>
        <v/>
      </c>
      <c r="AB656" s="62" t="str">
        <f t="shared" si="10"/>
        <v/>
      </c>
    </row>
    <row r="657" spans="3:28" x14ac:dyDescent="0.2">
      <c r="C657" s="69"/>
      <c r="D657" s="70"/>
      <c r="S657" s="34"/>
      <c r="T657" s="60" t="str">
        <f>IF(P657&lt;&gt;"",
    IF(OR(O657="", Q657="", R657=""),
        "Fill all the required columns",
        IFERROR(
            IF(OR(
                AND(R657="Marine Protected", VLOOKUP(O657, Reference!$A$2:$D$34, 4, FALSE) &lt;= P657),
                AND(R657="General Use", VLOOKUP(O657, Reference!$A$2:$D$34, 3, FALSE) &lt;= P657)
            ),
                "Exceeded",
                "OK"
            ),
            "No Regulation defined"
        )
    ),
    ""
)</f>
        <v/>
      </c>
      <c r="AB657" s="62" t="str">
        <f t="shared" si="10"/>
        <v/>
      </c>
    </row>
    <row r="658" spans="3:28" x14ac:dyDescent="0.2">
      <c r="C658" s="69"/>
      <c r="D658" s="70"/>
      <c r="S658" s="34"/>
      <c r="T658" s="60" t="str">
        <f>IF(P658&lt;&gt;"",
    IF(OR(O658="", Q658="", R658=""),
        "Fill all the required columns",
        IFERROR(
            IF(OR(
                AND(R658="Marine Protected", VLOOKUP(O658, Reference!$A$2:$D$34, 4, FALSE) &lt;= P658),
                AND(R658="General Use", VLOOKUP(O658, Reference!$A$2:$D$34, 3, FALSE) &lt;= P658)
            ),
                "Exceeded",
                "OK"
            ),
            "No Regulation defined"
        )
    ),
    ""
)</f>
        <v/>
      </c>
      <c r="AB658" s="62" t="str">
        <f t="shared" si="10"/>
        <v/>
      </c>
    </row>
    <row r="659" spans="3:28" x14ac:dyDescent="0.2">
      <c r="C659" s="69"/>
      <c r="D659" s="70"/>
      <c r="S659" s="34"/>
      <c r="T659" s="60" t="str">
        <f>IF(P659&lt;&gt;"",
    IF(OR(O659="", Q659="", R659=""),
        "Fill all the required columns",
        IFERROR(
            IF(OR(
                AND(R659="Marine Protected", VLOOKUP(O659, Reference!$A$2:$D$34, 4, FALSE) &lt;= P659),
                AND(R659="General Use", VLOOKUP(O659, Reference!$A$2:$D$34, 3, FALSE) &lt;= P659)
            ),
                "Exceeded",
                "OK"
            ),
            "No Regulation defined"
        )
    ),
    ""
)</f>
        <v/>
      </c>
      <c r="AB659" s="62" t="str">
        <f t="shared" si="10"/>
        <v/>
      </c>
    </row>
    <row r="660" spans="3:28" x14ac:dyDescent="0.2">
      <c r="C660" s="69"/>
      <c r="D660" s="70"/>
      <c r="S660" s="34"/>
      <c r="T660" s="60" t="str">
        <f>IF(P660&lt;&gt;"",
    IF(OR(O660="", Q660="", R660=""),
        "Fill all the required columns",
        IFERROR(
            IF(OR(
                AND(R660="Marine Protected", VLOOKUP(O660, Reference!$A$2:$D$34, 4, FALSE) &lt;= P660),
                AND(R660="General Use", VLOOKUP(O660, Reference!$A$2:$D$34, 3, FALSE) &lt;= P660)
            ),
                "Exceeded",
                "OK"
            ),
            "No Regulation defined"
        )
    ),
    ""
)</f>
        <v/>
      </c>
      <c r="AB660" s="62" t="str">
        <f t="shared" si="10"/>
        <v/>
      </c>
    </row>
    <row r="661" spans="3:28" x14ac:dyDescent="0.2">
      <c r="C661" s="69"/>
      <c r="D661" s="70"/>
      <c r="S661" s="34"/>
      <c r="T661" s="60" t="str">
        <f>IF(P661&lt;&gt;"",
    IF(OR(O661="", Q661="", R661=""),
        "Fill all the required columns",
        IFERROR(
            IF(OR(
                AND(R661="Marine Protected", VLOOKUP(O661, Reference!$A$2:$D$34, 4, FALSE) &lt;= P661),
                AND(R661="General Use", VLOOKUP(O661, Reference!$A$2:$D$34, 3, FALSE) &lt;= P661)
            ),
                "Exceeded",
                "OK"
            ),
            "No Regulation defined"
        )
    ),
    ""
)</f>
        <v/>
      </c>
      <c r="AB661" s="62" t="str">
        <f t="shared" si="10"/>
        <v/>
      </c>
    </row>
    <row r="662" spans="3:28" x14ac:dyDescent="0.2">
      <c r="C662" s="69"/>
      <c r="D662" s="70"/>
      <c r="S662" s="34"/>
      <c r="T662" s="60" t="str">
        <f>IF(P662&lt;&gt;"",
    IF(OR(O662="", Q662="", R662=""),
        "Fill all the required columns",
        IFERROR(
            IF(OR(
                AND(R662="Marine Protected", VLOOKUP(O662, Reference!$A$2:$D$34, 4, FALSE) &lt;= P662),
                AND(R662="General Use", VLOOKUP(O662, Reference!$A$2:$D$34, 3, FALSE) &lt;= P662)
            ),
                "Exceeded",
                "OK"
            ),
            "No Regulation defined"
        )
    ),
    ""
)</f>
        <v/>
      </c>
      <c r="AB662" s="62" t="str">
        <f t="shared" si="10"/>
        <v/>
      </c>
    </row>
    <row r="663" spans="3:28" x14ac:dyDescent="0.2">
      <c r="C663" s="69"/>
      <c r="D663" s="70"/>
      <c r="S663" s="34"/>
      <c r="T663" s="60" t="str">
        <f>IF(P663&lt;&gt;"",
    IF(OR(O663="", Q663="", R663=""),
        "Fill all the required columns",
        IFERROR(
            IF(OR(
                AND(R663="Marine Protected", VLOOKUP(O663, Reference!$A$2:$D$34, 4, FALSE) &lt;= P663),
                AND(R663="General Use", VLOOKUP(O663, Reference!$A$2:$D$34, 3, FALSE) &lt;= P663)
            ),
                "Exceeded",
                "OK"
            ),
            "No Regulation defined"
        )
    ),
    ""
)</f>
        <v/>
      </c>
      <c r="AB663" s="62" t="str">
        <f t="shared" si="10"/>
        <v/>
      </c>
    </row>
    <row r="664" spans="3:28" x14ac:dyDescent="0.2">
      <c r="C664" s="69"/>
      <c r="D664" s="70"/>
      <c r="S664" s="34"/>
      <c r="T664" s="60" t="str">
        <f>IF(P664&lt;&gt;"",
    IF(OR(O664="", Q664="", R664=""),
        "Fill all the required columns",
        IFERROR(
            IF(OR(
                AND(R664="Marine Protected", VLOOKUP(O664, Reference!$A$2:$D$34, 4, FALSE) &lt;= P664),
                AND(R664="General Use", VLOOKUP(O664, Reference!$A$2:$D$34, 3, FALSE) &lt;= P664)
            ),
                "Exceeded",
                "OK"
            ),
            "No Regulation defined"
        )
    ),
    ""
)</f>
        <v/>
      </c>
      <c r="AB664" s="62" t="str">
        <f t="shared" si="10"/>
        <v/>
      </c>
    </row>
    <row r="665" spans="3:28" x14ac:dyDescent="0.2">
      <c r="C665" s="69"/>
      <c r="D665" s="70"/>
      <c r="S665" s="34"/>
      <c r="T665" s="60" t="str">
        <f>IF(P665&lt;&gt;"",
    IF(OR(O665="", Q665="", R665=""),
        "Fill all the required columns",
        IFERROR(
            IF(OR(
                AND(R665="Marine Protected", VLOOKUP(O665, Reference!$A$2:$D$34, 4, FALSE) &lt;= P665),
                AND(R665="General Use", VLOOKUP(O665, Reference!$A$2:$D$34, 3, FALSE) &lt;= P665)
            ),
                "Exceeded",
                "OK"
            ),
            "No Regulation defined"
        )
    ),
    ""
)</f>
        <v/>
      </c>
      <c r="AB665" s="62" t="str">
        <f t="shared" si="10"/>
        <v/>
      </c>
    </row>
    <row r="666" spans="3:28" x14ac:dyDescent="0.2">
      <c r="C666" s="69"/>
      <c r="D666" s="70"/>
      <c r="S666" s="34"/>
      <c r="T666" s="60" t="str">
        <f>IF(P666&lt;&gt;"",
    IF(OR(O666="", Q666="", R666=""),
        "Fill all the required columns",
        IFERROR(
            IF(OR(
                AND(R666="Marine Protected", VLOOKUP(O666, Reference!$A$2:$D$34, 4, FALSE) &lt;= P666),
                AND(R666="General Use", VLOOKUP(O666, Reference!$A$2:$D$34, 3, FALSE) &lt;= P666)
            ),
                "Exceeded",
                "OK"
            ),
            "No Regulation defined"
        )
    ),
    ""
)</f>
        <v/>
      </c>
      <c r="AB666" s="62" t="str">
        <f t="shared" si="10"/>
        <v/>
      </c>
    </row>
    <row r="667" spans="3:28" x14ac:dyDescent="0.2">
      <c r="C667" s="69"/>
      <c r="D667" s="70"/>
      <c r="S667" s="34"/>
      <c r="T667" s="60" t="str">
        <f>IF(P667&lt;&gt;"",
    IF(OR(O667="", Q667="", R667=""),
        "Fill all the required columns",
        IFERROR(
            IF(OR(
                AND(R667="Marine Protected", VLOOKUP(O667, Reference!$A$2:$D$34, 4, FALSE) &lt;= P667),
                AND(R667="General Use", VLOOKUP(O667, Reference!$A$2:$D$34, 3, FALSE) &lt;= P667)
            ),
                "Exceeded",
                "OK"
            ),
            "No Regulation defined"
        )
    ),
    ""
)</f>
        <v/>
      </c>
      <c r="AB667" s="62" t="str">
        <f t="shared" si="10"/>
        <v/>
      </c>
    </row>
    <row r="668" spans="3:28" x14ac:dyDescent="0.2">
      <c r="C668" s="69"/>
      <c r="D668" s="70"/>
      <c r="S668" s="34"/>
      <c r="T668" s="60" t="str">
        <f>IF(P668&lt;&gt;"",
    IF(OR(O668="", Q668="", R668=""),
        "Fill all the required columns",
        IFERROR(
            IF(OR(
                AND(R668="Marine Protected", VLOOKUP(O668, Reference!$A$2:$D$34, 4, FALSE) &lt;= P668),
                AND(R668="General Use", VLOOKUP(O668, Reference!$A$2:$D$34, 3, FALSE) &lt;= P668)
            ),
                "Exceeded",
                "OK"
            ),
            "No Regulation defined"
        )
    ),
    ""
)</f>
        <v/>
      </c>
      <c r="AB668" s="62" t="str">
        <f t="shared" si="10"/>
        <v/>
      </c>
    </row>
    <row r="669" spans="3:28" x14ac:dyDescent="0.2">
      <c r="C669" s="69"/>
      <c r="D669" s="70"/>
      <c r="S669" s="34"/>
      <c r="T669" s="60" t="str">
        <f>IF(P669&lt;&gt;"",
    IF(OR(O669="", Q669="", R669=""),
        "Fill all the required columns",
        IFERROR(
            IF(OR(
                AND(R669="Marine Protected", VLOOKUP(O669, Reference!$A$2:$D$34, 4, FALSE) &lt;= P669),
                AND(R669="General Use", VLOOKUP(O669, Reference!$A$2:$D$34, 3, FALSE) &lt;= P669)
            ),
                "Exceeded",
                "OK"
            ),
            "No Regulation defined"
        )
    ),
    ""
)</f>
        <v/>
      </c>
      <c r="AB669" s="62" t="str">
        <f t="shared" si="10"/>
        <v/>
      </c>
    </row>
    <row r="670" spans="3:28" x14ac:dyDescent="0.2">
      <c r="C670" s="69"/>
      <c r="D670" s="70"/>
      <c r="S670" s="34"/>
      <c r="T670" s="60" t="str">
        <f>IF(P670&lt;&gt;"",
    IF(OR(O670="", Q670="", R670=""),
        "Fill all the required columns",
        IFERROR(
            IF(OR(
                AND(R670="Marine Protected", VLOOKUP(O670, Reference!$A$2:$D$34, 4, FALSE) &lt;= P670),
                AND(R670="General Use", VLOOKUP(O670, Reference!$A$2:$D$34, 3, FALSE) &lt;= P670)
            ),
                "Exceeded",
                "OK"
            ),
            "No Regulation defined"
        )
    ),
    ""
)</f>
        <v/>
      </c>
      <c r="AB670" s="62" t="str">
        <f t="shared" si="10"/>
        <v/>
      </c>
    </row>
    <row r="671" spans="3:28" x14ac:dyDescent="0.2">
      <c r="C671" s="69"/>
      <c r="D671" s="70"/>
      <c r="S671" s="34"/>
      <c r="T671" s="60" t="str">
        <f>IF(P671&lt;&gt;"",
    IF(OR(O671="", Q671="", R671=""),
        "Fill all the required columns",
        IFERROR(
            IF(OR(
                AND(R671="Marine Protected", VLOOKUP(O671, Reference!$A$2:$D$34, 4, FALSE) &lt;= P671),
                AND(R671="General Use", VLOOKUP(O671, Reference!$A$2:$D$34, 3, FALSE) &lt;= P671)
            ),
                "Exceeded",
                "OK"
            ),
            "No Regulation defined"
        )
    ),
    ""
)</f>
        <v/>
      </c>
      <c r="AB671" s="62" t="str">
        <f t="shared" si="10"/>
        <v/>
      </c>
    </row>
    <row r="672" spans="3:28" x14ac:dyDescent="0.2">
      <c r="C672" s="69"/>
      <c r="D672" s="70"/>
      <c r="S672" s="34"/>
      <c r="T672" s="60" t="str">
        <f>IF(P672&lt;&gt;"",
    IF(OR(O672="", Q672="", R672=""),
        "Fill all the required columns",
        IFERROR(
            IF(OR(
                AND(R672="Marine Protected", VLOOKUP(O672, Reference!$A$2:$D$34, 4, FALSE) &lt;= P672),
                AND(R672="General Use", VLOOKUP(O672, Reference!$A$2:$D$34, 3, FALSE) &lt;= P672)
            ),
                "Exceeded",
                "OK"
            ),
            "No Regulation defined"
        )
    ),
    ""
)</f>
        <v/>
      </c>
      <c r="AB672" s="62" t="str">
        <f t="shared" si="10"/>
        <v/>
      </c>
    </row>
    <row r="673" spans="3:28" x14ac:dyDescent="0.2">
      <c r="C673" s="69"/>
      <c r="D673" s="70"/>
      <c r="S673" s="34"/>
      <c r="T673" s="60" t="str">
        <f>IF(P673&lt;&gt;"",
    IF(OR(O673="", Q673="", R673=""),
        "Fill all the required columns",
        IFERROR(
            IF(OR(
                AND(R673="Marine Protected", VLOOKUP(O673, Reference!$A$2:$D$34, 4, FALSE) &lt;= P673),
                AND(R673="General Use", VLOOKUP(O673, Reference!$A$2:$D$34, 3, FALSE) &lt;= P673)
            ),
                "Exceeded",
                "OK"
            ),
            "No Regulation defined"
        )
    ),
    ""
)</f>
        <v/>
      </c>
      <c r="AB673" s="62" t="str">
        <f t="shared" si="10"/>
        <v/>
      </c>
    </row>
    <row r="674" spans="3:28" x14ac:dyDescent="0.2">
      <c r="C674" s="69"/>
      <c r="D674" s="70"/>
      <c r="S674" s="34"/>
      <c r="T674" s="60" t="str">
        <f>IF(P674&lt;&gt;"",
    IF(OR(O674="", Q674="", R674=""),
        "Fill all the required columns",
        IFERROR(
            IF(OR(
                AND(R674="Marine Protected", VLOOKUP(O674, Reference!$A$2:$D$34, 4, FALSE) &lt;= P674),
                AND(R674="General Use", VLOOKUP(O674, Reference!$A$2:$D$34, 3, FALSE) &lt;= P674)
            ),
                "Exceeded",
                "OK"
            ),
            "No Regulation defined"
        )
    ),
    ""
)</f>
        <v/>
      </c>
      <c r="AB674" s="62" t="str">
        <f t="shared" si="10"/>
        <v/>
      </c>
    </row>
    <row r="675" spans="3:28" x14ac:dyDescent="0.2">
      <c r="C675" s="69"/>
      <c r="D675" s="70"/>
      <c r="S675" s="34"/>
      <c r="T675" s="60" t="str">
        <f>IF(P675&lt;&gt;"",
    IF(OR(O675="", Q675="", R675=""),
        "Fill all the required columns",
        IFERROR(
            IF(OR(
                AND(R675="Marine Protected", VLOOKUP(O675, Reference!$A$2:$D$34, 4, FALSE) &lt;= P675),
                AND(R675="General Use", VLOOKUP(O675, Reference!$A$2:$D$34, 3, FALSE) &lt;= P675)
            ),
                "Exceeded",
                "OK"
            ),
            "No Regulation defined"
        )
    ),
    ""
)</f>
        <v/>
      </c>
      <c r="AB675" s="62" t="str">
        <f t="shared" si="10"/>
        <v/>
      </c>
    </row>
    <row r="676" spans="3:28" x14ac:dyDescent="0.2">
      <c r="C676" s="69"/>
      <c r="D676" s="70"/>
      <c r="S676" s="34"/>
      <c r="T676" s="60" t="str">
        <f>IF(P676&lt;&gt;"",
    IF(OR(O676="", Q676="", R676=""),
        "Fill all the required columns",
        IFERROR(
            IF(OR(
                AND(R676="Marine Protected", VLOOKUP(O676, Reference!$A$2:$D$34, 4, FALSE) &lt;= P676),
                AND(R676="General Use", VLOOKUP(O676, Reference!$A$2:$D$34, 3, FALSE) &lt;= P676)
            ),
                "Exceeded",
                "OK"
            ),
            "No Regulation defined"
        )
    ),
    ""
)</f>
        <v/>
      </c>
      <c r="AB676" s="62" t="str">
        <f t="shared" si="10"/>
        <v/>
      </c>
    </row>
    <row r="677" spans="3:28" x14ac:dyDescent="0.2">
      <c r="C677" s="69"/>
      <c r="D677" s="70"/>
      <c r="S677" s="34"/>
      <c r="T677" s="60" t="str">
        <f>IF(P677&lt;&gt;"",
    IF(OR(O677="", Q677="", R677=""),
        "Fill all the required columns",
        IFERROR(
            IF(OR(
                AND(R677="Marine Protected", VLOOKUP(O677, Reference!$A$2:$D$34, 4, FALSE) &lt;= P677),
                AND(R677="General Use", VLOOKUP(O677, Reference!$A$2:$D$34, 3, FALSE) &lt;= P677)
            ),
                "Exceeded",
                "OK"
            ),
            "No Regulation defined"
        )
    ),
    ""
)</f>
        <v/>
      </c>
      <c r="AB677" s="62" t="str">
        <f t="shared" si="10"/>
        <v/>
      </c>
    </row>
    <row r="678" spans="3:28" x14ac:dyDescent="0.2">
      <c r="C678" s="69"/>
      <c r="D678" s="70"/>
      <c r="S678" s="34"/>
      <c r="T678" s="60" t="str">
        <f>IF(P678&lt;&gt;"",
    IF(OR(O678="", Q678="", R678=""),
        "Fill all the required columns",
        IFERROR(
            IF(OR(
                AND(R678="Marine Protected", VLOOKUP(O678, Reference!$A$2:$D$34, 4, FALSE) &lt;= P678),
                AND(R678="General Use", VLOOKUP(O678, Reference!$A$2:$D$34, 3, FALSE) &lt;= P678)
            ),
                "Exceeded",
                "OK"
            ),
            "No Regulation defined"
        )
    ),
    ""
)</f>
        <v/>
      </c>
      <c r="AB678" s="62" t="str">
        <f t="shared" si="10"/>
        <v/>
      </c>
    </row>
    <row r="679" spans="3:28" x14ac:dyDescent="0.2">
      <c r="C679" s="69"/>
      <c r="D679" s="70"/>
      <c r="S679" s="34"/>
      <c r="T679" s="60" t="str">
        <f>IF(P679&lt;&gt;"",
    IF(OR(O679="", Q679="", R679=""),
        "Fill all the required columns",
        IFERROR(
            IF(OR(
                AND(R679="Marine Protected", VLOOKUP(O679, Reference!$A$2:$D$34, 4, FALSE) &lt;= P679),
                AND(R679="General Use", VLOOKUP(O679, Reference!$A$2:$D$34, 3, FALSE) &lt;= P679)
            ),
                "Exceeded",
                "OK"
            ),
            "No Regulation defined"
        )
    ),
    ""
)</f>
        <v/>
      </c>
      <c r="AB679" s="62" t="str">
        <f t="shared" si="10"/>
        <v/>
      </c>
    </row>
    <row r="680" spans="3:28" x14ac:dyDescent="0.2">
      <c r="C680" s="69"/>
      <c r="D680" s="70"/>
      <c r="S680" s="34"/>
      <c r="T680" s="60" t="str">
        <f>IF(P680&lt;&gt;"",
    IF(OR(O680="", Q680="", R680=""),
        "Fill all the required columns",
        IFERROR(
            IF(OR(
                AND(R680="Marine Protected", VLOOKUP(O680, Reference!$A$2:$D$34, 4, FALSE) &lt;= P680),
                AND(R680="General Use", VLOOKUP(O680, Reference!$A$2:$D$34, 3, FALSE) &lt;= P680)
            ),
                "Exceeded",
                "OK"
            ),
            "No Regulation defined"
        )
    ),
    ""
)</f>
        <v/>
      </c>
      <c r="AB680" s="62" t="str">
        <f t="shared" si="10"/>
        <v/>
      </c>
    </row>
    <row r="681" spans="3:28" x14ac:dyDescent="0.2">
      <c r="C681" s="69"/>
      <c r="D681" s="70"/>
      <c r="S681" s="34"/>
      <c r="T681" s="60" t="str">
        <f>IF(P681&lt;&gt;"",
    IF(OR(O681="", Q681="", R681=""),
        "Fill all the required columns",
        IFERROR(
            IF(OR(
                AND(R681="Marine Protected", VLOOKUP(O681, Reference!$A$2:$D$34, 4, FALSE) &lt;= P681),
                AND(R681="General Use", VLOOKUP(O681, Reference!$A$2:$D$34, 3, FALSE) &lt;= P681)
            ),
                "Exceeded",
                "OK"
            ),
            "No Regulation defined"
        )
    ),
    ""
)</f>
        <v/>
      </c>
      <c r="AB681" s="62" t="str">
        <f t="shared" si="10"/>
        <v/>
      </c>
    </row>
    <row r="682" spans="3:28" x14ac:dyDescent="0.2">
      <c r="C682" s="69"/>
      <c r="D682" s="70"/>
      <c r="S682" s="34"/>
      <c r="T682" s="60" t="str">
        <f>IF(P682&lt;&gt;"",
    IF(OR(O682="", Q682="", R682=""),
        "Fill all the required columns",
        IFERROR(
            IF(OR(
                AND(R682="Marine Protected", VLOOKUP(O682, Reference!$A$2:$D$34, 4, FALSE) &lt;= P682),
                AND(R682="General Use", VLOOKUP(O682, Reference!$A$2:$D$34, 3, FALSE) &lt;= P682)
            ),
                "Exceeded",
                "OK"
            ),
            "No Regulation defined"
        )
    ),
    ""
)</f>
        <v/>
      </c>
      <c r="AB682" s="62" t="str">
        <f t="shared" si="10"/>
        <v/>
      </c>
    </row>
    <row r="683" spans="3:28" x14ac:dyDescent="0.2">
      <c r="C683" s="69"/>
      <c r="D683" s="70"/>
      <c r="S683" s="34"/>
      <c r="T683" s="60" t="str">
        <f>IF(P683&lt;&gt;"",
    IF(OR(O683="", Q683="", R683=""),
        "Fill all the required columns",
        IFERROR(
            IF(OR(
                AND(R683="Marine Protected", VLOOKUP(O683, Reference!$A$2:$D$34, 4, FALSE) &lt;= P683),
                AND(R683="General Use", VLOOKUP(O683, Reference!$A$2:$D$34, 3, FALSE) &lt;= P683)
            ),
                "Exceeded",
                "OK"
            ),
            "No Regulation defined"
        )
    ),
    ""
)</f>
        <v/>
      </c>
      <c r="AB683" s="62" t="str">
        <f t="shared" si="10"/>
        <v/>
      </c>
    </row>
    <row r="684" spans="3:28" x14ac:dyDescent="0.2">
      <c r="C684" s="69"/>
      <c r="D684" s="70"/>
      <c r="S684" s="34"/>
      <c r="T684" s="60" t="str">
        <f>IF(P684&lt;&gt;"",
    IF(OR(O684="", Q684="", R684=""),
        "Fill all the required columns",
        IFERROR(
            IF(OR(
                AND(R684="Marine Protected", VLOOKUP(O684, Reference!$A$2:$D$34, 4, FALSE) &lt;= P684),
                AND(R684="General Use", VLOOKUP(O684, Reference!$A$2:$D$34, 3, FALSE) &lt;= P684)
            ),
                "Exceeded",
                "OK"
            ),
            "No Regulation defined"
        )
    ),
    ""
)</f>
        <v/>
      </c>
      <c r="AB684" s="62" t="str">
        <f t="shared" si="10"/>
        <v/>
      </c>
    </row>
    <row r="685" spans="3:28" x14ac:dyDescent="0.2">
      <c r="C685" s="69"/>
      <c r="D685" s="70"/>
      <c r="S685" s="34"/>
      <c r="T685" s="60" t="str">
        <f>IF(P685&lt;&gt;"",
    IF(OR(O685="", Q685="", R685=""),
        "Fill all the required columns",
        IFERROR(
            IF(OR(
                AND(R685="Marine Protected", VLOOKUP(O685, Reference!$A$2:$D$34, 4, FALSE) &lt;= P685),
                AND(R685="General Use", VLOOKUP(O685, Reference!$A$2:$D$34, 3, FALSE) &lt;= P685)
            ),
                "Exceeded",
                "OK"
            ),
            "No Regulation defined"
        )
    ),
    ""
)</f>
        <v/>
      </c>
      <c r="AB685" s="62" t="str">
        <f t="shared" si="10"/>
        <v/>
      </c>
    </row>
    <row r="686" spans="3:28" x14ac:dyDescent="0.2">
      <c r="C686" s="69"/>
      <c r="D686" s="70"/>
      <c r="S686" s="34"/>
      <c r="T686" s="60" t="str">
        <f>IF(P686&lt;&gt;"",
    IF(OR(O686="", Q686="", R686=""),
        "Fill all the required columns",
        IFERROR(
            IF(OR(
                AND(R686="Marine Protected", VLOOKUP(O686, Reference!$A$2:$D$34, 4, FALSE) &lt;= P686),
                AND(R686="General Use", VLOOKUP(O686, Reference!$A$2:$D$34, 3, FALSE) &lt;= P686)
            ),
                "Exceeded",
                "OK"
            ),
            "No Regulation defined"
        )
    ),
    ""
)</f>
        <v/>
      </c>
      <c r="AB686" s="62" t="str">
        <f t="shared" si="10"/>
        <v/>
      </c>
    </row>
    <row r="687" spans="3:28" x14ac:dyDescent="0.2">
      <c r="C687" s="69"/>
      <c r="D687" s="70"/>
      <c r="S687" s="34"/>
      <c r="T687" s="60" t="str">
        <f>IF(P687&lt;&gt;"",
    IF(OR(O687="", Q687="", R687=""),
        "Fill all the required columns",
        IFERROR(
            IF(OR(
                AND(R687="Marine Protected", VLOOKUP(O687, Reference!$A$2:$D$34, 4, FALSE) &lt;= P687),
                AND(R687="General Use", VLOOKUP(O687, Reference!$A$2:$D$34, 3, FALSE) &lt;= P687)
            ),
                "Exceeded",
                "OK"
            ),
            "No Regulation defined"
        )
    ),
    ""
)</f>
        <v/>
      </c>
      <c r="AB687" s="62" t="str">
        <f t="shared" si="10"/>
        <v/>
      </c>
    </row>
    <row r="688" spans="3:28" x14ac:dyDescent="0.2">
      <c r="C688" s="69"/>
      <c r="D688" s="70"/>
      <c r="S688" s="34"/>
      <c r="T688" s="60" t="str">
        <f>IF(P688&lt;&gt;"",
    IF(OR(O688="", Q688="", R688=""),
        "Fill all the required columns",
        IFERROR(
            IF(OR(
                AND(R688="Marine Protected", VLOOKUP(O688, Reference!$A$2:$D$34, 4, FALSE) &lt;= P688),
                AND(R688="General Use", VLOOKUP(O688, Reference!$A$2:$D$34, 3, FALSE) &lt;= P688)
            ),
                "Exceeded",
                "OK"
            ),
            "No Regulation defined"
        )
    ),
    ""
)</f>
        <v/>
      </c>
      <c r="AB688" s="62" t="str">
        <f t="shared" si="10"/>
        <v/>
      </c>
    </row>
    <row r="689" spans="3:28" x14ac:dyDescent="0.2">
      <c r="C689" s="69"/>
      <c r="D689" s="70"/>
      <c r="S689" s="34"/>
      <c r="T689" s="60" t="str">
        <f>IF(P689&lt;&gt;"",
    IF(OR(O689="", Q689="", R689=""),
        "Fill all the required columns",
        IFERROR(
            IF(OR(
                AND(R689="Marine Protected", VLOOKUP(O689, Reference!$A$2:$D$34, 4, FALSE) &lt;= P689),
                AND(R689="General Use", VLOOKUP(O689, Reference!$A$2:$D$34, 3, FALSE) &lt;= P689)
            ),
                "Exceeded",
                "OK"
            ),
            "No Regulation defined"
        )
    ),
    ""
)</f>
        <v/>
      </c>
      <c r="AB689" s="62" t="str">
        <f t="shared" si="10"/>
        <v/>
      </c>
    </row>
    <row r="690" spans="3:28" x14ac:dyDescent="0.2">
      <c r="C690" s="69"/>
      <c r="D690" s="70"/>
      <c r="S690" s="34"/>
      <c r="T690" s="60" t="str">
        <f>IF(P690&lt;&gt;"",
    IF(OR(O690="", Q690="", R690=""),
        "Fill all the required columns",
        IFERROR(
            IF(OR(
                AND(R690="Marine Protected", VLOOKUP(O690, Reference!$A$2:$D$34, 4, FALSE) &lt;= P690),
                AND(R690="General Use", VLOOKUP(O690, Reference!$A$2:$D$34, 3, FALSE) &lt;= P690)
            ),
                "Exceeded",
                "OK"
            ),
            "No Regulation defined"
        )
    ),
    ""
)</f>
        <v/>
      </c>
      <c r="AB690" s="62" t="str">
        <f t="shared" si="10"/>
        <v/>
      </c>
    </row>
    <row r="691" spans="3:28" x14ac:dyDescent="0.2">
      <c r="C691" s="69"/>
      <c r="D691" s="70"/>
      <c r="S691" s="34"/>
      <c r="T691" s="60" t="str">
        <f>IF(P691&lt;&gt;"",
    IF(OR(O691="", Q691="", R691=""),
        "Fill all the required columns",
        IFERROR(
            IF(OR(
                AND(R691="Marine Protected", VLOOKUP(O691, Reference!$A$2:$D$34, 4, FALSE) &lt;= P691),
                AND(R691="General Use", VLOOKUP(O691, Reference!$A$2:$D$34, 3, FALSE) &lt;= P691)
            ),
                "Exceeded",
                "OK"
            ),
            "No Regulation defined"
        )
    ),
    ""
)</f>
        <v/>
      </c>
      <c r="AB691" s="62" t="str">
        <f t="shared" si="10"/>
        <v/>
      </c>
    </row>
    <row r="692" spans="3:28" x14ac:dyDescent="0.2">
      <c r="C692" s="69"/>
      <c r="D692" s="70"/>
      <c r="S692" s="34"/>
      <c r="T692" s="60" t="str">
        <f>IF(P692&lt;&gt;"",
    IF(OR(O692="", Q692="", R692=""),
        "Fill all the required columns",
        IFERROR(
            IF(OR(
                AND(R692="Marine Protected", VLOOKUP(O692, Reference!$A$2:$D$34, 4, FALSE) &lt;= P692),
                AND(R692="General Use", VLOOKUP(O692, Reference!$A$2:$D$34, 3, FALSE) &lt;= P692)
            ),
                "Exceeded",
                "OK"
            ),
            "No Regulation defined"
        )
    ),
    ""
)</f>
        <v/>
      </c>
      <c r="AB692" s="62" t="str">
        <f t="shared" si="10"/>
        <v/>
      </c>
    </row>
    <row r="693" spans="3:28" x14ac:dyDescent="0.2">
      <c r="C693" s="69"/>
      <c r="D693" s="70"/>
      <c r="S693" s="34"/>
      <c r="T693" s="60" t="str">
        <f>IF(P693&lt;&gt;"",
    IF(OR(O693="", Q693="", R693=""),
        "Fill all the required columns",
        IFERROR(
            IF(OR(
                AND(R693="Marine Protected", VLOOKUP(O693, Reference!$A$2:$D$34, 4, FALSE) &lt;= P693),
                AND(R693="General Use", VLOOKUP(O693, Reference!$A$2:$D$34, 3, FALSE) &lt;= P693)
            ),
                "Exceeded",
                "OK"
            ),
            "No Regulation defined"
        )
    ),
    ""
)</f>
        <v/>
      </c>
      <c r="AB693" s="62" t="str">
        <f t="shared" si="10"/>
        <v/>
      </c>
    </row>
    <row r="694" spans="3:28" x14ac:dyDescent="0.2">
      <c r="C694" s="69"/>
      <c r="D694" s="70"/>
      <c r="S694" s="34"/>
      <c r="T694" s="60" t="str">
        <f>IF(P694&lt;&gt;"",
    IF(OR(O694="", Q694="", R694=""),
        "Fill all the required columns",
        IFERROR(
            IF(OR(
                AND(R694="Marine Protected", VLOOKUP(O694, Reference!$A$2:$D$34, 4, FALSE) &lt;= P694),
                AND(R694="General Use", VLOOKUP(O694, Reference!$A$2:$D$34, 3, FALSE) &lt;= P694)
            ),
                "Exceeded",
                "OK"
            ),
            "No Regulation defined"
        )
    ),
    ""
)</f>
        <v/>
      </c>
      <c r="AB694" s="62" t="str">
        <f t="shared" si="10"/>
        <v/>
      </c>
    </row>
    <row r="695" spans="3:28" x14ac:dyDescent="0.2">
      <c r="C695" s="69"/>
      <c r="D695" s="70"/>
      <c r="S695" s="34"/>
      <c r="T695" s="60" t="str">
        <f>IF(P695&lt;&gt;"",
    IF(OR(O695="", Q695="", R695=""),
        "Fill all the required columns",
        IFERROR(
            IF(OR(
                AND(R695="Marine Protected", VLOOKUP(O695, Reference!$A$2:$D$34, 4, FALSE) &lt;= P695),
                AND(R695="General Use", VLOOKUP(O695, Reference!$A$2:$D$34, 3, FALSE) &lt;= P695)
            ),
                "Exceeded",
                "OK"
            ),
            "No Regulation defined"
        )
    ),
    ""
)</f>
        <v/>
      </c>
      <c r="AB695" s="62" t="str">
        <f t="shared" si="10"/>
        <v/>
      </c>
    </row>
    <row r="696" spans="3:28" x14ac:dyDescent="0.2">
      <c r="C696" s="69"/>
      <c r="D696" s="70"/>
      <c r="S696" s="34"/>
      <c r="T696" s="60" t="str">
        <f>IF(P696&lt;&gt;"",
    IF(OR(O696="", Q696="", R696=""),
        "Fill all the required columns",
        IFERROR(
            IF(OR(
                AND(R696="Marine Protected", VLOOKUP(O696, Reference!$A$2:$D$34, 4, FALSE) &lt;= P696),
                AND(R696="General Use", VLOOKUP(O696, Reference!$A$2:$D$34, 3, FALSE) &lt;= P696)
            ),
                "Exceeded",
                "OK"
            ),
            "No Regulation defined"
        )
    ),
    ""
)</f>
        <v/>
      </c>
      <c r="AB696" s="62" t="str">
        <f t="shared" si="10"/>
        <v/>
      </c>
    </row>
    <row r="697" spans="3:28" x14ac:dyDescent="0.2">
      <c r="C697" s="69"/>
      <c r="D697" s="70"/>
      <c r="S697" s="34"/>
      <c r="T697" s="60" t="str">
        <f>IF(P697&lt;&gt;"",
    IF(OR(O697="", Q697="", R697=""),
        "Fill all the required columns",
        IFERROR(
            IF(OR(
                AND(R697="Marine Protected", VLOOKUP(O697, Reference!$A$2:$D$34, 4, FALSE) &lt;= P697),
                AND(R697="General Use", VLOOKUP(O697, Reference!$A$2:$D$34, 3, FALSE) &lt;= P697)
            ),
                "Exceeded",
                "OK"
            ),
            "No Regulation defined"
        )
    ),
    ""
)</f>
        <v/>
      </c>
      <c r="AB697" s="62" t="str">
        <f t="shared" si="10"/>
        <v/>
      </c>
    </row>
    <row r="698" spans="3:28" x14ac:dyDescent="0.2">
      <c r="C698" s="69"/>
      <c r="D698" s="70"/>
      <c r="S698" s="34"/>
      <c r="T698" s="60" t="str">
        <f>IF(P698&lt;&gt;"",
    IF(OR(O698="", Q698="", R698=""),
        "Fill all the required columns",
        IFERROR(
            IF(OR(
                AND(R698="Marine Protected", VLOOKUP(O698, Reference!$A$2:$D$34, 4, FALSE) &lt;= P698),
                AND(R698="General Use", VLOOKUP(O698, Reference!$A$2:$D$34, 3, FALSE) &lt;= P698)
            ),
                "Exceeded",
                "OK"
            ),
            "No Regulation defined"
        )
    ),
    ""
)</f>
        <v/>
      </c>
      <c r="AB698" s="62" t="str">
        <f t="shared" si="10"/>
        <v/>
      </c>
    </row>
    <row r="699" spans="3:28" x14ac:dyDescent="0.2">
      <c r="C699" s="69"/>
      <c r="D699" s="70"/>
      <c r="S699" s="34"/>
      <c r="T699" s="60" t="str">
        <f>IF(P699&lt;&gt;"",
    IF(OR(O699="", Q699="", R699=""),
        "Fill all the required columns",
        IFERROR(
            IF(OR(
                AND(R699="Marine Protected", VLOOKUP(O699, Reference!$A$2:$D$34, 4, FALSE) &lt;= P699),
                AND(R699="General Use", VLOOKUP(O699, Reference!$A$2:$D$34, 3, FALSE) &lt;= P699)
            ),
                "Exceeded",
                "OK"
            ),
            "No Regulation defined"
        )
    ),
    ""
)</f>
        <v/>
      </c>
      <c r="AB699" s="62" t="str">
        <f t="shared" si="10"/>
        <v/>
      </c>
    </row>
    <row r="700" spans="3:28" x14ac:dyDescent="0.2">
      <c r="C700" s="69"/>
      <c r="D700" s="70"/>
      <c r="S700" s="34"/>
      <c r="T700" s="60" t="str">
        <f>IF(P700&lt;&gt;"",
    IF(OR(O700="", Q700="", R700=""),
        "Fill all the required columns",
        IFERROR(
            IF(OR(
                AND(R700="Marine Protected", VLOOKUP(O700, Reference!$A$2:$D$34, 4, FALSE) &lt;= P700),
                AND(R700="General Use", VLOOKUP(O700, Reference!$A$2:$D$34, 3, FALSE) &lt;= P700)
            ),
                "Exceeded",
                "OK"
            ),
            "No Regulation defined"
        )
    ),
    ""
)</f>
        <v/>
      </c>
      <c r="AB700" s="62" t="str">
        <f t="shared" si="10"/>
        <v/>
      </c>
    </row>
    <row r="701" spans="3:28" x14ac:dyDescent="0.2">
      <c r="C701" s="69"/>
      <c r="D701" s="70"/>
      <c r="S701" s="34"/>
      <c r="T701" s="60" t="str">
        <f>IF(P701&lt;&gt;"",
    IF(OR(O701="", Q701="", R701=""),
        "Fill all the required columns",
        IFERROR(
            IF(OR(
                AND(R701="Marine Protected", VLOOKUP(O701, Reference!$A$2:$D$34, 4, FALSE) &lt;= P701),
                AND(R701="General Use", VLOOKUP(O701, Reference!$A$2:$D$34, 3, FALSE) &lt;= P701)
            ),
                "Exceeded",
                "OK"
            ),
            "No Regulation defined"
        )
    ),
    ""
)</f>
        <v/>
      </c>
      <c r="AB701" s="62" t="str">
        <f t="shared" si="10"/>
        <v/>
      </c>
    </row>
    <row r="702" spans="3:28" x14ac:dyDescent="0.2">
      <c r="C702" s="69"/>
      <c r="D702" s="70"/>
      <c r="S702" s="34"/>
      <c r="T702" s="60" t="str">
        <f>IF(P702&lt;&gt;"",
    IF(OR(O702="", Q702="", R702=""),
        "Fill all the required columns",
        IFERROR(
            IF(OR(
                AND(R702="Marine Protected", VLOOKUP(O702, Reference!$A$2:$D$34, 4, FALSE) &lt;= P702),
                AND(R702="General Use", VLOOKUP(O702, Reference!$A$2:$D$34, 3, FALSE) &lt;= P702)
            ),
                "Exceeded",
                "OK"
            ),
            "No Regulation defined"
        )
    ),
    ""
)</f>
        <v/>
      </c>
      <c r="AB702" s="62" t="str">
        <f t="shared" si="10"/>
        <v/>
      </c>
    </row>
    <row r="703" spans="3:28" x14ac:dyDescent="0.2">
      <c r="C703" s="69"/>
      <c r="D703" s="70"/>
      <c r="S703" s="34"/>
      <c r="T703" s="60" t="str">
        <f>IF(P703&lt;&gt;"",
    IF(OR(O703="", Q703="", R703=""),
        "Fill all the required columns",
        IFERROR(
            IF(OR(
                AND(R703="Marine Protected", VLOOKUP(O703, Reference!$A$2:$D$34, 4, FALSE) &lt;= P703),
                AND(R703="General Use", VLOOKUP(O703, Reference!$A$2:$D$34, 3, FALSE) &lt;= P703)
            ),
                "Exceeded",
                "OK"
            ),
            "No Regulation defined"
        )
    ),
    ""
)</f>
        <v/>
      </c>
      <c r="AB703" s="62" t="str">
        <f t="shared" si="10"/>
        <v/>
      </c>
    </row>
    <row r="704" spans="3:28" x14ac:dyDescent="0.2">
      <c r="C704" s="69"/>
      <c r="D704" s="70"/>
      <c r="S704" s="34"/>
      <c r="T704" s="60" t="str">
        <f>IF(P704&lt;&gt;"",
    IF(OR(O704="", Q704="", R704=""),
        "Fill all the required columns",
        IFERROR(
            IF(OR(
                AND(R704="Marine Protected", VLOOKUP(O704, Reference!$A$2:$D$34, 4, FALSE) &lt;= P704),
                AND(R704="General Use", VLOOKUP(O704, Reference!$A$2:$D$34, 3, FALSE) &lt;= P704)
            ),
                "Exceeded",
                "OK"
            ),
            "No Regulation defined"
        )
    ),
    ""
)</f>
        <v/>
      </c>
      <c r="AB704" s="62" t="str">
        <f t="shared" si="10"/>
        <v/>
      </c>
    </row>
    <row r="705" spans="3:28" x14ac:dyDescent="0.2">
      <c r="C705" s="69"/>
      <c r="D705" s="70"/>
      <c r="S705" s="34"/>
      <c r="T705" s="60" t="str">
        <f>IF(P705&lt;&gt;"",
    IF(OR(O705="", Q705="", R705=""),
        "Fill all the required columns",
        IFERROR(
            IF(OR(
                AND(R705="Marine Protected", VLOOKUP(O705, Reference!$A$2:$D$34, 4, FALSE) &lt;= P705),
                AND(R705="General Use", VLOOKUP(O705, Reference!$A$2:$D$34, 3, FALSE) &lt;= P705)
            ),
                "Exceeded",
                "OK"
            ),
            "No Regulation defined"
        )
    ),
    ""
)</f>
        <v/>
      </c>
      <c r="AB705" s="62" t="str">
        <f t="shared" si="10"/>
        <v/>
      </c>
    </row>
    <row r="706" spans="3:28" x14ac:dyDescent="0.2">
      <c r="C706" s="69"/>
      <c r="D706" s="70"/>
      <c r="S706" s="34"/>
      <c r="T706" s="60" t="str">
        <f>IF(P706&lt;&gt;"",
    IF(OR(O706="", Q706="", R706=""),
        "Fill all the required columns",
        IFERROR(
            IF(OR(
                AND(R706="Marine Protected", VLOOKUP(O706, Reference!$A$2:$D$34, 4, FALSE) &lt;= P706),
                AND(R706="General Use", VLOOKUP(O706, Reference!$A$2:$D$34, 3, FALSE) &lt;= P706)
            ),
                "Exceeded",
                "OK"
            ),
            "No Regulation defined"
        )
    ),
    ""
)</f>
        <v/>
      </c>
      <c r="AB706" s="62" t="str">
        <f t="shared" si="10"/>
        <v/>
      </c>
    </row>
    <row r="707" spans="3:28" x14ac:dyDescent="0.2">
      <c r="C707" s="69"/>
      <c r="D707" s="70"/>
      <c r="S707" s="34"/>
      <c r="T707" s="60" t="str">
        <f>IF(P707&lt;&gt;"",
    IF(OR(O707="", Q707="", R707=""),
        "Fill all the required columns",
        IFERROR(
            IF(OR(
                AND(R707="Marine Protected", VLOOKUP(O707, Reference!$A$2:$D$34, 4, FALSE) &lt;= P707),
                AND(R707="General Use", VLOOKUP(O707, Reference!$A$2:$D$34, 3, FALSE) &lt;= P707)
            ),
                "Exceeded",
                "OK"
            ),
            "No Regulation defined"
        )
    ),
    ""
)</f>
        <v/>
      </c>
      <c r="AB707" s="62" t="str">
        <f t="shared" ref="AB707:AB770" si="11">IF(COUNTA(A707, E707, F707, H707, I707, O707, P707, Q707, R707,S707) = 0, "", IF(COUNTA(A707, E707, F707, H707, I707, O707, P707, Q707, R707,S707) = 10, "OK", "Incomplete"))</f>
        <v/>
      </c>
    </row>
    <row r="708" spans="3:28" x14ac:dyDescent="0.2">
      <c r="C708" s="69"/>
      <c r="D708" s="70"/>
      <c r="S708" s="34"/>
      <c r="T708" s="60" t="str">
        <f>IF(P708&lt;&gt;"",
    IF(OR(O708="", Q708="", R708=""),
        "Fill all the required columns",
        IFERROR(
            IF(OR(
                AND(R708="Marine Protected", VLOOKUP(O708, Reference!$A$2:$D$34, 4, FALSE) &lt;= P708),
                AND(R708="General Use", VLOOKUP(O708, Reference!$A$2:$D$34, 3, FALSE) &lt;= P708)
            ),
                "Exceeded",
                "OK"
            ),
            "No Regulation defined"
        )
    ),
    ""
)</f>
        <v/>
      </c>
      <c r="AB708" s="62" t="str">
        <f t="shared" si="11"/>
        <v/>
      </c>
    </row>
    <row r="709" spans="3:28" x14ac:dyDescent="0.2">
      <c r="C709" s="69"/>
      <c r="D709" s="70"/>
      <c r="S709" s="34"/>
      <c r="T709" s="60" t="str">
        <f>IF(P709&lt;&gt;"",
    IF(OR(O709="", Q709="", R709=""),
        "Fill all the required columns",
        IFERROR(
            IF(OR(
                AND(R709="Marine Protected", VLOOKUP(O709, Reference!$A$2:$D$34, 4, FALSE) &lt;= P709),
                AND(R709="General Use", VLOOKUP(O709, Reference!$A$2:$D$34, 3, FALSE) &lt;= P709)
            ),
                "Exceeded",
                "OK"
            ),
            "No Regulation defined"
        )
    ),
    ""
)</f>
        <v/>
      </c>
      <c r="AB709" s="62" t="str">
        <f t="shared" si="11"/>
        <v/>
      </c>
    </row>
    <row r="710" spans="3:28" x14ac:dyDescent="0.2">
      <c r="C710" s="69"/>
      <c r="D710" s="70"/>
      <c r="S710" s="34"/>
      <c r="T710" s="60" t="str">
        <f>IF(P710&lt;&gt;"",
    IF(OR(O710="", Q710="", R710=""),
        "Fill all the required columns",
        IFERROR(
            IF(OR(
                AND(R710="Marine Protected", VLOOKUP(O710, Reference!$A$2:$D$34, 4, FALSE) &lt;= P710),
                AND(R710="General Use", VLOOKUP(O710, Reference!$A$2:$D$34, 3, FALSE) &lt;= P710)
            ),
                "Exceeded",
                "OK"
            ),
            "No Regulation defined"
        )
    ),
    ""
)</f>
        <v/>
      </c>
      <c r="AB710" s="62" t="str">
        <f t="shared" si="11"/>
        <v/>
      </c>
    </row>
    <row r="711" spans="3:28" x14ac:dyDescent="0.2">
      <c r="C711" s="69"/>
      <c r="D711" s="70"/>
      <c r="S711" s="34"/>
      <c r="T711" s="60" t="str">
        <f>IF(P711&lt;&gt;"",
    IF(OR(O711="", Q711="", R711=""),
        "Fill all the required columns",
        IFERROR(
            IF(OR(
                AND(R711="Marine Protected", VLOOKUP(O711, Reference!$A$2:$D$34, 4, FALSE) &lt;= P711),
                AND(R711="General Use", VLOOKUP(O711, Reference!$A$2:$D$34, 3, FALSE) &lt;= P711)
            ),
                "Exceeded",
                "OK"
            ),
            "No Regulation defined"
        )
    ),
    ""
)</f>
        <v/>
      </c>
      <c r="AB711" s="62" t="str">
        <f t="shared" si="11"/>
        <v/>
      </c>
    </row>
    <row r="712" spans="3:28" x14ac:dyDescent="0.2">
      <c r="C712" s="69"/>
      <c r="D712" s="70"/>
      <c r="S712" s="34"/>
      <c r="T712" s="60" t="str">
        <f>IF(P712&lt;&gt;"",
    IF(OR(O712="", Q712="", R712=""),
        "Fill all the required columns",
        IFERROR(
            IF(OR(
                AND(R712="Marine Protected", VLOOKUP(O712, Reference!$A$2:$D$34, 4, FALSE) &lt;= P712),
                AND(R712="General Use", VLOOKUP(O712, Reference!$A$2:$D$34, 3, FALSE) &lt;= P712)
            ),
                "Exceeded",
                "OK"
            ),
            "No Regulation defined"
        )
    ),
    ""
)</f>
        <v/>
      </c>
      <c r="AB712" s="62" t="str">
        <f t="shared" si="11"/>
        <v/>
      </c>
    </row>
    <row r="713" spans="3:28" x14ac:dyDescent="0.2">
      <c r="C713" s="69"/>
      <c r="D713" s="70"/>
      <c r="S713" s="34"/>
      <c r="T713" s="60" t="str">
        <f>IF(P713&lt;&gt;"",
    IF(OR(O713="", Q713="", R713=""),
        "Fill all the required columns",
        IFERROR(
            IF(OR(
                AND(R713="Marine Protected", VLOOKUP(O713, Reference!$A$2:$D$34, 4, FALSE) &lt;= P713),
                AND(R713="General Use", VLOOKUP(O713, Reference!$A$2:$D$34, 3, FALSE) &lt;= P713)
            ),
                "Exceeded",
                "OK"
            ),
            "No Regulation defined"
        )
    ),
    ""
)</f>
        <v/>
      </c>
      <c r="AB713" s="62" t="str">
        <f t="shared" si="11"/>
        <v/>
      </c>
    </row>
    <row r="714" spans="3:28" x14ac:dyDescent="0.2">
      <c r="C714" s="69"/>
      <c r="D714" s="70"/>
      <c r="S714" s="34"/>
      <c r="T714" s="60" t="str">
        <f>IF(P714&lt;&gt;"",
    IF(OR(O714="", Q714="", R714=""),
        "Fill all the required columns",
        IFERROR(
            IF(OR(
                AND(R714="Marine Protected", VLOOKUP(O714, Reference!$A$2:$D$34, 4, FALSE) &lt;= P714),
                AND(R714="General Use", VLOOKUP(O714, Reference!$A$2:$D$34, 3, FALSE) &lt;= P714)
            ),
                "Exceeded",
                "OK"
            ),
            "No Regulation defined"
        )
    ),
    ""
)</f>
        <v/>
      </c>
      <c r="AB714" s="62" t="str">
        <f t="shared" si="11"/>
        <v/>
      </c>
    </row>
    <row r="715" spans="3:28" x14ac:dyDescent="0.2">
      <c r="C715" s="69"/>
      <c r="D715" s="70"/>
      <c r="S715" s="34"/>
      <c r="T715" s="60" t="str">
        <f>IF(P715&lt;&gt;"",
    IF(OR(O715="", Q715="", R715=""),
        "Fill all the required columns",
        IFERROR(
            IF(OR(
                AND(R715="Marine Protected", VLOOKUP(O715, Reference!$A$2:$D$34, 4, FALSE) &lt;= P715),
                AND(R715="General Use", VLOOKUP(O715, Reference!$A$2:$D$34, 3, FALSE) &lt;= P715)
            ),
                "Exceeded",
                "OK"
            ),
            "No Regulation defined"
        )
    ),
    ""
)</f>
        <v/>
      </c>
      <c r="AB715" s="62" t="str">
        <f t="shared" si="11"/>
        <v/>
      </c>
    </row>
    <row r="716" spans="3:28" x14ac:dyDescent="0.2">
      <c r="C716" s="69"/>
      <c r="D716" s="70"/>
      <c r="S716" s="34"/>
      <c r="T716" s="60" t="str">
        <f>IF(P716&lt;&gt;"",
    IF(OR(O716="", Q716="", R716=""),
        "Fill all the required columns",
        IFERROR(
            IF(OR(
                AND(R716="Marine Protected", VLOOKUP(O716, Reference!$A$2:$D$34, 4, FALSE) &lt;= P716),
                AND(R716="General Use", VLOOKUP(O716, Reference!$A$2:$D$34, 3, FALSE) &lt;= P716)
            ),
                "Exceeded",
                "OK"
            ),
            "No Regulation defined"
        )
    ),
    ""
)</f>
        <v/>
      </c>
      <c r="AB716" s="62" t="str">
        <f t="shared" si="11"/>
        <v/>
      </c>
    </row>
    <row r="717" spans="3:28" x14ac:dyDescent="0.2">
      <c r="C717" s="69"/>
      <c r="D717" s="70"/>
      <c r="S717" s="34"/>
      <c r="T717" s="60" t="str">
        <f>IF(P717&lt;&gt;"",
    IF(OR(O717="", Q717="", R717=""),
        "Fill all the required columns",
        IFERROR(
            IF(OR(
                AND(R717="Marine Protected", VLOOKUP(O717, Reference!$A$2:$D$34, 4, FALSE) &lt;= P717),
                AND(R717="General Use", VLOOKUP(O717, Reference!$A$2:$D$34, 3, FALSE) &lt;= P717)
            ),
                "Exceeded",
                "OK"
            ),
            "No Regulation defined"
        )
    ),
    ""
)</f>
        <v/>
      </c>
      <c r="AB717" s="62" t="str">
        <f t="shared" si="11"/>
        <v/>
      </c>
    </row>
    <row r="718" spans="3:28" x14ac:dyDescent="0.2">
      <c r="C718" s="69"/>
      <c r="D718" s="70"/>
      <c r="S718" s="34"/>
      <c r="T718" s="60" t="str">
        <f>IF(P718&lt;&gt;"",
    IF(OR(O718="", Q718="", R718=""),
        "Fill all the required columns",
        IFERROR(
            IF(OR(
                AND(R718="Marine Protected", VLOOKUP(O718, Reference!$A$2:$D$34, 4, FALSE) &lt;= P718),
                AND(R718="General Use", VLOOKUP(O718, Reference!$A$2:$D$34, 3, FALSE) &lt;= P718)
            ),
                "Exceeded",
                "OK"
            ),
            "No Regulation defined"
        )
    ),
    ""
)</f>
        <v/>
      </c>
      <c r="AB718" s="62" t="str">
        <f t="shared" si="11"/>
        <v/>
      </c>
    </row>
    <row r="719" spans="3:28" x14ac:dyDescent="0.2">
      <c r="C719" s="69"/>
      <c r="D719" s="70"/>
      <c r="S719" s="34"/>
      <c r="T719" s="60" t="str">
        <f>IF(P719&lt;&gt;"",
    IF(OR(O719="", Q719="", R719=""),
        "Fill all the required columns",
        IFERROR(
            IF(OR(
                AND(R719="Marine Protected", VLOOKUP(O719, Reference!$A$2:$D$34, 4, FALSE) &lt;= P719),
                AND(R719="General Use", VLOOKUP(O719, Reference!$A$2:$D$34, 3, FALSE) &lt;= P719)
            ),
                "Exceeded",
                "OK"
            ),
            "No Regulation defined"
        )
    ),
    ""
)</f>
        <v/>
      </c>
      <c r="AB719" s="62" t="str">
        <f t="shared" si="11"/>
        <v/>
      </c>
    </row>
    <row r="720" spans="3:28" x14ac:dyDescent="0.2">
      <c r="C720" s="69"/>
      <c r="D720" s="70"/>
      <c r="S720" s="34"/>
      <c r="T720" s="60" t="str">
        <f>IF(P720&lt;&gt;"",
    IF(OR(O720="", Q720="", R720=""),
        "Fill all the required columns",
        IFERROR(
            IF(OR(
                AND(R720="Marine Protected", VLOOKUP(O720, Reference!$A$2:$D$34, 4, FALSE) &lt;= P720),
                AND(R720="General Use", VLOOKUP(O720, Reference!$A$2:$D$34, 3, FALSE) &lt;= P720)
            ),
                "Exceeded",
                "OK"
            ),
            "No Regulation defined"
        )
    ),
    ""
)</f>
        <v/>
      </c>
      <c r="AB720" s="62" t="str">
        <f t="shared" si="11"/>
        <v/>
      </c>
    </row>
    <row r="721" spans="3:28" x14ac:dyDescent="0.2">
      <c r="C721" s="69"/>
      <c r="D721" s="70"/>
      <c r="S721" s="34"/>
      <c r="T721" s="60" t="str">
        <f>IF(P721&lt;&gt;"",
    IF(OR(O721="", Q721="", R721=""),
        "Fill all the required columns",
        IFERROR(
            IF(OR(
                AND(R721="Marine Protected", VLOOKUP(O721, Reference!$A$2:$D$34, 4, FALSE) &lt;= P721),
                AND(R721="General Use", VLOOKUP(O721, Reference!$A$2:$D$34, 3, FALSE) &lt;= P721)
            ),
                "Exceeded",
                "OK"
            ),
            "No Regulation defined"
        )
    ),
    ""
)</f>
        <v/>
      </c>
      <c r="AB721" s="62" t="str">
        <f t="shared" si="11"/>
        <v/>
      </c>
    </row>
    <row r="722" spans="3:28" x14ac:dyDescent="0.2">
      <c r="C722" s="69"/>
      <c r="D722" s="70"/>
      <c r="S722" s="34"/>
      <c r="T722" s="60" t="str">
        <f>IF(P722&lt;&gt;"",
    IF(OR(O722="", Q722="", R722=""),
        "Fill all the required columns",
        IFERROR(
            IF(OR(
                AND(R722="Marine Protected", VLOOKUP(O722, Reference!$A$2:$D$34, 4, FALSE) &lt;= P722),
                AND(R722="General Use", VLOOKUP(O722, Reference!$A$2:$D$34, 3, FALSE) &lt;= P722)
            ),
                "Exceeded",
                "OK"
            ),
            "No Regulation defined"
        )
    ),
    ""
)</f>
        <v/>
      </c>
      <c r="AB722" s="62" t="str">
        <f t="shared" si="11"/>
        <v/>
      </c>
    </row>
    <row r="723" spans="3:28" x14ac:dyDescent="0.2">
      <c r="C723" s="69"/>
      <c r="D723" s="70"/>
      <c r="S723" s="34"/>
      <c r="T723" s="60" t="str">
        <f>IF(P723&lt;&gt;"",
    IF(OR(O723="", Q723="", R723=""),
        "Fill all the required columns",
        IFERROR(
            IF(OR(
                AND(R723="Marine Protected", VLOOKUP(O723, Reference!$A$2:$D$34, 4, FALSE) &lt;= P723),
                AND(R723="General Use", VLOOKUP(O723, Reference!$A$2:$D$34, 3, FALSE) &lt;= P723)
            ),
                "Exceeded",
                "OK"
            ),
            "No Regulation defined"
        )
    ),
    ""
)</f>
        <v/>
      </c>
      <c r="AB723" s="62" t="str">
        <f t="shared" si="11"/>
        <v/>
      </c>
    </row>
    <row r="724" spans="3:28" x14ac:dyDescent="0.2">
      <c r="C724" s="69"/>
      <c r="D724" s="70"/>
      <c r="S724" s="34"/>
      <c r="T724" s="60" t="str">
        <f>IF(P724&lt;&gt;"",
    IF(OR(O724="", Q724="", R724=""),
        "Fill all the required columns",
        IFERROR(
            IF(OR(
                AND(R724="Marine Protected", VLOOKUP(O724, Reference!$A$2:$D$34, 4, FALSE) &lt;= P724),
                AND(R724="General Use", VLOOKUP(O724, Reference!$A$2:$D$34, 3, FALSE) &lt;= P724)
            ),
                "Exceeded",
                "OK"
            ),
            "No Regulation defined"
        )
    ),
    ""
)</f>
        <v/>
      </c>
      <c r="AB724" s="62" t="str">
        <f t="shared" si="11"/>
        <v/>
      </c>
    </row>
    <row r="725" spans="3:28" x14ac:dyDescent="0.2">
      <c r="C725" s="69"/>
      <c r="D725" s="70"/>
      <c r="S725" s="34"/>
      <c r="T725" s="60" t="str">
        <f>IF(P725&lt;&gt;"",
    IF(OR(O725="", Q725="", R725=""),
        "Fill all the required columns",
        IFERROR(
            IF(OR(
                AND(R725="Marine Protected", VLOOKUP(O725, Reference!$A$2:$D$34, 4, FALSE) &lt;= P725),
                AND(R725="General Use", VLOOKUP(O725, Reference!$A$2:$D$34, 3, FALSE) &lt;= P725)
            ),
                "Exceeded",
                "OK"
            ),
            "No Regulation defined"
        )
    ),
    ""
)</f>
        <v/>
      </c>
      <c r="AB725" s="62" t="str">
        <f t="shared" si="11"/>
        <v/>
      </c>
    </row>
    <row r="726" spans="3:28" x14ac:dyDescent="0.2">
      <c r="C726" s="69"/>
      <c r="D726" s="70"/>
      <c r="S726" s="34"/>
      <c r="T726" s="60" t="str">
        <f>IF(P726&lt;&gt;"",
    IF(OR(O726="", Q726="", R726=""),
        "Fill all the required columns",
        IFERROR(
            IF(OR(
                AND(R726="Marine Protected", VLOOKUP(O726, Reference!$A$2:$D$34, 4, FALSE) &lt;= P726),
                AND(R726="General Use", VLOOKUP(O726, Reference!$A$2:$D$34, 3, FALSE) &lt;= P726)
            ),
                "Exceeded",
                "OK"
            ),
            "No Regulation defined"
        )
    ),
    ""
)</f>
        <v/>
      </c>
      <c r="AB726" s="62" t="str">
        <f t="shared" si="11"/>
        <v/>
      </c>
    </row>
    <row r="727" spans="3:28" x14ac:dyDescent="0.2">
      <c r="C727" s="69"/>
      <c r="D727" s="70"/>
      <c r="S727" s="34"/>
      <c r="T727" s="60" t="str">
        <f>IF(P727&lt;&gt;"",
    IF(OR(O727="", Q727="", R727=""),
        "Fill all the required columns",
        IFERROR(
            IF(OR(
                AND(R727="Marine Protected", VLOOKUP(O727, Reference!$A$2:$D$34, 4, FALSE) &lt;= P727),
                AND(R727="General Use", VLOOKUP(O727, Reference!$A$2:$D$34, 3, FALSE) &lt;= P727)
            ),
                "Exceeded",
                "OK"
            ),
            "No Regulation defined"
        )
    ),
    ""
)</f>
        <v/>
      </c>
      <c r="AB727" s="62" t="str">
        <f t="shared" si="11"/>
        <v/>
      </c>
    </row>
    <row r="728" spans="3:28" x14ac:dyDescent="0.2">
      <c r="C728" s="69"/>
      <c r="D728" s="70"/>
      <c r="S728" s="34"/>
      <c r="T728" s="60" t="str">
        <f>IF(P728&lt;&gt;"",
    IF(OR(O728="", Q728="", R728=""),
        "Fill all the required columns",
        IFERROR(
            IF(OR(
                AND(R728="Marine Protected", VLOOKUP(O728, Reference!$A$2:$D$34, 4, FALSE) &lt;= P728),
                AND(R728="General Use", VLOOKUP(O728, Reference!$A$2:$D$34, 3, FALSE) &lt;= P728)
            ),
                "Exceeded",
                "OK"
            ),
            "No Regulation defined"
        )
    ),
    ""
)</f>
        <v/>
      </c>
      <c r="AB728" s="62" t="str">
        <f t="shared" si="11"/>
        <v/>
      </c>
    </row>
    <row r="729" spans="3:28" x14ac:dyDescent="0.2">
      <c r="C729" s="69"/>
      <c r="D729" s="70"/>
      <c r="S729" s="34"/>
      <c r="T729" s="60" t="str">
        <f>IF(P729&lt;&gt;"",
    IF(OR(O729="", Q729="", R729=""),
        "Fill all the required columns",
        IFERROR(
            IF(OR(
                AND(R729="Marine Protected", VLOOKUP(O729, Reference!$A$2:$D$34, 4, FALSE) &lt;= P729),
                AND(R729="General Use", VLOOKUP(O729, Reference!$A$2:$D$34, 3, FALSE) &lt;= P729)
            ),
                "Exceeded",
                "OK"
            ),
            "No Regulation defined"
        )
    ),
    ""
)</f>
        <v/>
      </c>
      <c r="AB729" s="62" t="str">
        <f t="shared" si="11"/>
        <v/>
      </c>
    </row>
    <row r="730" spans="3:28" x14ac:dyDescent="0.2">
      <c r="C730" s="69"/>
      <c r="D730" s="70"/>
      <c r="S730" s="34"/>
      <c r="T730" s="60" t="str">
        <f>IF(P730&lt;&gt;"",
    IF(OR(O730="", Q730="", R730=""),
        "Fill all the required columns",
        IFERROR(
            IF(OR(
                AND(R730="Marine Protected", VLOOKUP(O730, Reference!$A$2:$D$34, 4, FALSE) &lt;= P730),
                AND(R730="General Use", VLOOKUP(O730, Reference!$A$2:$D$34, 3, FALSE) &lt;= P730)
            ),
                "Exceeded",
                "OK"
            ),
            "No Regulation defined"
        )
    ),
    ""
)</f>
        <v/>
      </c>
      <c r="AB730" s="62" t="str">
        <f t="shared" si="11"/>
        <v/>
      </c>
    </row>
    <row r="731" spans="3:28" x14ac:dyDescent="0.2">
      <c r="C731" s="69"/>
      <c r="D731" s="70"/>
      <c r="S731" s="34"/>
      <c r="T731" s="60" t="str">
        <f>IF(P731&lt;&gt;"",
    IF(OR(O731="", Q731="", R731=""),
        "Fill all the required columns",
        IFERROR(
            IF(OR(
                AND(R731="Marine Protected", VLOOKUP(O731, Reference!$A$2:$D$34, 4, FALSE) &lt;= P731),
                AND(R731="General Use", VLOOKUP(O731, Reference!$A$2:$D$34, 3, FALSE) &lt;= P731)
            ),
                "Exceeded",
                "OK"
            ),
            "No Regulation defined"
        )
    ),
    ""
)</f>
        <v/>
      </c>
      <c r="AB731" s="62" t="str">
        <f t="shared" si="11"/>
        <v/>
      </c>
    </row>
    <row r="732" spans="3:28" x14ac:dyDescent="0.2">
      <c r="C732" s="69"/>
      <c r="D732" s="70"/>
      <c r="S732" s="34"/>
      <c r="T732" s="60" t="str">
        <f>IF(P732&lt;&gt;"",
    IF(OR(O732="", Q732="", R732=""),
        "Fill all the required columns",
        IFERROR(
            IF(OR(
                AND(R732="Marine Protected", VLOOKUP(O732, Reference!$A$2:$D$34, 4, FALSE) &lt;= P732),
                AND(R732="General Use", VLOOKUP(O732, Reference!$A$2:$D$34, 3, FALSE) &lt;= P732)
            ),
                "Exceeded",
                "OK"
            ),
            "No Regulation defined"
        )
    ),
    ""
)</f>
        <v/>
      </c>
      <c r="AB732" s="62" t="str">
        <f t="shared" si="11"/>
        <v/>
      </c>
    </row>
    <row r="733" spans="3:28" x14ac:dyDescent="0.2">
      <c r="C733" s="69"/>
      <c r="D733" s="70"/>
      <c r="S733" s="34"/>
      <c r="T733" s="60" t="str">
        <f>IF(P733&lt;&gt;"",
    IF(OR(O733="", Q733="", R733=""),
        "Fill all the required columns",
        IFERROR(
            IF(OR(
                AND(R733="Marine Protected", VLOOKUP(O733, Reference!$A$2:$D$34, 4, FALSE) &lt;= P733),
                AND(R733="General Use", VLOOKUP(O733, Reference!$A$2:$D$34, 3, FALSE) &lt;= P733)
            ),
                "Exceeded",
                "OK"
            ),
            "No Regulation defined"
        )
    ),
    ""
)</f>
        <v/>
      </c>
      <c r="AB733" s="62" t="str">
        <f t="shared" si="11"/>
        <v/>
      </c>
    </row>
    <row r="734" spans="3:28" x14ac:dyDescent="0.2">
      <c r="C734" s="69"/>
      <c r="D734" s="70"/>
      <c r="S734" s="34"/>
      <c r="T734" s="60" t="str">
        <f>IF(P734&lt;&gt;"",
    IF(OR(O734="", Q734="", R734=""),
        "Fill all the required columns",
        IFERROR(
            IF(OR(
                AND(R734="Marine Protected", VLOOKUP(O734, Reference!$A$2:$D$34, 4, FALSE) &lt;= P734),
                AND(R734="General Use", VLOOKUP(O734, Reference!$A$2:$D$34, 3, FALSE) &lt;= P734)
            ),
                "Exceeded",
                "OK"
            ),
            "No Regulation defined"
        )
    ),
    ""
)</f>
        <v/>
      </c>
      <c r="AB734" s="62" t="str">
        <f t="shared" si="11"/>
        <v/>
      </c>
    </row>
    <row r="735" spans="3:28" x14ac:dyDescent="0.2">
      <c r="C735" s="69"/>
      <c r="D735" s="70"/>
      <c r="S735" s="34"/>
      <c r="T735" s="60" t="str">
        <f>IF(P735&lt;&gt;"",
    IF(OR(O735="", Q735="", R735=""),
        "Fill all the required columns",
        IFERROR(
            IF(OR(
                AND(R735="Marine Protected", VLOOKUP(O735, Reference!$A$2:$D$34, 4, FALSE) &lt;= P735),
                AND(R735="General Use", VLOOKUP(O735, Reference!$A$2:$D$34, 3, FALSE) &lt;= P735)
            ),
                "Exceeded",
                "OK"
            ),
            "No Regulation defined"
        )
    ),
    ""
)</f>
        <v/>
      </c>
      <c r="AB735" s="62" t="str">
        <f t="shared" si="11"/>
        <v/>
      </c>
    </row>
    <row r="736" spans="3:28" x14ac:dyDescent="0.2">
      <c r="C736" s="69"/>
      <c r="D736" s="70"/>
      <c r="S736" s="34"/>
      <c r="T736" s="60" t="str">
        <f>IF(P736&lt;&gt;"",
    IF(OR(O736="", Q736="", R736=""),
        "Fill all the required columns",
        IFERROR(
            IF(OR(
                AND(R736="Marine Protected", VLOOKUP(O736, Reference!$A$2:$D$34, 4, FALSE) &lt;= P736),
                AND(R736="General Use", VLOOKUP(O736, Reference!$A$2:$D$34, 3, FALSE) &lt;= P736)
            ),
                "Exceeded",
                "OK"
            ),
            "No Regulation defined"
        )
    ),
    ""
)</f>
        <v/>
      </c>
      <c r="AB736" s="62" t="str">
        <f t="shared" si="11"/>
        <v/>
      </c>
    </row>
    <row r="737" spans="3:28" x14ac:dyDescent="0.2">
      <c r="C737" s="69"/>
      <c r="D737" s="70"/>
      <c r="S737" s="34"/>
      <c r="T737" s="60" t="str">
        <f>IF(P737&lt;&gt;"",
    IF(OR(O737="", Q737="", R737=""),
        "Fill all the required columns",
        IFERROR(
            IF(OR(
                AND(R737="Marine Protected", VLOOKUP(O737, Reference!$A$2:$D$34, 4, FALSE) &lt;= P737),
                AND(R737="General Use", VLOOKUP(O737, Reference!$A$2:$D$34, 3, FALSE) &lt;= P737)
            ),
                "Exceeded",
                "OK"
            ),
            "No Regulation defined"
        )
    ),
    ""
)</f>
        <v/>
      </c>
      <c r="AB737" s="62" t="str">
        <f t="shared" si="11"/>
        <v/>
      </c>
    </row>
    <row r="738" spans="3:28" x14ac:dyDescent="0.2">
      <c r="C738" s="69"/>
      <c r="D738" s="70"/>
      <c r="S738" s="34"/>
      <c r="T738" s="60" t="str">
        <f>IF(P738&lt;&gt;"",
    IF(OR(O738="", Q738="", R738=""),
        "Fill all the required columns",
        IFERROR(
            IF(OR(
                AND(R738="Marine Protected", VLOOKUP(O738, Reference!$A$2:$D$34, 4, FALSE) &lt;= P738),
                AND(R738="General Use", VLOOKUP(O738, Reference!$A$2:$D$34, 3, FALSE) &lt;= P738)
            ),
                "Exceeded",
                "OK"
            ),
            "No Regulation defined"
        )
    ),
    ""
)</f>
        <v/>
      </c>
      <c r="AB738" s="62" t="str">
        <f t="shared" si="11"/>
        <v/>
      </c>
    </row>
    <row r="739" spans="3:28" x14ac:dyDescent="0.2">
      <c r="C739" s="69"/>
      <c r="D739" s="70"/>
      <c r="S739" s="34"/>
      <c r="T739" s="60" t="str">
        <f>IF(P739&lt;&gt;"",
    IF(OR(O739="", Q739="", R739=""),
        "Fill all the required columns",
        IFERROR(
            IF(OR(
                AND(R739="Marine Protected", VLOOKUP(O739, Reference!$A$2:$D$34, 4, FALSE) &lt;= P739),
                AND(R739="General Use", VLOOKUP(O739, Reference!$A$2:$D$34, 3, FALSE) &lt;= P739)
            ),
                "Exceeded",
                "OK"
            ),
            "No Regulation defined"
        )
    ),
    ""
)</f>
        <v/>
      </c>
      <c r="AB739" s="62" t="str">
        <f t="shared" si="11"/>
        <v/>
      </c>
    </row>
    <row r="740" spans="3:28" x14ac:dyDescent="0.2">
      <c r="C740" s="69"/>
      <c r="D740" s="70"/>
      <c r="S740" s="34"/>
      <c r="T740" s="60" t="str">
        <f>IF(P740&lt;&gt;"",
    IF(OR(O740="", Q740="", R740=""),
        "Fill all the required columns",
        IFERROR(
            IF(OR(
                AND(R740="Marine Protected", VLOOKUP(O740, Reference!$A$2:$D$34, 4, FALSE) &lt;= P740),
                AND(R740="General Use", VLOOKUP(O740, Reference!$A$2:$D$34, 3, FALSE) &lt;= P740)
            ),
                "Exceeded",
                "OK"
            ),
            "No Regulation defined"
        )
    ),
    ""
)</f>
        <v/>
      </c>
      <c r="AB740" s="62" t="str">
        <f t="shared" si="11"/>
        <v/>
      </c>
    </row>
    <row r="741" spans="3:28" x14ac:dyDescent="0.2">
      <c r="C741" s="69"/>
      <c r="D741" s="70"/>
      <c r="S741" s="34"/>
      <c r="T741" s="60" t="str">
        <f>IF(P741&lt;&gt;"",
    IF(OR(O741="", Q741="", R741=""),
        "Fill all the required columns",
        IFERROR(
            IF(OR(
                AND(R741="Marine Protected", VLOOKUP(O741, Reference!$A$2:$D$34, 4, FALSE) &lt;= P741),
                AND(R741="General Use", VLOOKUP(O741, Reference!$A$2:$D$34, 3, FALSE) &lt;= P741)
            ),
                "Exceeded",
                "OK"
            ),
            "No Regulation defined"
        )
    ),
    ""
)</f>
        <v/>
      </c>
      <c r="AB741" s="62" t="str">
        <f t="shared" si="11"/>
        <v/>
      </c>
    </row>
    <row r="742" spans="3:28" x14ac:dyDescent="0.2">
      <c r="C742" s="69"/>
      <c r="D742" s="70"/>
      <c r="S742" s="34"/>
      <c r="T742" s="60" t="str">
        <f>IF(P742&lt;&gt;"",
    IF(OR(O742="", Q742="", R742=""),
        "Fill all the required columns",
        IFERROR(
            IF(OR(
                AND(R742="Marine Protected", VLOOKUP(O742, Reference!$A$2:$D$34, 4, FALSE) &lt;= P742),
                AND(R742="General Use", VLOOKUP(O742, Reference!$A$2:$D$34, 3, FALSE) &lt;= P742)
            ),
                "Exceeded",
                "OK"
            ),
            "No Regulation defined"
        )
    ),
    ""
)</f>
        <v/>
      </c>
      <c r="AB742" s="62" t="str">
        <f t="shared" si="11"/>
        <v/>
      </c>
    </row>
    <row r="743" spans="3:28" x14ac:dyDescent="0.2">
      <c r="C743" s="69"/>
      <c r="D743" s="70"/>
      <c r="S743" s="34"/>
      <c r="T743" s="60" t="str">
        <f>IF(P743&lt;&gt;"",
    IF(OR(O743="", Q743="", R743=""),
        "Fill all the required columns",
        IFERROR(
            IF(OR(
                AND(R743="Marine Protected", VLOOKUP(O743, Reference!$A$2:$D$34, 4, FALSE) &lt;= P743),
                AND(R743="General Use", VLOOKUP(O743, Reference!$A$2:$D$34, 3, FALSE) &lt;= P743)
            ),
                "Exceeded",
                "OK"
            ),
            "No Regulation defined"
        )
    ),
    ""
)</f>
        <v/>
      </c>
      <c r="AB743" s="62" t="str">
        <f t="shared" si="11"/>
        <v/>
      </c>
    </row>
    <row r="744" spans="3:28" x14ac:dyDescent="0.2">
      <c r="C744" s="69"/>
      <c r="D744" s="70"/>
      <c r="S744" s="34"/>
      <c r="T744" s="60" t="str">
        <f>IF(P744&lt;&gt;"",
    IF(OR(O744="", Q744="", R744=""),
        "Fill all the required columns",
        IFERROR(
            IF(OR(
                AND(R744="Marine Protected", VLOOKUP(O744, Reference!$A$2:$D$34, 4, FALSE) &lt;= P744),
                AND(R744="General Use", VLOOKUP(O744, Reference!$A$2:$D$34, 3, FALSE) &lt;= P744)
            ),
                "Exceeded",
                "OK"
            ),
            "No Regulation defined"
        )
    ),
    ""
)</f>
        <v/>
      </c>
      <c r="AB744" s="62" t="str">
        <f t="shared" si="11"/>
        <v/>
      </c>
    </row>
    <row r="745" spans="3:28" x14ac:dyDescent="0.2">
      <c r="C745" s="69"/>
      <c r="D745" s="70"/>
      <c r="S745" s="34"/>
      <c r="T745" s="60" t="str">
        <f>IF(P745&lt;&gt;"",
    IF(OR(O745="", Q745="", R745=""),
        "Fill all the required columns",
        IFERROR(
            IF(OR(
                AND(R745="Marine Protected", VLOOKUP(O745, Reference!$A$2:$D$34, 4, FALSE) &lt;= P745),
                AND(R745="General Use", VLOOKUP(O745, Reference!$A$2:$D$34, 3, FALSE) &lt;= P745)
            ),
                "Exceeded",
                "OK"
            ),
            "No Regulation defined"
        )
    ),
    ""
)</f>
        <v/>
      </c>
      <c r="AB745" s="62" t="str">
        <f t="shared" si="11"/>
        <v/>
      </c>
    </row>
    <row r="746" spans="3:28" x14ac:dyDescent="0.2">
      <c r="C746" s="69"/>
      <c r="D746" s="70"/>
      <c r="S746" s="34"/>
      <c r="T746" s="60" t="str">
        <f>IF(P746&lt;&gt;"",
    IF(OR(O746="", Q746="", R746=""),
        "Fill all the required columns",
        IFERROR(
            IF(OR(
                AND(R746="Marine Protected", VLOOKUP(O746, Reference!$A$2:$D$34, 4, FALSE) &lt;= P746),
                AND(R746="General Use", VLOOKUP(O746, Reference!$A$2:$D$34, 3, FALSE) &lt;= P746)
            ),
                "Exceeded",
                "OK"
            ),
            "No Regulation defined"
        )
    ),
    ""
)</f>
        <v/>
      </c>
      <c r="AB746" s="62" t="str">
        <f t="shared" si="11"/>
        <v/>
      </c>
    </row>
    <row r="747" spans="3:28" x14ac:dyDescent="0.2">
      <c r="C747" s="69"/>
      <c r="D747" s="70"/>
      <c r="S747" s="34"/>
      <c r="T747" s="60" t="str">
        <f>IF(P747&lt;&gt;"",
    IF(OR(O747="", Q747="", R747=""),
        "Fill all the required columns",
        IFERROR(
            IF(OR(
                AND(R747="Marine Protected", VLOOKUP(O747, Reference!$A$2:$D$34, 4, FALSE) &lt;= P747),
                AND(R747="General Use", VLOOKUP(O747, Reference!$A$2:$D$34, 3, FALSE) &lt;= P747)
            ),
                "Exceeded",
                "OK"
            ),
            "No Regulation defined"
        )
    ),
    ""
)</f>
        <v/>
      </c>
      <c r="AB747" s="62" t="str">
        <f t="shared" si="11"/>
        <v/>
      </c>
    </row>
    <row r="748" spans="3:28" x14ac:dyDescent="0.2">
      <c r="C748" s="69"/>
      <c r="D748" s="70"/>
      <c r="S748" s="34"/>
      <c r="T748" s="60" t="str">
        <f>IF(P748&lt;&gt;"",
    IF(OR(O748="", Q748="", R748=""),
        "Fill all the required columns",
        IFERROR(
            IF(OR(
                AND(R748="Marine Protected", VLOOKUP(O748, Reference!$A$2:$D$34, 4, FALSE) &lt;= P748),
                AND(R748="General Use", VLOOKUP(O748, Reference!$A$2:$D$34, 3, FALSE) &lt;= P748)
            ),
                "Exceeded",
                "OK"
            ),
            "No Regulation defined"
        )
    ),
    ""
)</f>
        <v/>
      </c>
      <c r="AB748" s="62" t="str">
        <f t="shared" si="11"/>
        <v/>
      </c>
    </row>
    <row r="749" spans="3:28" x14ac:dyDescent="0.2">
      <c r="C749" s="69"/>
      <c r="D749" s="70"/>
      <c r="S749" s="34"/>
      <c r="T749" s="60" t="str">
        <f>IF(P749&lt;&gt;"",
    IF(OR(O749="", Q749="", R749=""),
        "Fill all the required columns",
        IFERROR(
            IF(OR(
                AND(R749="Marine Protected", VLOOKUP(O749, Reference!$A$2:$D$34, 4, FALSE) &lt;= P749),
                AND(R749="General Use", VLOOKUP(O749, Reference!$A$2:$D$34, 3, FALSE) &lt;= P749)
            ),
                "Exceeded",
                "OK"
            ),
            "No Regulation defined"
        )
    ),
    ""
)</f>
        <v/>
      </c>
      <c r="AB749" s="62" t="str">
        <f t="shared" si="11"/>
        <v/>
      </c>
    </row>
    <row r="750" spans="3:28" x14ac:dyDescent="0.2">
      <c r="C750" s="69"/>
      <c r="D750" s="70"/>
      <c r="S750" s="34"/>
      <c r="T750" s="60" t="str">
        <f>IF(P750&lt;&gt;"",
    IF(OR(O750="", Q750="", R750=""),
        "Fill all the required columns",
        IFERROR(
            IF(OR(
                AND(R750="Marine Protected", VLOOKUP(O750, Reference!$A$2:$D$34, 4, FALSE) &lt;= P750),
                AND(R750="General Use", VLOOKUP(O750, Reference!$A$2:$D$34, 3, FALSE) &lt;= P750)
            ),
                "Exceeded",
                "OK"
            ),
            "No Regulation defined"
        )
    ),
    ""
)</f>
        <v/>
      </c>
      <c r="AB750" s="62" t="str">
        <f t="shared" si="11"/>
        <v/>
      </c>
    </row>
    <row r="751" spans="3:28" x14ac:dyDescent="0.2">
      <c r="C751" s="69"/>
      <c r="D751" s="70"/>
      <c r="S751" s="34"/>
      <c r="T751" s="60" t="str">
        <f>IF(P751&lt;&gt;"",
    IF(OR(O751="", Q751="", R751=""),
        "Fill all the required columns",
        IFERROR(
            IF(OR(
                AND(R751="Marine Protected", VLOOKUP(O751, Reference!$A$2:$D$34, 4, FALSE) &lt;= P751),
                AND(R751="General Use", VLOOKUP(O751, Reference!$A$2:$D$34, 3, FALSE) &lt;= P751)
            ),
                "Exceeded",
                "OK"
            ),
            "No Regulation defined"
        )
    ),
    ""
)</f>
        <v/>
      </c>
      <c r="AB751" s="62" t="str">
        <f t="shared" si="11"/>
        <v/>
      </c>
    </row>
    <row r="752" spans="3:28" x14ac:dyDescent="0.2">
      <c r="C752" s="69"/>
      <c r="D752" s="70"/>
      <c r="S752" s="34"/>
      <c r="T752" s="60" t="str">
        <f>IF(P752&lt;&gt;"",
    IF(OR(O752="", Q752="", R752=""),
        "Fill all the required columns",
        IFERROR(
            IF(OR(
                AND(R752="Marine Protected", VLOOKUP(O752, Reference!$A$2:$D$34, 4, FALSE) &lt;= P752),
                AND(R752="General Use", VLOOKUP(O752, Reference!$A$2:$D$34, 3, FALSE) &lt;= P752)
            ),
                "Exceeded",
                "OK"
            ),
            "No Regulation defined"
        )
    ),
    ""
)</f>
        <v/>
      </c>
      <c r="AB752" s="62" t="str">
        <f t="shared" si="11"/>
        <v/>
      </c>
    </row>
    <row r="753" spans="3:28" x14ac:dyDescent="0.2">
      <c r="C753" s="69"/>
      <c r="D753" s="70"/>
      <c r="S753" s="34"/>
      <c r="T753" s="60" t="str">
        <f>IF(P753&lt;&gt;"",
    IF(OR(O753="", Q753="", R753=""),
        "Fill all the required columns",
        IFERROR(
            IF(OR(
                AND(R753="Marine Protected", VLOOKUP(O753, Reference!$A$2:$D$34, 4, FALSE) &lt;= P753),
                AND(R753="General Use", VLOOKUP(O753, Reference!$A$2:$D$34, 3, FALSE) &lt;= P753)
            ),
                "Exceeded",
                "OK"
            ),
            "No Regulation defined"
        )
    ),
    ""
)</f>
        <v/>
      </c>
      <c r="AB753" s="62" t="str">
        <f t="shared" si="11"/>
        <v/>
      </c>
    </row>
    <row r="754" spans="3:28" x14ac:dyDescent="0.2">
      <c r="C754" s="69"/>
      <c r="D754" s="70"/>
      <c r="S754" s="34"/>
      <c r="T754" s="60" t="str">
        <f>IF(P754&lt;&gt;"",
    IF(OR(O754="", Q754="", R754=""),
        "Fill all the required columns",
        IFERROR(
            IF(OR(
                AND(R754="Marine Protected", VLOOKUP(O754, Reference!$A$2:$D$34, 4, FALSE) &lt;= P754),
                AND(R754="General Use", VLOOKUP(O754, Reference!$A$2:$D$34, 3, FALSE) &lt;= P754)
            ),
                "Exceeded",
                "OK"
            ),
            "No Regulation defined"
        )
    ),
    ""
)</f>
        <v/>
      </c>
      <c r="AB754" s="62" t="str">
        <f t="shared" si="11"/>
        <v/>
      </c>
    </row>
    <row r="755" spans="3:28" x14ac:dyDescent="0.2">
      <c r="C755" s="69"/>
      <c r="D755" s="70"/>
      <c r="S755" s="34"/>
      <c r="T755" s="60" t="str">
        <f>IF(P755&lt;&gt;"",
    IF(OR(O755="", Q755="", R755=""),
        "Fill all the required columns",
        IFERROR(
            IF(OR(
                AND(R755="Marine Protected", VLOOKUP(O755, Reference!$A$2:$D$34, 4, FALSE) &lt;= P755),
                AND(R755="General Use", VLOOKUP(O755, Reference!$A$2:$D$34, 3, FALSE) &lt;= P755)
            ),
                "Exceeded",
                "OK"
            ),
            "No Regulation defined"
        )
    ),
    ""
)</f>
        <v/>
      </c>
      <c r="AB755" s="62" t="str">
        <f t="shared" si="11"/>
        <v/>
      </c>
    </row>
    <row r="756" spans="3:28" x14ac:dyDescent="0.2">
      <c r="C756" s="69"/>
      <c r="D756" s="70"/>
      <c r="S756" s="34"/>
      <c r="T756" s="60" t="str">
        <f>IF(P756&lt;&gt;"",
    IF(OR(O756="", Q756="", R756=""),
        "Fill all the required columns",
        IFERROR(
            IF(OR(
                AND(R756="Marine Protected", VLOOKUP(O756, Reference!$A$2:$D$34, 4, FALSE) &lt;= P756),
                AND(R756="General Use", VLOOKUP(O756, Reference!$A$2:$D$34, 3, FALSE) &lt;= P756)
            ),
                "Exceeded",
                "OK"
            ),
            "No Regulation defined"
        )
    ),
    ""
)</f>
        <v/>
      </c>
      <c r="AB756" s="62" t="str">
        <f t="shared" si="11"/>
        <v/>
      </c>
    </row>
    <row r="757" spans="3:28" x14ac:dyDescent="0.2">
      <c r="C757" s="69"/>
      <c r="D757" s="70"/>
      <c r="S757" s="34"/>
      <c r="T757" s="60" t="str">
        <f>IF(P757&lt;&gt;"",
    IF(OR(O757="", Q757="", R757=""),
        "Fill all the required columns",
        IFERROR(
            IF(OR(
                AND(R757="Marine Protected", VLOOKUP(O757, Reference!$A$2:$D$34, 4, FALSE) &lt;= P757),
                AND(R757="General Use", VLOOKUP(O757, Reference!$A$2:$D$34, 3, FALSE) &lt;= P757)
            ),
                "Exceeded",
                "OK"
            ),
            "No Regulation defined"
        )
    ),
    ""
)</f>
        <v/>
      </c>
      <c r="AB757" s="62" t="str">
        <f t="shared" si="11"/>
        <v/>
      </c>
    </row>
    <row r="758" spans="3:28" x14ac:dyDescent="0.2">
      <c r="C758" s="69"/>
      <c r="D758" s="70"/>
      <c r="S758" s="34"/>
      <c r="T758" s="60" t="str">
        <f>IF(P758&lt;&gt;"",
    IF(OR(O758="", Q758="", R758=""),
        "Fill all the required columns",
        IFERROR(
            IF(OR(
                AND(R758="Marine Protected", VLOOKUP(O758, Reference!$A$2:$D$34, 4, FALSE) &lt;= P758),
                AND(R758="General Use", VLOOKUP(O758, Reference!$A$2:$D$34, 3, FALSE) &lt;= P758)
            ),
                "Exceeded",
                "OK"
            ),
            "No Regulation defined"
        )
    ),
    ""
)</f>
        <v/>
      </c>
      <c r="AB758" s="62" t="str">
        <f t="shared" si="11"/>
        <v/>
      </c>
    </row>
    <row r="759" spans="3:28" x14ac:dyDescent="0.2">
      <c r="C759" s="69"/>
      <c r="D759" s="70"/>
      <c r="S759" s="34"/>
      <c r="T759" s="60" t="str">
        <f>IF(P759&lt;&gt;"",
    IF(OR(O759="", Q759="", R759=""),
        "Fill all the required columns",
        IFERROR(
            IF(OR(
                AND(R759="Marine Protected", VLOOKUP(O759, Reference!$A$2:$D$34, 4, FALSE) &lt;= P759),
                AND(R759="General Use", VLOOKUP(O759, Reference!$A$2:$D$34, 3, FALSE) &lt;= P759)
            ),
                "Exceeded",
                "OK"
            ),
            "No Regulation defined"
        )
    ),
    ""
)</f>
        <v/>
      </c>
      <c r="AB759" s="62" t="str">
        <f t="shared" si="11"/>
        <v/>
      </c>
    </row>
    <row r="760" spans="3:28" x14ac:dyDescent="0.2">
      <c r="C760" s="69"/>
      <c r="D760" s="70"/>
      <c r="S760" s="34"/>
      <c r="T760" s="60" t="str">
        <f>IF(P760&lt;&gt;"",
    IF(OR(O760="", Q760="", R760=""),
        "Fill all the required columns",
        IFERROR(
            IF(OR(
                AND(R760="Marine Protected", VLOOKUP(O760, Reference!$A$2:$D$34, 4, FALSE) &lt;= P760),
                AND(R760="General Use", VLOOKUP(O760, Reference!$A$2:$D$34, 3, FALSE) &lt;= P760)
            ),
                "Exceeded",
                "OK"
            ),
            "No Regulation defined"
        )
    ),
    ""
)</f>
        <v/>
      </c>
      <c r="AB760" s="62" t="str">
        <f t="shared" si="11"/>
        <v/>
      </c>
    </row>
    <row r="761" spans="3:28" x14ac:dyDescent="0.2">
      <c r="C761" s="69"/>
      <c r="D761" s="70"/>
      <c r="S761" s="34"/>
      <c r="T761" s="60" t="str">
        <f>IF(P761&lt;&gt;"",
    IF(OR(O761="", Q761="", R761=""),
        "Fill all the required columns",
        IFERROR(
            IF(OR(
                AND(R761="Marine Protected", VLOOKUP(O761, Reference!$A$2:$D$34, 4, FALSE) &lt;= P761),
                AND(R761="General Use", VLOOKUP(O761, Reference!$A$2:$D$34, 3, FALSE) &lt;= P761)
            ),
                "Exceeded",
                "OK"
            ),
            "No Regulation defined"
        )
    ),
    ""
)</f>
        <v/>
      </c>
      <c r="AB761" s="62" t="str">
        <f t="shared" si="11"/>
        <v/>
      </c>
    </row>
    <row r="762" spans="3:28" x14ac:dyDescent="0.2">
      <c r="C762" s="69"/>
      <c r="D762" s="70"/>
      <c r="S762" s="34"/>
      <c r="T762" s="60" t="str">
        <f>IF(P762&lt;&gt;"",
    IF(OR(O762="", Q762="", R762=""),
        "Fill all the required columns",
        IFERROR(
            IF(OR(
                AND(R762="Marine Protected", VLOOKUP(O762, Reference!$A$2:$D$34, 4, FALSE) &lt;= P762),
                AND(R762="General Use", VLOOKUP(O762, Reference!$A$2:$D$34, 3, FALSE) &lt;= P762)
            ),
                "Exceeded",
                "OK"
            ),
            "No Regulation defined"
        )
    ),
    ""
)</f>
        <v/>
      </c>
      <c r="AB762" s="62" t="str">
        <f t="shared" si="11"/>
        <v/>
      </c>
    </row>
    <row r="763" spans="3:28" x14ac:dyDescent="0.2">
      <c r="C763" s="69"/>
      <c r="D763" s="70"/>
      <c r="S763" s="34"/>
      <c r="T763" s="60" t="str">
        <f>IF(P763&lt;&gt;"",
    IF(OR(O763="", Q763="", R763=""),
        "Fill all the required columns",
        IFERROR(
            IF(OR(
                AND(R763="Marine Protected", VLOOKUP(O763, Reference!$A$2:$D$34, 4, FALSE) &lt;= P763),
                AND(R763="General Use", VLOOKUP(O763, Reference!$A$2:$D$34, 3, FALSE) &lt;= P763)
            ),
                "Exceeded",
                "OK"
            ),
            "No Regulation defined"
        )
    ),
    ""
)</f>
        <v/>
      </c>
      <c r="AB763" s="62" t="str">
        <f t="shared" si="11"/>
        <v/>
      </c>
    </row>
    <row r="764" spans="3:28" x14ac:dyDescent="0.2">
      <c r="C764" s="69"/>
      <c r="D764" s="70"/>
      <c r="S764" s="34"/>
      <c r="T764" s="60" t="str">
        <f>IF(P764&lt;&gt;"",
    IF(OR(O764="", Q764="", R764=""),
        "Fill all the required columns",
        IFERROR(
            IF(OR(
                AND(R764="Marine Protected", VLOOKUP(O764, Reference!$A$2:$D$34, 4, FALSE) &lt;= P764),
                AND(R764="General Use", VLOOKUP(O764, Reference!$A$2:$D$34, 3, FALSE) &lt;= P764)
            ),
                "Exceeded",
                "OK"
            ),
            "No Regulation defined"
        )
    ),
    ""
)</f>
        <v/>
      </c>
      <c r="AB764" s="62" t="str">
        <f t="shared" si="11"/>
        <v/>
      </c>
    </row>
    <row r="765" spans="3:28" x14ac:dyDescent="0.2">
      <c r="C765" s="69"/>
      <c r="D765" s="70"/>
      <c r="S765" s="34"/>
      <c r="T765" s="60" t="str">
        <f>IF(P765&lt;&gt;"",
    IF(OR(O765="", Q765="", R765=""),
        "Fill all the required columns",
        IFERROR(
            IF(OR(
                AND(R765="Marine Protected", VLOOKUP(O765, Reference!$A$2:$D$34, 4, FALSE) &lt;= P765),
                AND(R765="General Use", VLOOKUP(O765, Reference!$A$2:$D$34, 3, FALSE) &lt;= P765)
            ),
                "Exceeded",
                "OK"
            ),
            "No Regulation defined"
        )
    ),
    ""
)</f>
        <v/>
      </c>
      <c r="AB765" s="62" t="str">
        <f t="shared" si="11"/>
        <v/>
      </c>
    </row>
    <row r="766" spans="3:28" x14ac:dyDescent="0.2">
      <c r="C766" s="69"/>
      <c r="D766" s="70"/>
      <c r="S766" s="34"/>
      <c r="T766" s="60" t="str">
        <f>IF(P766&lt;&gt;"",
    IF(OR(O766="", Q766="", R766=""),
        "Fill all the required columns",
        IFERROR(
            IF(OR(
                AND(R766="Marine Protected", VLOOKUP(O766, Reference!$A$2:$D$34, 4, FALSE) &lt;= P766),
                AND(R766="General Use", VLOOKUP(O766, Reference!$A$2:$D$34, 3, FALSE) &lt;= P766)
            ),
                "Exceeded",
                "OK"
            ),
            "No Regulation defined"
        )
    ),
    ""
)</f>
        <v/>
      </c>
      <c r="AB766" s="62" t="str">
        <f t="shared" si="11"/>
        <v/>
      </c>
    </row>
    <row r="767" spans="3:28" x14ac:dyDescent="0.2">
      <c r="C767" s="69"/>
      <c r="D767" s="70"/>
      <c r="S767" s="34"/>
      <c r="T767" s="60" t="str">
        <f>IF(P767&lt;&gt;"",
    IF(OR(O767="", Q767="", R767=""),
        "Fill all the required columns",
        IFERROR(
            IF(OR(
                AND(R767="Marine Protected", VLOOKUP(O767, Reference!$A$2:$D$34, 4, FALSE) &lt;= P767),
                AND(R767="General Use", VLOOKUP(O767, Reference!$A$2:$D$34, 3, FALSE) &lt;= P767)
            ),
                "Exceeded",
                "OK"
            ),
            "No Regulation defined"
        )
    ),
    ""
)</f>
        <v/>
      </c>
      <c r="AB767" s="62" t="str">
        <f t="shared" si="11"/>
        <v/>
      </c>
    </row>
    <row r="768" spans="3:28" x14ac:dyDescent="0.2">
      <c r="C768" s="69"/>
      <c r="D768" s="70"/>
      <c r="S768" s="34"/>
      <c r="T768" s="60" t="str">
        <f>IF(P768&lt;&gt;"",
    IF(OR(O768="", Q768="", R768=""),
        "Fill all the required columns",
        IFERROR(
            IF(OR(
                AND(R768="Marine Protected", VLOOKUP(O768, Reference!$A$2:$D$34, 4, FALSE) &lt;= P768),
                AND(R768="General Use", VLOOKUP(O768, Reference!$A$2:$D$34, 3, FALSE) &lt;= P768)
            ),
                "Exceeded",
                "OK"
            ),
            "No Regulation defined"
        )
    ),
    ""
)</f>
        <v/>
      </c>
      <c r="AB768" s="62" t="str">
        <f t="shared" si="11"/>
        <v/>
      </c>
    </row>
    <row r="769" spans="3:28" x14ac:dyDescent="0.2">
      <c r="C769" s="69"/>
      <c r="D769" s="70"/>
      <c r="S769" s="34"/>
      <c r="T769" s="60" t="str">
        <f>IF(P769&lt;&gt;"",
    IF(OR(O769="", Q769="", R769=""),
        "Fill all the required columns",
        IFERROR(
            IF(OR(
                AND(R769="Marine Protected", VLOOKUP(O769, Reference!$A$2:$D$34, 4, FALSE) &lt;= P769),
                AND(R769="General Use", VLOOKUP(O769, Reference!$A$2:$D$34, 3, FALSE) &lt;= P769)
            ),
                "Exceeded",
                "OK"
            ),
            "No Regulation defined"
        )
    ),
    ""
)</f>
        <v/>
      </c>
      <c r="AB769" s="62" t="str">
        <f t="shared" si="11"/>
        <v/>
      </c>
    </row>
    <row r="770" spans="3:28" x14ac:dyDescent="0.2">
      <c r="C770" s="69"/>
      <c r="D770" s="70"/>
      <c r="S770" s="34"/>
      <c r="T770" s="60" t="str">
        <f>IF(P770&lt;&gt;"",
    IF(OR(O770="", Q770="", R770=""),
        "Fill all the required columns",
        IFERROR(
            IF(OR(
                AND(R770="Marine Protected", VLOOKUP(O770, Reference!$A$2:$D$34, 4, FALSE) &lt;= P770),
                AND(R770="General Use", VLOOKUP(O770, Reference!$A$2:$D$34, 3, FALSE) &lt;= P770)
            ),
                "Exceeded",
                "OK"
            ),
            "No Regulation defined"
        )
    ),
    ""
)</f>
        <v/>
      </c>
      <c r="AB770" s="62" t="str">
        <f t="shared" si="11"/>
        <v/>
      </c>
    </row>
    <row r="771" spans="3:28" x14ac:dyDescent="0.2">
      <c r="C771" s="69"/>
      <c r="D771" s="70"/>
      <c r="S771" s="34"/>
      <c r="T771" s="60" t="str">
        <f>IF(P771&lt;&gt;"",
    IF(OR(O771="", Q771="", R771=""),
        "Fill all the required columns",
        IFERROR(
            IF(OR(
                AND(R771="Marine Protected", VLOOKUP(O771, Reference!$A$2:$D$34, 4, FALSE) &lt;= P771),
                AND(R771="General Use", VLOOKUP(O771, Reference!$A$2:$D$34, 3, FALSE) &lt;= P771)
            ),
                "Exceeded",
                "OK"
            ),
            "No Regulation defined"
        )
    ),
    ""
)</f>
        <v/>
      </c>
      <c r="AB771" s="62" t="str">
        <f t="shared" ref="AB771:AB834" si="12">IF(COUNTA(A771, E771, F771, H771, I771, O771, P771, Q771, R771,S771) = 0, "", IF(COUNTA(A771, E771, F771, H771, I771, O771, P771, Q771, R771,S771) = 10, "OK", "Incomplete"))</f>
        <v/>
      </c>
    </row>
    <row r="772" spans="3:28" x14ac:dyDescent="0.2">
      <c r="C772" s="69"/>
      <c r="D772" s="70"/>
      <c r="S772" s="34"/>
      <c r="T772" s="60" t="str">
        <f>IF(P772&lt;&gt;"",
    IF(OR(O772="", Q772="", R772=""),
        "Fill all the required columns",
        IFERROR(
            IF(OR(
                AND(R772="Marine Protected", VLOOKUP(O772, Reference!$A$2:$D$34, 4, FALSE) &lt;= P772),
                AND(R772="General Use", VLOOKUP(O772, Reference!$A$2:$D$34, 3, FALSE) &lt;= P772)
            ),
                "Exceeded",
                "OK"
            ),
            "No Regulation defined"
        )
    ),
    ""
)</f>
        <v/>
      </c>
      <c r="AB772" s="62" t="str">
        <f t="shared" si="12"/>
        <v/>
      </c>
    </row>
    <row r="773" spans="3:28" x14ac:dyDescent="0.2">
      <c r="C773" s="69"/>
      <c r="D773" s="70"/>
      <c r="S773" s="34"/>
      <c r="T773" s="60" t="str">
        <f>IF(P773&lt;&gt;"",
    IF(OR(O773="", Q773="", R773=""),
        "Fill all the required columns",
        IFERROR(
            IF(OR(
                AND(R773="Marine Protected", VLOOKUP(O773, Reference!$A$2:$D$34, 4, FALSE) &lt;= P773),
                AND(R773="General Use", VLOOKUP(O773, Reference!$A$2:$D$34, 3, FALSE) &lt;= P773)
            ),
                "Exceeded",
                "OK"
            ),
            "No Regulation defined"
        )
    ),
    ""
)</f>
        <v/>
      </c>
      <c r="AB773" s="62" t="str">
        <f t="shared" si="12"/>
        <v/>
      </c>
    </row>
    <row r="774" spans="3:28" x14ac:dyDescent="0.2">
      <c r="C774" s="69"/>
      <c r="D774" s="70"/>
      <c r="S774" s="34"/>
      <c r="T774" s="60" t="str">
        <f>IF(P774&lt;&gt;"",
    IF(OR(O774="", Q774="", R774=""),
        "Fill all the required columns",
        IFERROR(
            IF(OR(
                AND(R774="Marine Protected", VLOOKUP(O774, Reference!$A$2:$D$34, 4, FALSE) &lt;= P774),
                AND(R774="General Use", VLOOKUP(O774, Reference!$A$2:$D$34, 3, FALSE) &lt;= P774)
            ),
                "Exceeded",
                "OK"
            ),
            "No Regulation defined"
        )
    ),
    ""
)</f>
        <v/>
      </c>
      <c r="AB774" s="62" t="str">
        <f t="shared" si="12"/>
        <v/>
      </c>
    </row>
    <row r="775" spans="3:28" x14ac:dyDescent="0.2">
      <c r="C775" s="69"/>
      <c r="D775" s="70"/>
      <c r="S775" s="34"/>
      <c r="T775" s="60" t="str">
        <f>IF(P775&lt;&gt;"",
    IF(OR(O775="", Q775="", R775=""),
        "Fill all the required columns",
        IFERROR(
            IF(OR(
                AND(R775="Marine Protected", VLOOKUP(O775, Reference!$A$2:$D$34, 4, FALSE) &lt;= P775),
                AND(R775="General Use", VLOOKUP(O775, Reference!$A$2:$D$34, 3, FALSE) &lt;= P775)
            ),
                "Exceeded",
                "OK"
            ),
            "No Regulation defined"
        )
    ),
    ""
)</f>
        <v/>
      </c>
      <c r="AB775" s="62" t="str">
        <f t="shared" si="12"/>
        <v/>
      </c>
    </row>
    <row r="776" spans="3:28" x14ac:dyDescent="0.2">
      <c r="C776" s="69"/>
      <c r="D776" s="70"/>
      <c r="S776" s="34"/>
      <c r="T776" s="60" t="str">
        <f>IF(P776&lt;&gt;"",
    IF(OR(O776="", Q776="", R776=""),
        "Fill all the required columns",
        IFERROR(
            IF(OR(
                AND(R776="Marine Protected", VLOOKUP(O776, Reference!$A$2:$D$34, 4, FALSE) &lt;= P776),
                AND(R776="General Use", VLOOKUP(O776, Reference!$A$2:$D$34, 3, FALSE) &lt;= P776)
            ),
                "Exceeded",
                "OK"
            ),
            "No Regulation defined"
        )
    ),
    ""
)</f>
        <v/>
      </c>
      <c r="AB776" s="62" t="str">
        <f t="shared" si="12"/>
        <v/>
      </c>
    </row>
    <row r="777" spans="3:28" x14ac:dyDescent="0.2">
      <c r="C777" s="69"/>
      <c r="D777" s="70"/>
      <c r="S777" s="34"/>
      <c r="T777" s="60" t="str">
        <f>IF(P777&lt;&gt;"",
    IF(OR(O777="", Q777="", R777=""),
        "Fill all the required columns",
        IFERROR(
            IF(OR(
                AND(R777="Marine Protected", VLOOKUP(O777, Reference!$A$2:$D$34, 4, FALSE) &lt;= P777),
                AND(R777="General Use", VLOOKUP(O777, Reference!$A$2:$D$34, 3, FALSE) &lt;= P777)
            ),
                "Exceeded",
                "OK"
            ),
            "No Regulation defined"
        )
    ),
    ""
)</f>
        <v/>
      </c>
      <c r="AB777" s="62" t="str">
        <f t="shared" si="12"/>
        <v/>
      </c>
    </row>
    <row r="778" spans="3:28" x14ac:dyDescent="0.2">
      <c r="C778" s="69"/>
      <c r="D778" s="70"/>
      <c r="S778" s="34"/>
      <c r="T778" s="60" t="str">
        <f>IF(P778&lt;&gt;"",
    IF(OR(O778="", Q778="", R778=""),
        "Fill all the required columns",
        IFERROR(
            IF(OR(
                AND(R778="Marine Protected", VLOOKUP(O778, Reference!$A$2:$D$34, 4, FALSE) &lt;= P778),
                AND(R778="General Use", VLOOKUP(O778, Reference!$A$2:$D$34, 3, FALSE) &lt;= P778)
            ),
                "Exceeded",
                "OK"
            ),
            "No Regulation defined"
        )
    ),
    ""
)</f>
        <v/>
      </c>
      <c r="AB778" s="62" t="str">
        <f t="shared" si="12"/>
        <v/>
      </c>
    </row>
    <row r="779" spans="3:28" x14ac:dyDescent="0.2">
      <c r="C779" s="69"/>
      <c r="D779" s="70"/>
      <c r="S779" s="34"/>
      <c r="T779" s="60" t="str">
        <f>IF(P779&lt;&gt;"",
    IF(OR(O779="", Q779="", R779=""),
        "Fill all the required columns",
        IFERROR(
            IF(OR(
                AND(R779="Marine Protected", VLOOKUP(O779, Reference!$A$2:$D$34, 4, FALSE) &lt;= P779),
                AND(R779="General Use", VLOOKUP(O779, Reference!$A$2:$D$34, 3, FALSE) &lt;= P779)
            ),
                "Exceeded",
                "OK"
            ),
            "No Regulation defined"
        )
    ),
    ""
)</f>
        <v/>
      </c>
      <c r="AB779" s="62" t="str">
        <f t="shared" si="12"/>
        <v/>
      </c>
    </row>
    <row r="780" spans="3:28" x14ac:dyDescent="0.2">
      <c r="C780" s="69"/>
      <c r="D780" s="70"/>
      <c r="S780" s="34"/>
      <c r="T780" s="60" t="str">
        <f>IF(P780&lt;&gt;"",
    IF(OR(O780="", Q780="", R780=""),
        "Fill all the required columns",
        IFERROR(
            IF(OR(
                AND(R780="Marine Protected", VLOOKUP(O780, Reference!$A$2:$D$34, 4, FALSE) &lt;= P780),
                AND(R780="General Use", VLOOKUP(O780, Reference!$A$2:$D$34, 3, FALSE) &lt;= P780)
            ),
                "Exceeded",
                "OK"
            ),
            "No Regulation defined"
        )
    ),
    ""
)</f>
        <v/>
      </c>
      <c r="AB780" s="62" t="str">
        <f t="shared" si="12"/>
        <v/>
      </c>
    </row>
    <row r="781" spans="3:28" x14ac:dyDescent="0.2">
      <c r="C781" s="69"/>
      <c r="D781" s="70"/>
      <c r="S781" s="34"/>
      <c r="T781" s="60" t="str">
        <f>IF(P781&lt;&gt;"",
    IF(OR(O781="", Q781="", R781=""),
        "Fill all the required columns",
        IFERROR(
            IF(OR(
                AND(R781="Marine Protected", VLOOKUP(O781, Reference!$A$2:$D$34, 4, FALSE) &lt;= P781),
                AND(R781="General Use", VLOOKUP(O781, Reference!$A$2:$D$34, 3, FALSE) &lt;= P781)
            ),
                "Exceeded",
                "OK"
            ),
            "No Regulation defined"
        )
    ),
    ""
)</f>
        <v/>
      </c>
      <c r="AB781" s="62" t="str">
        <f t="shared" si="12"/>
        <v/>
      </c>
    </row>
    <row r="782" spans="3:28" x14ac:dyDescent="0.2">
      <c r="C782" s="69"/>
      <c r="D782" s="70"/>
      <c r="S782" s="34"/>
      <c r="T782" s="60" t="str">
        <f>IF(P782&lt;&gt;"",
    IF(OR(O782="", Q782="", R782=""),
        "Fill all the required columns",
        IFERROR(
            IF(OR(
                AND(R782="Marine Protected", VLOOKUP(O782, Reference!$A$2:$D$34, 4, FALSE) &lt;= P782),
                AND(R782="General Use", VLOOKUP(O782, Reference!$A$2:$D$34, 3, FALSE) &lt;= P782)
            ),
                "Exceeded",
                "OK"
            ),
            "No Regulation defined"
        )
    ),
    ""
)</f>
        <v/>
      </c>
      <c r="AB782" s="62" t="str">
        <f t="shared" si="12"/>
        <v/>
      </c>
    </row>
    <row r="783" spans="3:28" x14ac:dyDescent="0.2">
      <c r="C783" s="69"/>
      <c r="D783" s="70"/>
      <c r="S783" s="34"/>
      <c r="T783" s="60" t="str">
        <f>IF(P783&lt;&gt;"",
    IF(OR(O783="", Q783="", R783=""),
        "Fill all the required columns",
        IFERROR(
            IF(OR(
                AND(R783="Marine Protected", VLOOKUP(O783, Reference!$A$2:$D$34, 4, FALSE) &lt;= P783),
                AND(R783="General Use", VLOOKUP(O783, Reference!$A$2:$D$34, 3, FALSE) &lt;= P783)
            ),
                "Exceeded",
                "OK"
            ),
            "No Regulation defined"
        )
    ),
    ""
)</f>
        <v/>
      </c>
      <c r="AB783" s="62" t="str">
        <f t="shared" si="12"/>
        <v/>
      </c>
    </row>
    <row r="784" spans="3:28" x14ac:dyDescent="0.2">
      <c r="C784" s="69"/>
      <c r="D784" s="70"/>
      <c r="S784" s="34"/>
      <c r="T784" s="60" t="str">
        <f>IF(P784&lt;&gt;"",
    IF(OR(O784="", Q784="", R784=""),
        "Fill all the required columns",
        IFERROR(
            IF(OR(
                AND(R784="Marine Protected", VLOOKUP(O784, Reference!$A$2:$D$34, 4, FALSE) &lt;= P784),
                AND(R784="General Use", VLOOKUP(O784, Reference!$A$2:$D$34, 3, FALSE) &lt;= P784)
            ),
                "Exceeded",
                "OK"
            ),
            "No Regulation defined"
        )
    ),
    ""
)</f>
        <v/>
      </c>
      <c r="AB784" s="62" t="str">
        <f t="shared" si="12"/>
        <v/>
      </c>
    </row>
    <row r="785" spans="3:28" x14ac:dyDescent="0.2">
      <c r="C785" s="69"/>
      <c r="D785" s="70"/>
      <c r="S785" s="34"/>
      <c r="T785" s="60" t="str">
        <f>IF(P785&lt;&gt;"",
    IF(OR(O785="", Q785="", R785=""),
        "Fill all the required columns",
        IFERROR(
            IF(OR(
                AND(R785="Marine Protected", VLOOKUP(O785, Reference!$A$2:$D$34, 4, FALSE) &lt;= P785),
                AND(R785="General Use", VLOOKUP(O785, Reference!$A$2:$D$34, 3, FALSE) &lt;= P785)
            ),
                "Exceeded",
                "OK"
            ),
            "No Regulation defined"
        )
    ),
    ""
)</f>
        <v/>
      </c>
      <c r="AB785" s="62" t="str">
        <f t="shared" si="12"/>
        <v/>
      </c>
    </row>
    <row r="786" spans="3:28" x14ac:dyDescent="0.2">
      <c r="C786" s="69"/>
      <c r="D786" s="70"/>
      <c r="S786" s="34"/>
      <c r="T786" s="60" t="str">
        <f>IF(P786&lt;&gt;"",
    IF(OR(O786="", Q786="", R786=""),
        "Fill all the required columns",
        IFERROR(
            IF(OR(
                AND(R786="Marine Protected", VLOOKUP(O786, Reference!$A$2:$D$34, 4, FALSE) &lt;= P786),
                AND(R786="General Use", VLOOKUP(O786, Reference!$A$2:$D$34, 3, FALSE) &lt;= P786)
            ),
                "Exceeded",
                "OK"
            ),
            "No Regulation defined"
        )
    ),
    ""
)</f>
        <v/>
      </c>
      <c r="AB786" s="62" t="str">
        <f t="shared" si="12"/>
        <v/>
      </c>
    </row>
    <row r="787" spans="3:28" x14ac:dyDescent="0.2">
      <c r="C787" s="69"/>
      <c r="D787" s="70"/>
      <c r="S787" s="34"/>
      <c r="T787" s="60" t="str">
        <f>IF(P787&lt;&gt;"",
    IF(OR(O787="", Q787="", R787=""),
        "Fill all the required columns",
        IFERROR(
            IF(OR(
                AND(R787="Marine Protected", VLOOKUP(O787, Reference!$A$2:$D$34, 4, FALSE) &lt;= P787),
                AND(R787="General Use", VLOOKUP(O787, Reference!$A$2:$D$34, 3, FALSE) &lt;= P787)
            ),
                "Exceeded",
                "OK"
            ),
            "No Regulation defined"
        )
    ),
    ""
)</f>
        <v/>
      </c>
      <c r="AB787" s="62" t="str">
        <f t="shared" si="12"/>
        <v/>
      </c>
    </row>
    <row r="788" spans="3:28" x14ac:dyDescent="0.2">
      <c r="C788" s="69"/>
      <c r="D788" s="70"/>
      <c r="S788" s="34"/>
      <c r="T788" s="60" t="str">
        <f>IF(P788&lt;&gt;"",
    IF(OR(O788="", Q788="", R788=""),
        "Fill all the required columns",
        IFERROR(
            IF(OR(
                AND(R788="Marine Protected", VLOOKUP(O788, Reference!$A$2:$D$34, 4, FALSE) &lt;= P788),
                AND(R788="General Use", VLOOKUP(O788, Reference!$A$2:$D$34, 3, FALSE) &lt;= P788)
            ),
                "Exceeded",
                "OK"
            ),
            "No Regulation defined"
        )
    ),
    ""
)</f>
        <v/>
      </c>
      <c r="AB788" s="62" t="str">
        <f t="shared" si="12"/>
        <v/>
      </c>
    </row>
    <row r="789" spans="3:28" x14ac:dyDescent="0.2">
      <c r="C789" s="69"/>
      <c r="D789" s="70"/>
      <c r="S789" s="34"/>
      <c r="T789" s="60" t="str">
        <f>IF(P789&lt;&gt;"",
    IF(OR(O789="", Q789="", R789=""),
        "Fill all the required columns",
        IFERROR(
            IF(OR(
                AND(R789="Marine Protected", VLOOKUP(O789, Reference!$A$2:$D$34, 4, FALSE) &lt;= P789),
                AND(R789="General Use", VLOOKUP(O789, Reference!$A$2:$D$34, 3, FALSE) &lt;= P789)
            ),
                "Exceeded",
                "OK"
            ),
            "No Regulation defined"
        )
    ),
    ""
)</f>
        <v/>
      </c>
      <c r="AB789" s="62" t="str">
        <f t="shared" si="12"/>
        <v/>
      </c>
    </row>
    <row r="790" spans="3:28" x14ac:dyDescent="0.2">
      <c r="C790" s="69"/>
      <c r="D790" s="70"/>
      <c r="S790" s="34"/>
      <c r="T790" s="60" t="str">
        <f>IF(P790&lt;&gt;"",
    IF(OR(O790="", Q790="", R790=""),
        "Fill all the required columns",
        IFERROR(
            IF(OR(
                AND(R790="Marine Protected", VLOOKUP(O790, Reference!$A$2:$D$34, 4, FALSE) &lt;= P790),
                AND(R790="General Use", VLOOKUP(O790, Reference!$A$2:$D$34, 3, FALSE) &lt;= P790)
            ),
                "Exceeded",
                "OK"
            ),
            "No Regulation defined"
        )
    ),
    ""
)</f>
        <v/>
      </c>
      <c r="AB790" s="62" t="str">
        <f t="shared" si="12"/>
        <v/>
      </c>
    </row>
    <row r="791" spans="3:28" x14ac:dyDescent="0.2">
      <c r="C791" s="69"/>
      <c r="D791" s="70"/>
      <c r="S791" s="34"/>
      <c r="T791" s="60" t="str">
        <f>IF(P791&lt;&gt;"",
    IF(OR(O791="", Q791="", R791=""),
        "Fill all the required columns",
        IFERROR(
            IF(OR(
                AND(R791="Marine Protected", VLOOKUP(O791, Reference!$A$2:$D$34, 4, FALSE) &lt;= P791),
                AND(R791="General Use", VLOOKUP(O791, Reference!$A$2:$D$34, 3, FALSE) &lt;= P791)
            ),
                "Exceeded",
                "OK"
            ),
            "No Regulation defined"
        )
    ),
    ""
)</f>
        <v/>
      </c>
      <c r="AB791" s="62" t="str">
        <f t="shared" si="12"/>
        <v/>
      </c>
    </row>
    <row r="792" spans="3:28" x14ac:dyDescent="0.2">
      <c r="C792" s="69"/>
      <c r="D792" s="70"/>
      <c r="S792" s="34"/>
      <c r="T792" s="60" t="str">
        <f>IF(P792&lt;&gt;"",
    IF(OR(O792="", Q792="", R792=""),
        "Fill all the required columns",
        IFERROR(
            IF(OR(
                AND(R792="Marine Protected", VLOOKUP(O792, Reference!$A$2:$D$34, 4, FALSE) &lt;= P792),
                AND(R792="General Use", VLOOKUP(O792, Reference!$A$2:$D$34, 3, FALSE) &lt;= P792)
            ),
                "Exceeded",
                "OK"
            ),
            "No Regulation defined"
        )
    ),
    ""
)</f>
        <v/>
      </c>
      <c r="AB792" s="62" t="str">
        <f t="shared" si="12"/>
        <v/>
      </c>
    </row>
    <row r="793" spans="3:28" x14ac:dyDescent="0.2">
      <c r="C793" s="69"/>
      <c r="D793" s="70"/>
      <c r="S793" s="34"/>
      <c r="T793" s="60" t="str">
        <f>IF(P793&lt;&gt;"",
    IF(OR(O793="", Q793="", R793=""),
        "Fill all the required columns",
        IFERROR(
            IF(OR(
                AND(R793="Marine Protected", VLOOKUP(O793, Reference!$A$2:$D$34, 4, FALSE) &lt;= P793),
                AND(R793="General Use", VLOOKUP(O793, Reference!$A$2:$D$34, 3, FALSE) &lt;= P793)
            ),
                "Exceeded",
                "OK"
            ),
            "No Regulation defined"
        )
    ),
    ""
)</f>
        <v/>
      </c>
      <c r="AB793" s="62" t="str">
        <f t="shared" si="12"/>
        <v/>
      </c>
    </row>
    <row r="794" spans="3:28" x14ac:dyDescent="0.2">
      <c r="C794" s="69"/>
      <c r="D794" s="70"/>
      <c r="S794" s="34"/>
      <c r="T794" s="60" t="str">
        <f>IF(P794&lt;&gt;"",
    IF(OR(O794="", Q794="", R794=""),
        "Fill all the required columns",
        IFERROR(
            IF(OR(
                AND(R794="Marine Protected", VLOOKUP(O794, Reference!$A$2:$D$34, 4, FALSE) &lt;= P794),
                AND(R794="General Use", VLOOKUP(O794, Reference!$A$2:$D$34, 3, FALSE) &lt;= P794)
            ),
                "Exceeded",
                "OK"
            ),
            "No Regulation defined"
        )
    ),
    ""
)</f>
        <v/>
      </c>
      <c r="AB794" s="62" t="str">
        <f t="shared" si="12"/>
        <v/>
      </c>
    </row>
    <row r="795" spans="3:28" x14ac:dyDescent="0.2">
      <c r="C795" s="69"/>
      <c r="D795" s="70"/>
      <c r="S795" s="34"/>
      <c r="T795" s="60" t="str">
        <f>IF(P795&lt;&gt;"",
    IF(OR(O795="", Q795="", R795=""),
        "Fill all the required columns",
        IFERROR(
            IF(OR(
                AND(R795="Marine Protected", VLOOKUP(O795, Reference!$A$2:$D$34, 4, FALSE) &lt;= P795),
                AND(R795="General Use", VLOOKUP(O795, Reference!$A$2:$D$34, 3, FALSE) &lt;= P795)
            ),
                "Exceeded",
                "OK"
            ),
            "No Regulation defined"
        )
    ),
    ""
)</f>
        <v/>
      </c>
      <c r="AB795" s="62" t="str">
        <f t="shared" si="12"/>
        <v/>
      </c>
    </row>
    <row r="796" spans="3:28" x14ac:dyDescent="0.2">
      <c r="C796" s="69"/>
      <c r="D796" s="70"/>
      <c r="S796" s="34"/>
      <c r="T796" s="60" t="str">
        <f>IF(P796&lt;&gt;"",
    IF(OR(O796="", Q796="", R796=""),
        "Fill all the required columns",
        IFERROR(
            IF(OR(
                AND(R796="Marine Protected", VLOOKUP(O796, Reference!$A$2:$D$34, 4, FALSE) &lt;= P796),
                AND(R796="General Use", VLOOKUP(O796, Reference!$A$2:$D$34, 3, FALSE) &lt;= P796)
            ),
                "Exceeded",
                "OK"
            ),
            "No Regulation defined"
        )
    ),
    ""
)</f>
        <v/>
      </c>
      <c r="AB796" s="62" t="str">
        <f t="shared" si="12"/>
        <v/>
      </c>
    </row>
    <row r="797" spans="3:28" x14ac:dyDescent="0.2">
      <c r="C797" s="69"/>
      <c r="D797" s="70"/>
      <c r="S797" s="34"/>
      <c r="T797" s="60" t="str">
        <f>IF(P797&lt;&gt;"",
    IF(OR(O797="", Q797="", R797=""),
        "Fill all the required columns",
        IFERROR(
            IF(OR(
                AND(R797="Marine Protected", VLOOKUP(O797, Reference!$A$2:$D$34, 4, FALSE) &lt;= P797),
                AND(R797="General Use", VLOOKUP(O797, Reference!$A$2:$D$34, 3, FALSE) &lt;= P797)
            ),
                "Exceeded",
                "OK"
            ),
            "No Regulation defined"
        )
    ),
    ""
)</f>
        <v/>
      </c>
      <c r="AB797" s="62" t="str">
        <f t="shared" si="12"/>
        <v/>
      </c>
    </row>
    <row r="798" spans="3:28" x14ac:dyDescent="0.2">
      <c r="C798" s="69"/>
      <c r="D798" s="70"/>
      <c r="S798" s="34"/>
      <c r="T798" s="60" t="str">
        <f>IF(P798&lt;&gt;"",
    IF(OR(O798="", Q798="", R798=""),
        "Fill all the required columns",
        IFERROR(
            IF(OR(
                AND(R798="Marine Protected", VLOOKUP(O798, Reference!$A$2:$D$34, 4, FALSE) &lt;= P798),
                AND(R798="General Use", VLOOKUP(O798, Reference!$A$2:$D$34, 3, FALSE) &lt;= P798)
            ),
                "Exceeded",
                "OK"
            ),
            "No Regulation defined"
        )
    ),
    ""
)</f>
        <v/>
      </c>
      <c r="AB798" s="62" t="str">
        <f t="shared" si="12"/>
        <v/>
      </c>
    </row>
    <row r="799" spans="3:28" x14ac:dyDescent="0.2">
      <c r="C799" s="69"/>
      <c r="D799" s="70"/>
      <c r="S799" s="34"/>
      <c r="T799" s="60" t="str">
        <f>IF(P799&lt;&gt;"",
    IF(OR(O799="", Q799="", R799=""),
        "Fill all the required columns",
        IFERROR(
            IF(OR(
                AND(R799="Marine Protected", VLOOKUP(O799, Reference!$A$2:$D$34, 4, FALSE) &lt;= P799),
                AND(R799="General Use", VLOOKUP(O799, Reference!$A$2:$D$34, 3, FALSE) &lt;= P799)
            ),
                "Exceeded",
                "OK"
            ),
            "No Regulation defined"
        )
    ),
    ""
)</f>
        <v/>
      </c>
      <c r="AB799" s="62" t="str">
        <f t="shared" si="12"/>
        <v/>
      </c>
    </row>
    <row r="800" spans="3:28" x14ac:dyDescent="0.2">
      <c r="C800" s="69"/>
      <c r="D800" s="70"/>
      <c r="S800" s="34"/>
      <c r="T800" s="60" t="str">
        <f>IF(P800&lt;&gt;"",
    IF(OR(O800="", Q800="", R800=""),
        "Fill all the required columns",
        IFERROR(
            IF(OR(
                AND(R800="Marine Protected", VLOOKUP(O800, Reference!$A$2:$D$34, 4, FALSE) &lt;= P800),
                AND(R800="General Use", VLOOKUP(O800, Reference!$A$2:$D$34, 3, FALSE) &lt;= P800)
            ),
                "Exceeded",
                "OK"
            ),
            "No Regulation defined"
        )
    ),
    ""
)</f>
        <v/>
      </c>
      <c r="AB800" s="62" t="str">
        <f t="shared" si="12"/>
        <v/>
      </c>
    </row>
    <row r="801" spans="3:28" x14ac:dyDescent="0.2">
      <c r="C801" s="69"/>
      <c r="D801" s="70"/>
      <c r="S801" s="34"/>
      <c r="T801" s="60" t="str">
        <f>IF(P801&lt;&gt;"",
    IF(OR(O801="", Q801="", R801=""),
        "Fill all the required columns",
        IFERROR(
            IF(OR(
                AND(R801="Marine Protected", VLOOKUP(O801, Reference!$A$2:$D$34, 4, FALSE) &lt;= P801),
                AND(R801="General Use", VLOOKUP(O801, Reference!$A$2:$D$34, 3, FALSE) &lt;= P801)
            ),
                "Exceeded",
                "OK"
            ),
            "No Regulation defined"
        )
    ),
    ""
)</f>
        <v/>
      </c>
      <c r="AB801" s="62" t="str">
        <f t="shared" si="12"/>
        <v/>
      </c>
    </row>
    <row r="802" spans="3:28" x14ac:dyDescent="0.2">
      <c r="C802" s="69"/>
      <c r="D802" s="70"/>
      <c r="S802" s="34"/>
      <c r="T802" s="60" t="str">
        <f>IF(P802&lt;&gt;"",
    IF(OR(O802="", Q802="", R802=""),
        "Fill all the required columns",
        IFERROR(
            IF(OR(
                AND(R802="Marine Protected", VLOOKUP(O802, Reference!$A$2:$D$34, 4, FALSE) &lt;= P802),
                AND(R802="General Use", VLOOKUP(O802, Reference!$A$2:$D$34, 3, FALSE) &lt;= P802)
            ),
                "Exceeded",
                "OK"
            ),
            "No Regulation defined"
        )
    ),
    ""
)</f>
        <v/>
      </c>
      <c r="AB802" s="62" t="str">
        <f t="shared" si="12"/>
        <v/>
      </c>
    </row>
    <row r="803" spans="3:28" x14ac:dyDescent="0.2">
      <c r="C803" s="69"/>
      <c r="D803" s="70"/>
      <c r="S803" s="34"/>
      <c r="T803" s="60" t="str">
        <f>IF(P803&lt;&gt;"",
    IF(OR(O803="", Q803="", R803=""),
        "Fill all the required columns",
        IFERROR(
            IF(OR(
                AND(R803="Marine Protected", VLOOKUP(O803, Reference!$A$2:$D$34, 4, FALSE) &lt;= P803),
                AND(R803="General Use", VLOOKUP(O803, Reference!$A$2:$D$34, 3, FALSE) &lt;= P803)
            ),
                "Exceeded",
                "OK"
            ),
            "No Regulation defined"
        )
    ),
    ""
)</f>
        <v/>
      </c>
      <c r="AB803" s="62" t="str">
        <f t="shared" si="12"/>
        <v/>
      </c>
    </row>
    <row r="804" spans="3:28" x14ac:dyDescent="0.2">
      <c r="C804" s="69"/>
      <c r="D804" s="70"/>
      <c r="S804" s="34"/>
      <c r="T804" s="60" t="str">
        <f>IF(P804&lt;&gt;"",
    IF(OR(O804="", Q804="", R804=""),
        "Fill all the required columns",
        IFERROR(
            IF(OR(
                AND(R804="Marine Protected", VLOOKUP(O804, Reference!$A$2:$D$34, 4, FALSE) &lt;= P804),
                AND(R804="General Use", VLOOKUP(O804, Reference!$A$2:$D$34, 3, FALSE) &lt;= P804)
            ),
                "Exceeded",
                "OK"
            ),
            "No Regulation defined"
        )
    ),
    ""
)</f>
        <v/>
      </c>
      <c r="AB804" s="62" t="str">
        <f t="shared" si="12"/>
        <v/>
      </c>
    </row>
    <row r="805" spans="3:28" x14ac:dyDescent="0.2">
      <c r="C805" s="69"/>
      <c r="D805" s="70"/>
      <c r="S805" s="34"/>
      <c r="T805" s="60" t="str">
        <f>IF(P805&lt;&gt;"",
    IF(OR(O805="", Q805="", R805=""),
        "Fill all the required columns",
        IFERROR(
            IF(OR(
                AND(R805="Marine Protected", VLOOKUP(O805, Reference!$A$2:$D$34, 4, FALSE) &lt;= P805),
                AND(R805="General Use", VLOOKUP(O805, Reference!$A$2:$D$34, 3, FALSE) &lt;= P805)
            ),
                "Exceeded",
                "OK"
            ),
            "No Regulation defined"
        )
    ),
    ""
)</f>
        <v/>
      </c>
      <c r="AB805" s="62" t="str">
        <f t="shared" si="12"/>
        <v/>
      </c>
    </row>
    <row r="806" spans="3:28" x14ac:dyDescent="0.2">
      <c r="C806" s="69"/>
      <c r="D806" s="70"/>
      <c r="S806" s="34"/>
      <c r="T806" s="60" t="str">
        <f>IF(P806&lt;&gt;"",
    IF(OR(O806="", Q806="", R806=""),
        "Fill all the required columns",
        IFERROR(
            IF(OR(
                AND(R806="Marine Protected", VLOOKUP(O806, Reference!$A$2:$D$34, 4, FALSE) &lt;= P806),
                AND(R806="General Use", VLOOKUP(O806, Reference!$A$2:$D$34, 3, FALSE) &lt;= P806)
            ),
                "Exceeded",
                "OK"
            ),
            "No Regulation defined"
        )
    ),
    ""
)</f>
        <v/>
      </c>
      <c r="AB806" s="62" t="str">
        <f t="shared" si="12"/>
        <v/>
      </c>
    </row>
    <row r="807" spans="3:28" x14ac:dyDescent="0.2">
      <c r="C807" s="69"/>
      <c r="D807" s="70"/>
      <c r="S807" s="34"/>
      <c r="T807" s="60" t="str">
        <f>IF(P807&lt;&gt;"",
    IF(OR(O807="", Q807="", R807=""),
        "Fill all the required columns",
        IFERROR(
            IF(OR(
                AND(R807="Marine Protected", VLOOKUP(O807, Reference!$A$2:$D$34, 4, FALSE) &lt;= P807),
                AND(R807="General Use", VLOOKUP(O807, Reference!$A$2:$D$34, 3, FALSE) &lt;= P807)
            ),
                "Exceeded",
                "OK"
            ),
            "No Regulation defined"
        )
    ),
    ""
)</f>
        <v/>
      </c>
      <c r="AB807" s="62" t="str">
        <f t="shared" si="12"/>
        <v/>
      </c>
    </row>
    <row r="808" spans="3:28" x14ac:dyDescent="0.2">
      <c r="C808" s="69"/>
      <c r="D808" s="70"/>
      <c r="S808" s="34"/>
      <c r="T808" s="60" t="str">
        <f>IF(P808&lt;&gt;"",
    IF(OR(O808="", Q808="", R808=""),
        "Fill all the required columns",
        IFERROR(
            IF(OR(
                AND(R808="Marine Protected", VLOOKUP(O808, Reference!$A$2:$D$34, 4, FALSE) &lt;= P808),
                AND(R808="General Use", VLOOKUP(O808, Reference!$A$2:$D$34, 3, FALSE) &lt;= P808)
            ),
                "Exceeded",
                "OK"
            ),
            "No Regulation defined"
        )
    ),
    ""
)</f>
        <v/>
      </c>
      <c r="AB808" s="62" t="str">
        <f t="shared" si="12"/>
        <v/>
      </c>
    </row>
    <row r="809" spans="3:28" x14ac:dyDescent="0.2">
      <c r="C809" s="69"/>
      <c r="D809" s="70"/>
      <c r="S809" s="34"/>
      <c r="T809" s="60" t="str">
        <f>IF(P809&lt;&gt;"",
    IF(OR(O809="", Q809="", R809=""),
        "Fill all the required columns",
        IFERROR(
            IF(OR(
                AND(R809="Marine Protected", VLOOKUP(O809, Reference!$A$2:$D$34, 4, FALSE) &lt;= P809),
                AND(R809="General Use", VLOOKUP(O809, Reference!$A$2:$D$34, 3, FALSE) &lt;= P809)
            ),
                "Exceeded",
                "OK"
            ),
            "No Regulation defined"
        )
    ),
    ""
)</f>
        <v/>
      </c>
      <c r="AB809" s="62" t="str">
        <f t="shared" si="12"/>
        <v/>
      </c>
    </row>
    <row r="810" spans="3:28" x14ac:dyDescent="0.2">
      <c r="C810" s="69"/>
      <c r="D810" s="70"/>
      <c r="S810" s="34"/>
      <c r="T810" s="60" t="str">
        <f>IF(P810&lt;&gt;"",
    IF(OR(O810="", Q810="", R810=""),
        "Fill all the required columns",
        IFERROR(
            IF(OR(
                AND(R810="Marine Protected", VLOOKUP(O810, Reference!$A$2:$D$34, 4, FALSE) &lt;= P810),
                AND(R810="General Use", VLOOKUP(O810, Reference!$A$2:$D$34, 3, FALSE) &lt;= P810)
            ),
                "Exceeded",
                "OK"
            ),
            "No Regulation defined"
        )
    ),
    ""
)</f>
        <v/>
      </c>
      <c r="AB810" s="62" t="str">
        <f t="shared" si="12"/>
        <v/>
      </c>
    </row>
    <row r="811" spans="3:28" x14ac:dyDescent="0.2">
      <c r="C811" s="69"/>
      <c r="D811" s="70"/>
      <c r="S811" s="34"/>
      <c r="T811" s="60" t="str">
        <f>IF(P811&lt;&gt;"",
    IF(OR(O811="", Q811="", R811=""),
        "Fill all the required columns",
        IFERROR(
            IF(OR(
                AND(R811="Marine Protected", VLOOKUP(O811, Reference!$A$2:$D$34, 4, FALSE) &lt;= P811),
                AND(R811="General Use", VLOOKUP(O811, Reference!$A$2:$D$34, 3, FALSE) &lt;= P811)
            ),
                "Exceeded",
                "OK"
            ),
            "No Regulation defined"
        )
    ),
    ""
)</f>
        <v/>
      </c>
      <c r="AB811" s="62" t="str">
        <f t="shared" si="12"/>
        <v/>
      </c>
    </row>
    <row r="812" spans="3:28" x14ac:dyDescent="0.2">
      <c r="C812" s="69"/>
      <c r="D812" s="70"/>
      <c r="S812" s="34"/>
      <c r="T812" s="60" t="str">
        <f>IF(P812&lt;&gt;"",
    IF(OR(O812="", Q812="", R812=""),
        "Fill all the required columns",
        IFERROR(
            IF(OR(
                AND(R812="Marine Protected", VLOOKUP(O812, Reference!$A$2:$D$34, 4, FALSE) &lt;= P812),
                AND(R812="General Use", VLOOKUP(O812, Reference!$A$2:$D$34, 3, FALSE) &lt;= P812)
            ),
                "Exceeded",
                "OK"
            ),
            "No Regulation defined"
        )
    ),
    ""
)</f>
        <v/>
      </c>
      <c r="AB812" s="62" t="str">
        <f t="shared" si="12"/>
        <v/>
      </c>
    </row>
    <row r="813" spans="3:28" x14ac:dyDescent="0.2">
      <c r="C813" s="69"/>
      <c r="D813" s="70"/>
      <c r="S813" s="34"/>
      <c r="T813" s="60" t="str">
        <f>IF(P813&lt;&gt;"",
    IF(OR(O813="", Q813="", R813=""),
        "Fill all the required columns",
        IFERROR(
            IF(OR(
                AND(R813="Marine Protected", VLOOKUP(O813, Reference!$A$2:$D$34, 4, FALSE) &lt;= P813),
                AND(R813="General Use", VLOOKUP(O813, Reference!$A$2:$D$34, 3, FALSE) &lt;= P813)
            ),
                "Exceeded",
                "OK"
            ),
            "No Regulation defined"
        )
    ),
    ""
)</f>
        <v/>
      </c>
      <c r="AB813" s="62" t="str">
        <f t="shared" si="12"/>
        <v/>
      </c>
    </row>
    <row r="814" spans="3:28" x14ac:dyDescent="0.2">
      <c r="C814" s="69"/>
      <c r="D814" s="70"/>
      <c r="S814" s="34"/>
      <c r="T814" s="60" t="str">
        <f>IF(P814&lt;&gt;"",
    IF(OR(O814="", Q814="", R814=""),
        "Fill all the required columns",
        IFERROR(
            IF(OR(
                AND(R814="Marine Protected", VLOOKUP(O814, Reference!$A$2:$D$34, 4, FALSE) &lt;= P814),
                AND(R814="General Use", VLOOKUP(O814, Reference!$A$2:$D$34, 3, FALSE) &lt;= P814)
            ),
                "Exceeded",
                "OK"
            ),
            "No Regulation defined"
        )
    ),
    ""
)</f>
        <v/>
      </c>
      <c r="AB814" s="62" t="str">
        <f t="shared" si="12"/>
        <v/>
      </c>
    </row>
    <row r="815" spans="3:28" x14ac:dyDescent="0.2">
      <c r="C815" s="69"/>
      <c r="D815" s="70"/>
      <c r="S815" s="34"/>
      <c r="T815" s="60" t="str">
        <f>IF(P815&lt;&gt;"",
    IF(OR(O815="", Q815="", R815=""),
        "Fill all the required columns",
        IFERROR(
            IF(OR(
                AND(R815="Marine Protected", VLOOKUP(O815, Reference!$A$2:$D$34, 4, FALSE) &lt;= P815),
                AND(R815="General Use", VLOOKUP(O815, Reference!$A$2:$D$34, 3, FALSE) &lt;= P815)
            ),
                "Exceeded",
                "OK"
            ),
            "No Regulation defined"
        )
    ),
    ""
)</f>
        <v/>
      </c>
      <c r="AB815" s="62" t="str">
        <f t="shared" si="12"/>
        <v/>
      </c>
    </row>
    <row r="816" spans="3:28" x14ac:dyDescent="0.2">
      <c r="C816" s="69"/>
      <c r="D816" s="70"/>
      <c r="S816" s="34"/>
      <c r="T816" s="60" t="str">
        <f>IF(P816&lt;&gt;"",
    IF(OR(O816="", Q816="", R816=""),
        "Fill all the required columns",
        IFERROR(
            IF(OR(
                AND(R816="Marine Protected", VLOOKUP(O816, Reference!$A$2:$D$34, 4, FALSE) &lt;= P816),
                AND(R816="General Use", VLOOKUP(O816, Reference!$A$2:$D$34, 3, FALSE) &lt;= P816)
            ),
                "Exceeded",
                "OK"
            ),
            "No Regulation defined"
        )
    ),
    ""
)</f>
        <v/>
      </c>
      <c r="AB816" s="62" t="str">
        <f t="shared" si="12"/>
        <v/>
      </c>
    </row>
    <row r="817" spans="3:28" x14ac:dyDescent="0.2">
      <c r="C817" s="69"/>
      <c r="D817" s="70"/>
      <c r="S817" s="34"/>
      <c r="T817" s="60" t="str">
        <f>IF(P817&lt;&gt;"",
    IF(OR(O817="", Q817="", R817=""),
        "Fill all the required columns",
        IFERROR(
            IF(OR(
                AND(R817="Marine Protected", VLOOKUP(O817, Reference!$A$2:$D$34, 4, FALSE) &lt;= P817),
                AND(R817="General Use", VLOOKUP(O817, Reference!$A$2:$D$34, 3, FALSE) &lt;= P817)
            ),
                "Exceeded",
                "OK"
            ),
            "No Regulation defined"
        )
    ),
    ""
)</f>
        <v/>
      </c>
      <c r="AB817" s="62" t="str">
        <f t="shared" si="12"/>
        <v/>
      </c>
    </row>
    <row r="818" spans="3:28" x14ac:dyDescent="0.2">
      <c r="C818" s="69"/>
      <c r="D818" s="70"/>
      <c r="S818" s="34"/>
      <c r="T818" s="60" t="str">
        <f>IF(P818&lt;&gt;"",
    IF(OR(O818="", Q818="", R818=""),
        "Fill all the required columns",
        IFERROR(
            IF(OR(
                AND(R818="Marine Protected", VLOOKUP(O818, Reference!$A$2:$D$34, 4, FALSE) &lt;= P818),
                AND(R818="General Use", VLOOKUP(O818, Reference!$A$2:$D$34, 3, FALSE) &lt;= P818)
            ),
                "Exceeded",
                "OK"
            ),
            "No Regulation defined"
        )
    ),
    ""
)</f>
        <v/>
      </c>
      <c r="AB818" s="62" t="str">
        <f t="shared" si="12"/>
        <v/>
      </c>
    </row>
    <row r="819" spans="3:28" x14ac:dyDescent="0.2">
      <c r="C819" s="69"/>
      <c r="D819" s="70"/>
      <c r="S819" s="34"/>
      <c r="T819" s="60" t="str">
        <f>IF(P819&lt;&gt;"",
    IF(OR(O819="", Q819="", R819=""),
        "Fill all the required columns",
        IFERROR(
            IF(OR(
                AND(R819="Marine Protected", VLOOKUP(O819, Reference!$A$2:$D$34, 4, FALSE) &lt;= P819),
                AND(R819="General Use", VLOOKUP(O819, Reference!$A$2:$D$34, 3, FALSE) &lt;= P819)
            ),
                "Exceeded",
                "OK"
            ),
            "No Regulation defined"
        )
    ),
    ""
)</f>
        <v/>
      </c>
      <c r="AB819" s="62" t="str">
        <f t="shared" si="12"/>
        <v/>
      </c>
    </row>
    <row r="820" spans="3:28" x14ac:dyDescent="0.2">
      <c r="C820" s="69"/>
      <c r="D820" s="70"/>
      <c r="S820" s="34"/>
      <c r="T820" s="60" t="str">
        <f>IF(P820&lt;&gt;"",
    IF(OR(O820="", Q820="", R820=""),
        "Fill all the required columns",
        IFERROR(
            IF(OR(
                AND(R820="Marine Protected", VLOOKUP(O820, Reference!$A$2:$D$34, 4, FALSE) &lt;= P820),
                AND(R820="General Use", VLOOKUP(O820, Reference!$A$2:$D$34, 3, FALSE) &lt;= P820)
            ),
                "Exceeded",
                "OK"
            ),
            "No Regulation defined"
        )
    ),
    ""
)</f>
        <v/>
      </c>
      <c r="AB820" s="62" t="str">
        <f t="shared" si="12"/>
        <v/>
      </c>
    </row>
    <row r="821" spans="3:28" x14ac:dyDescent="0.2">
      <c r="C821" s="69"/>
      <c r="D821" s="70"/>
      <c r="S821" s="34"/>
      <c r="T821" s="60" t="str">
        <f>IF(P821&lt;&gt;"",
    IF(OR(O821="", Q821="", R821=""),
        "Fill all the required columns",
        IFERROR(
            IF(OR(
                AND(R821="Marine Protected", VLOOKUP(O821, Reference!$A$2:$D$34, 4, FALSE) &lt;= P821),
                AND(R821="General Use", VLOOKUP(O821, Reference!$A$2:$D$34, 3, FALSE) &lt;= P821)
            ),
                "Exceeded",
                "OK"
            ),
            "No Regulation defined"
        )
    ),
    ""
)</f>
        <v/>
      </c>
      <c r="AB821" s="62" t="str">
        <f t="shared" si="12"/>
        <v/>
      </c>
    </row>
    <row r="822" spans="3:28" x14ac:dyDescent="0.2">
      <c r="C822" s="69"/>
      <c r="D822" s="70"/>
      <c r="S822" s="34"/>
      <c r="T822" s="60" t="str">
        <f>IF(P822&lt;&gt;"",
    IF(OR(O822="", Q822="", R822=""),
        "Fill all the required columns",
        IFERROR(
            IF(OR(
                AND(R822="Marine Protected", VLOOKUP(O822, Reference!$A$2:$D$34, 4, FALSE) &lt;= P822),
                AND(R822="General Use", VLOOKUP(O822, Reference!$A$2:$D$34, 3, FALSE) &lt;= P822)
            ),
                "Exceeded",
                "OK"
            ),
            "No Regulation defined"
        )
    ),
    ""
)</f>
        <v/>
      </c>
      <c r="AB822" s="62" t="str">
        <f t="shared" si="12"/>
        <v/>
      </c>
    </row>
    <row r="823" spans="3:28" x14ac:dyDescent="0.2">
      <c r="C823" s="69"/>
      <c r="D823" s="70"/>
      <c r="S823" s="34"/>
      <c r="T823" s="60" t="str">
        <f>IF(P823&lt;&gt;"",
    IF(OR(O823="", Q823="", R823=""),
        "Fill all the required columns",
        IFERROR(
            IF(OR(
                AND(R823="Marine Protected", VLOOKUP(O823, Reference!$A$2:$D$34, 4, FALSE) &lt;= P823),
                AND(R823="General Use", VLOOKUP(O823, Reference!$A$2:$D$34, 3, FALSE) &lt;= P823)
            ),
                "Exceeded",
                "OK"
            ),
            "No Regulation defined"
        )
    ),
    ""
)</f>
        <v/>
      </c>
      <c r="AB823" s="62" t="str">
        <f t="shared" si="12"/>
        <v/>
      </c>
    </row>
    <row r="824" spans="3:28" x14ac:dyDescent="0.2">
      <c r="C824" s="69"/>
      <c r="D824" s="70"/>
      <c r="S824" s="34"/>
      <c r="T824" s="60" t="str">
        <f>IF(P824&lt;&gt;"",
    IF(OR(O824="", Q824="", R824=""),
        "Fill all the required columns",
        IFERROR(
            IF(OR(
                AND(R824="Marine Protected", VLOOKUP(O824, Reference!$A$2:$D$34, 4, FALSE) &lt;= P824),
                AND(R824="General Use", VLOOKUP(O824, Reference!$A$2:$D$34, 3, FALSE) &lt;= P824)
            ),
                "Exceeded",
                "OK"
            ),
            "No Regulation defined"
        )
    ),
    ""
)</f>
        <v/>
      </c>
      <c r="AB824" s="62" t="str">
        <f t="shared" si="12"/>
        <v/>
      </c>
    </row>
    <row r="825" spans="3:28" x14ac:dyDescent="0.2">
      <c r="C825" s="69"/>
      <c r="D825" s="70"/>
      <c r="S825" s="34"/>
      <c r="T825" s="60" t="str">
        <f>IF(P825&lt;&gt;"",
    IF(OR(O825="", Q825="", R825=""),
        "Fill all the required columns",
        IFERROR(
            IF(OR(
                AND(R825="Marine Protected", VLOOKUP(O825, Reference!$A$2:$D$34, 4, FALSE) &lt;= P825),
                AND(R825="General Use", VLOOKUP(O825, Reference!$A$2:$D$34, 3, FALSE) &lt;= P825)
            ),
                "Exceeded",
                "OK"
            ),
            "No Regulation defined"
        )
    ),
    ""
)</f>
        <v/>
      </c>
      <c r="AB825" s="62" t="str">
        <f t="shared" si="12"/>
        <v/>
      </c>
    </row>
    <row r="826" spans="3:28" x14ac:dyDescent="0.2">
      <c r="C826" s="69"/>
      <c r="D826" s="70"/>
      <c r="S826" s="34"/>
      <c r="T826" s="60" t="str">
        <f>IF(P826&lt;&gt;"",
    IF(OR(O826="", Q826="", R826=""),
        "Fill all the required columns",
        IFERROR(
            IF(OR(
                AND(R826="Marine Protected", VLOOKUP(O826, Reference!$A$2:$D$34, 4, FALSE) &lt;= P826),
                AND(R826="General Use", VLOOKUP(O826, Reference!$A$2:$D$34, 3, FALSE) &lt;= P826)
            ),
                "Exceeded",
                "OK"
            ),
            "No Regulation defined"
        )
    ),
    ""
)</f>
        <v/>
      </c>
      <c r="AB826" s="62" t="str">
        <f t="shared" si="12"/>
        <v/>
      </c>
    </row>
    <row r="827" spans="3:28" x14ac:dyDescent="0.2">
      <c r="C827" s="69"/>
      <c r="D827" s="70"/>
      <c r="S827" s="34"/>
      <c r="T827" s="60" t="str">
        <f>IF(P827&lt;&gt;"",
    IF(OR(O827="", Q827="", R827=""),
        "Fill all the required columns",
        IFERROR(
            IF(OR(
                AND(R827="Marine Protected", VLOOKUP(O827, Reference!$A$2:$D$34, 4, FALSE) &lt;= P827),
                AND(R827="General Use", VLOOKUP(O827, Reference!$A$2:$D$34, 3, FALSE) &lt;= P827)
            ),
                "Exceeded",
                "OK"
            ),
            "No Regulation defined"
        )
    ),
    ""
)</f>
        <v/>
      </c>
      <c r="AB827" s="62" t="str">
        <f t="shared" si="12"/>
        <v/>
      </c>
    </row>
    <row r="828" spans="3:28" x14ac:dyDescent="0.2">
      <c r="C828" s="69"/>
      <c r="D828" s="70"/>
      <c r="S828" s="34"/>
      <c r="T828" s="60" t="str">
        <f>IF(P828&lt;&gt;"",
    IF(OR(O828="", Q828="", R828=""),
        "Fill all the required columns",
        IFERROR(
            IF(OR(
                AND(R828="Marine Protected", VLOOKUP(O828, Reference!$A$2:$D$34, 4, FALSE) &lt;= P828),
                AND(R828="General Use", VLOOKUP(O828, Reference!$A$2:$D$34, 3, FALSE) &lt;= P828)
            ),
                "Exceeded",
                "OK"
            ),
            "No Regulation defined"
        )
    ),
    ""
)</f>
        <v/>
      </c>
      <c r="AB828" s="62" t="str">
        <f t="shared" si="12"/>
        <v/>
      </c>
    </row>
    <row r="829" spans="3:28" x14ac:dyDescent="0.2">
      <c r="C829" s="69"/>
      <c r="D829" s="70"/>
      <c r="S829" s="34"/>
      <c r="T829" s="60" t="str">
        <f>IF(P829&lt;&gt;"",
    IF(OR(O829="", Q829="", R829=""),
        "Fill all the required columns",
        IFERROR(
            IF(OR(
                AND(R829="Marine Protected", VLOOKUP(O829, Reference!$A$2:$D$34, 4, FALSE) &lt;= P829),
                AND(R829="General Use", VLOOKUP(O829, Reference!$A$2:$D$34, 3, FALSE) &lt;= P829)
            ),
                "Exceeded",
                "OK"
            ),
            "No Regulation defined"
        )
    ),
    ""
)</f>
        <v/>
      </c>
      <c r="AB829" s="62" t="str">
        <f t="shared" si="12"/>
        <v/>
      </c>
    </row>
    <row r="830" spans="3:28" x14ac:dyDescent="0.2">
      <c r="C830" s="69"/>
      <c r="D830" s="70"/>
      <c r="S830" s="34"/>
      <c r="T830" s="60" t="str">
        <f>IF(P830&lt;&gt;"",
    IF(OR(O830="", Q830="", R830=""),
        "Fill all the required columns",
        IFERROR(
            IF(OR(
                AND(R830="Marine Protected", VLOOKUP(O830, Reference!$A$2:$D$34, 4, FALSE) &lt;= P830),
                AND(R830="General Use", VLOOKUP(O830, Reference!$A$2:$D$34, 3, FALSE) &lt;= P830)
            ),
                "Exceeded",
                "OK"
            ),
            "No Regulation defined"
        )
    ),
    ""
)</f>
        <v/>
      </c>
      <c r="AB830" s="62" t="str">
        <f t="shared" si="12"/>
        <v/>
      </c>
    </row>
    <row r="831" spans="3:28" x14ac:dyDescent="0.2">
      <c r="C831" s="69"/>
      <c r="D831" s="70"/>
      <c r="S831" s="34"/>
      <c r="T831" s="60" t="str">
        <f>IF(P831&lt;&gt;"",
    IF(OR(O831="", Q831="", R831=""),
        "Fill all the required columns",
        IFERROR(
            IF(OR(
                AND(R831="Marine Protected", VLOOKUP(O831, Reference!$A$2:$D$34, 4, FALSE) &lt;= P831),
                AND(R831="General Use", VLOOKUP(O831, Reference!$A$2:$D$34, 3, FALSE) &lt;= P831)
            ),
                "Exceeded",
                "OK"
            ),
            "No Regulation defined"
        )
    ),
    ""
)</f>
        <v/>
      </c>
      <c r="AB831" s="62" t="str">
        <f t="shared" si="12"/>
        <v/>
      </c>
    </row>
    <row r="832" spans="3:28" x14ac:dyDescent="0.2">
      <c r="C832" s="69"/>
      <c r="D832" s="70"/>
      <c r="S832" s="34"/>
      <c r="T832" s="60" t="str">
        <f>IF(P832&lt;&gt;"",
    IF(OR(O832="", Q832="", R832=""),
        "Fill all the required columns",
        IFERROR(
            IF(OR(
                AND(R832="Marine Protected", VLOOKUP(O832, Reference!$A$2:$D$34, 4, FALSE) &lt;= P832),
                AND(R832="General Use", VLOOKUP(O832, Reference!$A$2:$D$34, 3, FALSE) &lt;= P832)
            ),
                "Exceeded",
                "OK"
            ),
            "No Regulation defined"
        )
    ),
    ""
)</f>
        <v/>
      </c>
      <c r="AB832" s="62" t="str">
        <f t="shared" si="12"/>
        <v/>
      </c>
    </row>
    <row r="833" spans="3:28" x14ac:dyDescent="0.2">
      <c r="C833" s="69"/>
      <c r="D833" s="70"/>
      <c r="S833" s="34"/>
      <c r="T833" s="60" t="str">
        <f>IF(P833&lt;&gt;"",
    IF(OR(O833="", Q833="", R833=""),
        "Fill all the required columns",
        IFERROR(
            IF(OR(
                AND(R833="Marine Protected", VLOOKUP(O833, Reference!$A$2:$D$34, 4, FALSE) &lt;= P833),
                AND(R833="General Use", VLOOKUP(O833, Reference!$A$2:$D$34, 3, FALSE) &lt;= P833)
            ),
                "Exceeded",
                "OK"
            ),
            "No Regulation defined"
        )
    ),
    ""
)</f>
        <v/>
      </c>
      <c r="AB833" s="62" t="str">
        <f t="shared" si="12"/>
        <v/>
      </c>
    </row>
    <row r="834" spans="3:28" x14ac:dyDescent="0.2">
      <c r="C834" s="69"/>
      <c r="D834" s="70"/>
      <c r="S834" s="34"/>
      <c r="T834" s="60" t="str">
        <f>IF(P834&lt;&gt;"",
    IF(OR(O834="", Q834="", R834=""),
        "Fill all the required columns",
        IFERROR(
            IF(OR(
                AND(R834="Marine Protected", VLOOKUP(O834, Reference!$A$2:$D$34, 4, FALSE) &lt;= P834),
                AND(R834="General Use", VLOOKUP(O834, Reference!$A$2:$D$34, 3, FALSE) &lt;= P834)
            ),
                "Exceeded",
                "OK"
            ),
            "No Regulation defined"
        )
    ),
    ""
)</f>
        <v/>
      </c>
      <c r="AB834" s="62" t="str">
        <f t="shared" si="12"/>
        <v/>
      </c>
    </row>
    <row r="835" spans="3:28" x14ac:dyDescent="0.2">
      <c r="C835" s="69"/>
      <c r="D835" s="70"/>
      <c r="S835" s="34"/>
      <c r="T835" s="60" t="str">
        <f>IF(P835&lt;&gt;"",
    IF(OR(O835="", Q835="", R835=""),
        "Fill all the required columns",
        IFERROR(
            IF(OR(
                AND(R835="Marine Protected", VLOOKUP(O835, Reference!$A$2:$D$34, 4, FALSE) &lt;= P835),
                AND(R835="General Use", VLOOKUP(O835, Reference!$A$2:$D$34, 3, FALSE) &lt;= P835)
            ),
                "Exceeded",
                "OK"
            ),
            "No Regulation defined"
        )
    ),
    ""
)</f>
        <v/>
      </c>
      <c r="AB835" s="62" t="str">
        <f t="shared" ref="AB835:AB898" si="13">IF(COUNTA(A835, E835, F835, H835, I835, O835, P835, Q835, R835,S835) = 0, "", IF(COUNTA(A835, E835, F835, H835, I835, O835, P835, Q835, R835,S835) = 10, "OK", "Incomplete"))</f>
        <v/>
      </c>
    </row>
    <row r="836" spans="3:28" x14ac:dyDescent="0.2">
      <c r="C836" s="69"/>
      <c r="D836" s="70"/>
      <c r="S836" s="34"/>
      <c r="T836" s="60" t="str">
        <f>IF(P836&lt;&gt;"",
    IF(OR(O836="", Q836="", R836=""),
        "Fill all the required columns",
        IFERROR(
            IF(OR(
                AND(R836="Marine Protected", VLOOKUP(O836, Reference!$A$2:$D$34, 4, FALSE) &lt;= P836),
                AND(R836="General Use", VLOOKUP(O836, Reference!$A$2:$D$34, 3, FALSE) &lt;= P836)
            ),
                "Exceeded",
                "OK"
            ),
            "No Regulation defined"
        )
    ),
    ""
)</f>
        <v/>
      </c>
      <c r="AB836" s="62" t="str">
        <f t="shared" si="13"/>
        <v/>
      </c>
    </row>
    <row r="837" spans="3:28" x14ac:dyDescent="0.2">
      <c r="C837" s="69"/>
      <c r="D837" s="70"/>
      <c r="S837" s="34"/>
      <c r="T837" s="60" t="str">
        <f>IF(P837&lt;&gt;"",
    IF(OR(O837="", Q837="", R837=""),
        "Fill all the required columns",
        IFERROR(
            IF(OR(
                AND(R837="Marine Protected", VLOOKUP(O837, Reference!$A$2:$D$34, 4, FALSE) &lt;= P837),
                AND(R837="General Use", VLOOKUP(O837, Reference!$A$2:$D$34, 3, FALSE) &lt;= P837)
            ),
                "Exceeded",
                "OK"
            ),
            "No Regulation defined"
        )
    ),
    ""
)</f>
        <v/>
      </c>
      <c r="AB837" s="62" t="str">
        <f t="shared" si="13"/>
        <v/>
      </c>
    </row>
    <row r="838" spans="3:28" x14ac:dyDescent="0.2">
      <c r="C838" s="69"/>
      <c r="D838" s="70"/>
      <c r="S838" s="34"/>
      <c r="T838" s="60" t="str">
        <f>IF(P838&lt;&gt;"",
    IF(OR(O838="", Q838="", R838=""),
        "Fill all the required columns",
        IFERROR(
            IF(OR(
                AND(R838="Marine Protected", VLOOKUP(O838, Reference!$A$2:$D$34, 4, FALSE) &lt;= P838),
                AND(R838="General Use", VLOOKUP(O838, Reference!$A$2:$D$34, 3, FALSE) &lt;= P838)
            ),
                "Exceeded",
                "OK"
            ),
            "No Regulation defined"
        )
    ),
    ""
)</f>
        <v/>
      </c>
      <c r="AB838" s="62" t="str">
        <f t="shared" si="13"/>
        <v/>
      </c>
    </row>
    <row r="839" spans="3:28" x14ac:dyDescent="0.2">
      <c r="C839" s="69"/>
      <c r="D839" s="70"/>
      <c r="S839" s="34"/>
      <c r="T839" s="60" t="str">
        <f>IF(P839&lt;&gt;"",
    IF(OR(O839="", Q839="", R839=""),
        "Fill all the required columns",
        IFERROR(
            IF(OR(
                AND(R839="Marine Protected", VLOOKUP(O839, Reference!$A$2:$D$34, 4, FALSE) &lt;= P839),
                AND(R839="General Use", VLOOKUP(O839, Reference!$A$2:$D$34, 3, FALSE) &lt;= P839)
            ),
                "Exceeded",
                "OK"
            ),
            "No Regulation defined"
        )
    ),
    ""
)</f>
        <v/>
      </c>
      <c r="AB839" s="62" t="str">
        <f t="shared" si="13"/>
        <v/>
      </c>
    </row>
    <row r="840" spans="3:28" x14ac:dyDescent="0.2">
      <c r="C840" s="69"/>
      <c r="D840" s="70"/>
      <c r="S840" s="34"/>
      <c r="T840" s="60" t="str">
        <f>IF(P840&lt;&gt;"",
    IF(OR(O840="", Q840="", R840=""),
        "Fill all the required columns",
        IFERROR(
            IF(OR(
                AND(R840="Marine Protected", VLOOKUP(O840, Reference!$A$2:$D$34, 4, FALSE) &lt;= P840),
                AND(R840="General Use", VLOOKUP(O840, Reference!$A$2:$D$34, 3, FALSE) &lt;= P840)
            ),
                "Exceeded",
                "OK"
            ),
            "No Regulation defined"
        )
    ),
    ""
)</f>
        <v/>
      </c>
      <c r="AB840" s="62" t="str">
        <f t="shared" si="13"/>
        <v/>
      </c>
    </row>
    <row r="841" spans="3:28" x14ac:dyDescent="0.2">
      <c r="C841" s="69"/>
      <c r="D841" s="70"/>
      <c r="S841" s="34"/>
      <c r="T841" s="60" t="str">
        <f>IF(P841&lt;&gt;"",
    IF(OR(O841="", Q841="", R841=""),
        "Fill all the required columns",
        IFERROR(
            IF(OR(
                AND(R841="Marine Protected", VLOOKUP(O841, Reference!$A$2:$D$34, 4, FALSE) &lt;= P841),
                AND(R841="General Use", VLOOKUP(O841, Reference!$A$2:$D$34, 3, FALSE) &lt;= P841)
            ),
                "Exceeded",
                "OK"
            ),
            "No Regulation defined"
        )
    ),
    ""
)</f>
        <v/>
      </c>
      <c r="AB841" s="62" t="str">
        <f t="shared" si="13"/>
        <v/>
      </c>
    </row>
    <row r="842" spans="3:28" x14ac:dyDescent="0.2">
      <c r="C842" s="69"/>
      <c r="D842" s="70"/>
      <c r="S842" s="34"/>
      <c r="T842" s="60" t="str">
        <f>IF(P842&lt;&gt;"",
    IF(OR(O842="", Q842="", R842=""),
        "Fill all the required columns",
        IFERROR(
            IF(OR(
                AND(R842="Marine Protected", VLOOKUP(O842, Reference!$A$2:$D$34, 4, FALSE) &lt;= P842),
                AND(R842="General Use", VLOOKUP(O842, Reference!$A$2:$D$34, 3, FALSE) &lt;= P842)
            ),
                "Exceeded",
                "OK"
            ),
            "No Regulation defined"
        )
    ),
    ""
)</f>
        <v/>
      </c>
      <c r="AB842" s="62" t="str">
        <f t="shared" si="13"/>
        <v/>
      </c>
    </row>
    <row r="843" spans="3:28" x14ac:dyDescent="0.2">
      <c r="C843" s="69"/>
      <c r="D843" s="70"/>
      <c r="S843" s="34"/>
      <c r="T843" s="60" t="str">
        <f>IF(P843&lt;&gt;"",
    IF(OR(O843="", Q843="", R843=""),
        "Fill all the required columns",
        IFERROR(
            IF(OR(
                AND(R843="Marine Protected", VLOOKUP(O843, Reference!$A$2:$D$34, 4, FALSE) &lt;= P843),
                AND(R843="General Use", VLOOKUP(O843, Reference!$A$2:$D$34, 3, FALSE) &lt;= P843)
            ),
                "Exceeded",
                "OK"
            ),
            "No Regulation defined"
        )
    ),
    ""
)</f>
        <v/>
      </c>
      <c r="AB843" s="62" t="str">
        <f t="shared" si="13"/>
        <v/>
      </c>
    </row>
    <row r="844" spans="3:28" x14ac:dyDescent="0.2">
      <c r="C844" s="69"/>
      <c r="D844" s="70"/>
      <c r="S844" s="34"/>
      <c r="T844" s="60" t="str">
        <f>IF(P844&lt;&gt;"",
    IF(OR(O844="", Q844="", R844=""),
        "Fill all the required columns",
        IFERROR(
            IF(OR(
                AND(R844="Marine Protected", VLOOKUP(O844, Reference!$A$2:$D$34, 4, FALSE) &lt;= P844),
                AND(R844="General Use", VLOOKUP(O844, Reference!$A$2:$D$34, 3, FALSE) &lt;= P844)
            ),
                "Exceeded",
                "OK"
            ),
            "No Regulation defined"
        )
    ),
    ""
)</f>
        <v/>
      </c>
      <c r="AB844" s="62" t="str">
        <f t="shared" si="13"/>
        <v/>
      </c>
    </row>
    <row r="845" spans="3:28" x14ac:dyDescent="0.2">
      <c r="C845" s="69"/>
      <c r="D845" s="70"/>
      <c r="S845" s="34"/>
      <c r="T845" s="60" t="str">
        <f>IF(P845&lt;&gt;"",
    IF(OR(O845="", Q845="", R845=""),
        "Fill all the required columns",
        IFERROR(
            IF(OR(
                AND(R845="Marine Protected", VLOOKUP(O845, Reference!$A$2:$D$34, 4, FALSE) &lt;= P845),
                AND(R845="General Use", VLOOKUP(O845, Reference!$A$2:$D$34, 3, FALSE) &lt;= P845)
            ),
                "Exceeded",
                "OK"
            ),
            "No Regulation defined"
        )
    ),
    ""
)</f>
        <v/>
      </c>
      <c r="AB845" s="62" t="str">
        <f t="shared" si="13"/>
        <v/>
      </c>
    </row>
    <row r="846" spans="3:28" x14ac:dyDescent="0.2">
      <c r="C846" s="69"/>
      <c r="D846" s="70"/>
      <c r="S846" s="34"/>
      <c r="T846" s="60" t="str">
        <f>IF(P846&lt;&gt;"",
    IF(OR(O846="", Q846="", R846=""),
        "Fill all the required columns",
        IFERROR(
            IF(OR(
                AND(R846="Marine Protected", VLOOKUP(O846, Reference!$A$2:$D$34, 4, FALSE) &lt;= P846),
                AND(R846="General Use", VLOOKUP(O846, Reference!$A$2:$D$34, 3, FALSE) &lt;= P846)
            ),
                "Exceeded",
                "OK"
            ),
            "No Regulation defined"
        )
    ),
    ""
)</f>
        <v/>
      </c>
      <c r="AB846" s="62" t="str">
        <f t="shared" si="13"/>
        <v/>
      </c>
    </row>
    <row r="847" spans="3:28" x14ac:dyDescent="0.2">
      <c r="C847" s="69"/>
      <c r="D847" s="70"/>
      <c r="S847" s="34"/>
      <c r="T847" s="60" t="str">
        <f>IF(P847&lt;&gt;"",
    IF(OR(O847="", Q847="", R847=""),
        "Fill all the required columns",
        IFERROR(
            IF(OR(
                AND(R847="Marine Protected", VLOOKUP(O847, Reference!$A$2:$D$34, 4, FALSE) &lt;= P847),
                AND(R847="General Use", VLOOKUP(O847, Reference!$A$2:$D$34, 3, FALSE) &lt;= P847)
            ),
                "Exceeded",
                "OK"
            ),
            "No Regulation defined"
        )
    ),
    ""
)</f>
        <v/>
      </c>
      <c r="AB847" s="62" t="str">
        <f t="shared" si="13"/>
        <v/>
      </c>
    </row>
    <row r="848" spans="3:28" x14ac:dyDescent="0.2">
      <c r="C848" s="69"/>
      <c r="D848" s="70"/>
      <c r="S848" s="34"/>
      <c r="T848" s="60" t="str">
        <f>IF(P848&lt;&gt;"",
    IF(OR(O848="", Q848="", R848=""),
        "Fill all the required columns",
        IFERROR(
            IF(OR(
                AND(R848="Marine Protected", VLOOKUP(O848, Reference!$A$2:$D$34, 4, FALSE) &lt;= P848),
                AND(R848="General Use", VLOOKUP(O848, Reference!$A$2:$D$34, 3, FALSE) &lt;= P848)
            ),
                "Exceeded",
                "OK"
            ),
            "No Regulation defined"
        )
    ),
    ""
)</f>
        <v/>
      </c>
      <c r="AB848" s="62" t="str">
        <f t="shared" si="13"/>
        <v/>
      </c>
    </row>
    <row r="849" spans="3:28" x14ac:dyDescent="0.2">
      <c r="C849" s="69"/>
      <c r="D849" s="70"/>
      <c r="S849" s="34"/>
      <c r="T849" s="60" t="str">
        <f>IF(P849&lt;&gt;"",
    IF(OR(O849="", Q849="", R849=""),
        "Fill all the required columns",
        IFERROR(
            IF(OR(
                AND(R849="Marine Protected", VLOOKUP(O849, Reference!$A$2:$D$34, 4, FALSE) &lt;= P849),
                AND(R849="General Use", VLOOKUP(O849, Reference!$A$2:$D$34, 3, FALSE) &lt;= P849)
            ),
                "Exceeded",
                "OK"
            ),
            "No Regulation defined"
        )
    ),
    ""
)</f>
        <v/>
      </c>
      <c r="AB849" s="62" t="str">
        <f t="shared" si="13"/>
        <v/>
      </c>
    </row>
    <row r="850" spans="3:28" x14ac:dyDescent="0.2">
      <c r="C850" s="69"/>
      <c r="D850" s="70"/>
      <c r="S850" s="34"/>
      <c r="T850" s="60" t="str">
        <f>IF(P850&lt;&gt;"",
    IF(OR(O850="", Q850="", R850=""),
        "Fill all the required columns",
        IFERROR(
            IF(OR(
                AND(R850="Marine Protected", VLOOKUP(O850, Reference!$A$2:$D$34, 4, FALSE) &lt;= P850),
                AND(R850="General Use", VLOOKUP(O850, Reference!$A$2:$D$34, 3, FALSE) &lt;= P850)
            ),
                "Exceeded",
                "OK"
            ),
            "No Regulation defined"
        )
    ),
    ""
)</f>
        <v/>
      </c>
      <c r="AB850" s="62" t="str">
        <f t="shared" si="13"/>
        <v/>
      </c>
    </row>
    <row r="851" spans="3:28" x14ac:dyDescent="0.2">
      <c r="C851" s="69"/>
      <c r="D851" s="70"/>
      <c r="S851" s="34"/>
      <c r="T851" s="60" t="str">
        <f>IF(P851&lt;&gt;"",
    IF(OR(O851="", Q851="", R851=""),
        "Fill all the required columns",
        IFERROR(
            IF(OR(
                AND(R851="Marine Protected", VLOOKUP(O851, Reference!$A$2:$D$34, 4, FALSE) &lt;= P851),
                AND(R851="General Use", VLOOKUP(O851, Reference!$A$2:$D$34, 3, FALSE) &lt;= P851)
            ),
                "Exceeded",
                "OK"
            ),
            "No Regulation defined"
        )
    ),
    ""
)</f>
        <v/>
      </c>
      <c r="AB851" s="62" t="str">
        <f t="shared" si="13"/>
        <v/>
      </c>
    </row>
    <row r="852" spans="3:28" x14ac:dyDescent="0.2">
      <c r="C852" s="69"/>
      <c r="D852" s="70"/>
      <c r="S852" s="34"/>
      <c r="T852" s="60" t="str">
        <f>IF(P852&lt;&gt;"",
    IF(OR(O852="", Q852="", R852=""),
        "Fill all the required columns",
        IFERROR(
            IF(OR(
                AND(R852="Marine Protected", VLOOKUP(O852, Reference!$A$2:$D$34, 4, FALSE) &lt;= P852),
                AND(R852="General Use", VLOOKUP(O852, Reference!$A$2:$D$34, 3, FALSE) &lt;= P852)
            ),
                "Exceeded",
                "OK"
            ),
            "No Regulation defined"
        )
    ),
    ""
)</f>
        <v/>
      </c>
      <c r="AB852" s="62" t="str">
        <f t="shared" si="13"/>
        <v/>
      </c>
    </row>
    <row r="853" spans="3:28" x14ac:dyDescent="0.2">
      <c r="C853" s="69"/>
      <c r="D853" s="70"/>
      <c r="S853" s="34"/>
      <c r="T853" s="60" t="str">
        <f>IF(P853&lt;&gt;"",
    IF(OR(O853="", Q853="", R853=""),
        "Fill all the required columns",
        IFERROR(
            IF(OR(
                AND(R853="Marine Protected", VLOOKUP(O853, Reference!$A$2:$D$34, 4, FALSE) &lt;= P853),
                AND(R853="General Use", VLOOKUP(O853, Reference!$A$2:$D$34, 3, FALSE) &lt;= P853)
            ),
                "Exceeded",
                "OK"
            ),
            "No Regulation defined"
        )
    ),
    ""
)</f>
        <v/>
      </c>
      <c r="AB853" s="62" t="str">
        <f t="shared" si="13"/>
        <v/>
      </c>
    </row>
    <row r="854" spans="3:28" x14ac:dyDescent="0.2">
      <c r="C854" s="69"/>
      <c r="D854" s="70"/>
      <c r="S854" s="34"/>
      <c r="T854" s="60" t="str">
        <f>IF(P854&lt;&gt;"",
    IF(OR(O854="", Q854="", R854=""),
        "Fill all the required columns",
        IFERROR(
            IF(OR(
                AND(R854="Marine Protected", VLOOKUP(O854, Reference!$A$2:$D$34, 4, FALSE) &lt;= P854),
                AND(R854="General Use", VLOOKUP(O854, Reference!$A$2:$D$34, 3, FALSE) &lt;= P854)
            ),
                "Exceeded",
                "OK"
            ),
            "No Regulation defined"
        )
    ),
    ""
)</f>
        <v/>
      </c>
      <c r="AB854" s="62" t="str">
        <f t="shared" si="13"/>
        <v/>
      </c>
    </row>
    <row r="855" spans="3:28" x14ac:dyDescent="0.2">
      <c r="C855" s="69"/>
      <c r="D855" s="70"/>
      <c r="S855" s="34"/>
      <c r="T855" s="60" t="str">
        <f>IF(P855&lt;&gt;"",
    IF(OR(O855="", Q855="", R855=""),
        "Fill all the required columns",
        IFERROR(
            IF(OR(
                AND(R855="Marine Protected", VLOOKUP(O855, Reference!$A$2:$D$34, 4, FALSE) &lt;= P855),
                AND(R855="General Use", VLOOKUP(O855, Reference!$A$2:$D$34, 3, FALSE) &lt;= P855)
            ),
                "Exceeded",
                "OK"
            ),
            "No Regulation defined"
        )
    ),
    ""
)</f>
        <v/>
      </c>
      <c r="AB855" s="62" t="str">
        <f t="shared" si="13"/>
        <v/>
      </c>
    </row>
    <row r="856" spans="3:28" x14ac:dyDescent="0.2">
      <c r="C856" s="69"/>
      <c r="D856" s="70"/>
      <c r="S856" s="34"/>
      <c r="T856" s="60" t="str">
        <f>IF(P856&lt;&gt;"",
    IF(OR(O856="", Q856="", R856=""),
        "Fill all the required columns",
        IFERROR(
            IF(OR(
                AND(R856="Marine Protected", VLOOKUP(O856, Reference!$A$2:$D$34, 4, FALSE) &lt;= P856),
                AND(R856="General Use", VLOOKUP(O856, Reference!$A$2:$D$34, 3, FALSE) &lt;= P856)
            ),
                "Exceeded",
                "OK"
            ),
            "No Regulation defined"
        )
    ),
    ""
)</f>
        <v/>
      </c>
      <c r="AB856" s="62" t="str">
        <f t="shared" si="13"/>
        <v/>
      </c>
    </row>
    <row r="857" spans="3:28" x14ac:dyDescent="0.2">
      <c r="C857" s="69"/>
      <c r="D857" s="70"/>
      <c r="S857" s="34"/>
      <c r="T857" s="60" t="str">
        <f>IF(P857&lt;&gt;"",
    IF(OR(O857="", Q857="", R857=""),
        "Fill all the required columns",
        IFERROR(
            IF(OR(
                AND(R857="Marine Protected", VLOOKUP(O857, Reference!$A$2:$D$34, 4, FALSE) &lt;= P857),
                AND(R857="General Use", VLOOKUP(O857, Reference!$A$2:$D$34, 3, FALSE) &lt;= P857)
            ),
                "Exceeded",
                "OK"
            ),
            "No Regulation defined"
        )
    ),
    ""
)</f>
        <v/>
      </c>
      <c r="AB857" s="62" t="str">
        <f t="shared" si="13"/>
        <v/>
      </c>
    </row>
    <row r="858" spans="3:28" x14ac:dyDescent="0.2">
      <c r="C858" s="69"/>
      <c r="D858" s="70"/>
      <c r="S858" s="34"/>
      <c r="T858" s="60" t="str">
        <f>IF(P858&lt;&gt;"",
    IF(OR(O858="", Q858="", R858=""),
        "Fill all the required columns",
        IFERROR(
            IF(OR(
                AND(R858="Marine Protected", VLOOKUP(O858, Reference!$A$2:$D$34, 4, FALSE) &lt;= P858),
                AND(R858="General Use", VLOOKUP(O858, Reference!$A$2:$D$34, 3, FALSE) &lt;= P858)
            ),
                "Exceeded",
                "OK"
            ),
            "No Regulation defined"
        )
    ),
    ""
)</f>
        <v/>
      </c>
      <c r="AB858" s="62" t="str">
        <f t="shared" si="13"/>
        <v/>
      </c>
    </row>
    <row r="859" spans="3:28" x14ac:dyDescent="0.2">
      <c r="C859" s="69"/>
      <c r="D859" s="70"/>
      <c r="S859" s="34"/>
      <c r="T859" s="60" t="str">
        <f>IF(P859&lt;&gt;"",
    IF(OR(O859="", Q859="", R859=""),
        "Fill all the required columns",
        IFERROR(
            IF(OR(
                AND(R859="Marine Protected", VLOOKUP(O859, Reference!$A$2:$D$34, 4, FALSE) &lt;= P859),
                AND(R859="General Use", VLOOKUP(O859, Reference!$A$2:$D$34, 3, FALSE) &lt;= P859)
            ),
                "Exceeded",
                "OK"
            ),
            "No Regulation defined"
        )
    ),
    ""
)</f>
        <v/>
      </c>
      <c r="AB859" s="62" t="str">
        <f t="shared" si="13"/>
        <v/>
      </c>
    </row>
    <row r="860" spans="3:28" x14ac:dyDescent="0.2">
      <c r="C860" s="69"/>
      <c r="D860" s="70"/>
      <c r="S860" s="34"/>
      <c r="T860" s="60" t="str">
        <f>IF(P860&lt;&gt;"",
    IF(OR(O860="", Q860="", R860=""),
        "Fill all the required columns",
        IFERROR(
            IF(OR(
                AND(R860="Marine Protected", VLOOKUP(O860, Reference!$A$2:$D$34, 4, FALSE) &lt;= P860),
                AND(R860="General Use", VLOOKUP(O860, Reference!$A$2:$D$34, 3, FALSE) &lt;= P860)
            ),
                "Exceeded",
                "OK"
            ),
            "No Regulation defined"
        )
    ),
    ""
)</f>
        <v/>
      </c>
      <c r="AB860" s="62" t="str">
        <f t="shared" si="13"/>
        <v/>
      </c>
    </row>
    <row r="861" spans="3:28" x14ac:dyDescent="0.2">
      <c r="C861" s="69"/>
      <c r="D861" s="70"/>
      <c r="S861" s="34"/>
      <c r="T861" s="60" t="str">
        <f>IF(P861&lt;&gt;"",
    IF(OR(O861="", Q861="", R861=""),
        "Fill all the required columns",
        IFERROR(
            IF(OR(
                AND(R861="Marine Protected", VLOOKUP(O861, Reference!$A$2:$D$34, 4, FALSE) &lt;= P861),
                AND(R861="General Use", VLOOKUP(O861, Reference!$A$2:$D$34, 3, FALSE) &lt;= P861)
            ),
                "Exceeded",
                "OK"
            ),
            "No Regulation defined"
        )
    ),
    ""
)</f>
        <v/>
      </c>
      <c r="AB861" s="62" t="str">
        <f t="shared" si="13"/>
        <v/>
      </c>
    </row>
    <row r="862" spans="3:28" x14ac:dyDescent="0.2">
      <c r="C862" s="69"/>
      <c r="D862" s="70"/>
      <c r="S862" s="34"/>
      <c r="T862" s="60" t="str">
        <f>IF(P862&lt;&gt;"",
    IF(OR(O862="", Q862="", R862=""),
        "Fill all the required columns",
        IFERROR(
            IF(OR(
                AND(R862="Marine Protected", VLOOKUP(O862, Reference!$A$2:$D$34, 4, FALSE) &lt;= P862),
                AND(R862="General Use", VLOOKUP(O862, Reference!$A$2:$D$34, 3, FALSE) &lt;= P862)
            ),
                "Exceeded",
                "OK"
            ),
            "No Regulation defined"
        )
    ),
    ""
)</f>
        <v/>
      </c>
      <c r="AB862" s="62" t="str">
        <f t="shared" si="13"/>
        <v/>
      </c>
    </row>
    <row r="863" spans="3:28" x14ac:dyDescent="0.2">
      <c r="C863" s="69"/>
      <c r="D863" s="70"/>
      <c r="S863" s="34"/>
      <c r="T863" s="60" t="str">
        <f>IF(P863&lt;&gt;"",
    IF(OR(O863="", Q863="", R863=""),
        "Fill all the required columns",
        IFERROR(
            IF(OR(
                AND(R863="Marine Protected", VLOOKUP(O863, Reference!$A$2:$D$34, 4, FALSE) &lt;= P863),
                AND(R863="General Use", VLOOKUP(O863, Reference!$A$2:$D$34, 3, FALSE) &lt;= P863)
            ),
                "Exceeded",
                "OK"
            ),
            "No Regulation defined"
        )
    ),
    ""
)</f>
        <v/>
      </c>
      <c r="AB863" s="62" t="str">
        <f t="shared" si="13"/>
        <v/>
      </c>
    </row>
    <row r="864" spans="3:28" x14ac:dyDescent="0.2">
      <c r="C864" s="69"/>
      <c r="D864" s="70"/>
      <c r="S864" s="34"/>
      <c r="T864" s="60" t="str">
        <f>IF(P864&lt;&gt;"",
    IF(OR(O864="", Q864="", R864=""),
        "Fill all the required columns",
        IFERROR(
            IF(OR(
                AND(R864="Marine Protected", VLOOKUP(O864, Reference!$A$2:$D$34, 4, FALSE) &lt;= P864),
                AND(R864="General Use", VLOOKUP(O864, Reference!$A$2:$D$34, 3, FALSE) &lt;= P864)
            ),
                "Exceeded",
                "OK"
            ),
            "No Regulation defined"
        )
    ),
    ""
)</f>
        <v/>
      </c>
      <c r="AB864" s="62" t="str">
        <f t="shared" si="13"/>
        <v/>
      </c>
    </row>
    <row r="865" spans="3:28" x14ac:dyDescent="0.2">
      <c r="C865" s="69"/>
      <c r="D865" s="70"/>
      <c r="S865" s="34"/>
      <c r="T865" s="60" t="str">
        <f>IF(P865&lt;&gt;"",
    IF(OR(O865="", Q865="", R865=""),
        "Fill all the required columns",
        IFERROR(
            IF(OR(
                AND(R865="Marine Protected", VLOOKUP(O865, Reference!$A$2:$D$34, 4, FALSE) &lt;= P865),
                AND(R865="General Use", VLOOKUP(O865, Reference!$A$2:$D$34, 3, FALSE) &lt;= P865)
            ),
                "Exceeded",
                "OK"
            ),
            "No Regulation defined"
        )
    ),
    ""
)</f>
        <v/>
      </c>
      <c r="AB865" s="62" t="str">
        <f t="shared" si="13"/>
        <v/>
      </c>
    </row>
    <row r="866" spans="3:28" x14ac:dyDescent="0.2">
      <c r="C866" s="69"/>
      <c r="D866" s="70"/>
      <c r="S866" s="34"/>
      <c r="T866" s="60" t="str">
        <f>IF(P866&lt;&gt;"",
    IF(OR(O866="", Q866="", R866=""),
        "Fill all the required columns",
        IFERROR(
            IF(OR(
                AND(R866="Marine Protected", VLOOKUP(O866, Reference!$A$2:$D$34, 4, FALSE) &lt;= P866),
                AND(R866="General Use", VLOOKUP(O866, Reference!$A$2:$D$34, 3, FALSE) &lt;= P866)
            ),
                "Exceeded",
                "OK"
            ),
            "No Regulation defined"
        )
    ),
    ""
)</f>
        <v/>
      </c>
      <c r="AB866" s="62" t="str">
        <f t="shared" si="13"/>
        <v/>
      </c>
    </row>
    <row r="867" spans="3:28" x14ac:dyDescent="0.2">
      <c r="C867" s="69"/>
      <c r="D867" s="70"/>
      <c r="S867" s="34"/>
      <c r="T867" s="60" t="str">
        <f>IF(P867&lt;&gt;"",
    IF(OR(O867="", Q867="", R867=""),
        "Fill all the required columns",
        IFERROR(
            IF(OR(
                AND(R867="Marine Protected", VLOOKUP(O867, Reference!$A$2:$D$34, 4, FALSE) &lt;= P867),
                AND(R867="General Use", VLOOKUP(O867, Reference!$A$2:$D$34, 3, FALSE) &lt;= P867)
            ),
                "Exceeded",
                "OK"
            ),
            "No Regulation defined"
        )
    ),
    ""
)</f>
        <v/>
      </c>
      <c r="AB867" s="62" t="str">
        <f t="shared" si="13"/>
        <v/>
      </c>
    </row>
    <row r="868" spans="3:28" x14ac:dyDescent="0.2">
      <c r="C868" s="69"/>
      <c r="D868" s="70"/>
      <c r="S868" s="34"/>
      <c r="T868" s="60" t="str">
        <f>IF(P868&lt;&gt;"",
    IF(OR(O868="", Q868="", R868=""),
        "Fill all the required columns",
        IFERROR(
            IF(OR(
                AND(R868="Marine Protected", VLOOKUP(O868, Reference!$A$2:$D$34, 4, FALSE) &lt;= P868),
                AND(R868="General Use", VLOOKUP(O868, Reference!$A$2:$D$34, 3, FALSE) &lt;= P868)
            ),
                "Exceeded",
                "OK"
            ),
            "No Regulation defined"
        )
    ),
    ""
)</f>
        <v/>
      </c>
      <c r="AB868" s="62" t="str">
        <f t="shared" si="13"/>
        <v/>
      </c>
    </row>
    <row r="869" spans="3:28" x14ac:dyDescent="0.2">
      <c r="C869" s="69"/>
      <c r="D869" s="70"/>
      <c r="S869" s="34"/>
      <c r="T869" s="60" t="str">
        <f>IF(P869&lt;&gt;"",
    IF(OR(O869="", Q869="", R869=""),
        "Fill all the required columns",
        IFERROR(
            IF(OR(
                AND(R869="Marine Protected", VLOOKUP(O869, Reference!$A$2:$D$34, 4, FALSE) &lt;= P869),
                AND(R869="General Use", VLOOKUP(O869, Reference!$A$2:$D$34, 3, FALSE) &lt;= P869)
            ),
                "Exceeded",
                "OK"
            ),
            "No Regulation defined"
        )
    ),
    ""
)</f>
        <v/>
      </c>
      <c r="AB869" s="62" t="str">
        <f t="shared" si="13"/>
        <v/>
      </c>
    </row>
    <row r="870" spans="3:28" x14ac:dyDescent="0.2">
      <c r="C870" s="69"/>
      <c r="D870" s="70"/>
      <c r="S870" s="34"/>
      <c r="T870" s="60" t="str">
        <f>IF(P870&lt;&gt;"",
    IF(OR(O870="", Q870="", R870=""),
        "Fill all the required columns",
        IFERROR(
            IF(OR(
                AND(R870="Marine Protected", VLOOKUP(O870, Reference!$A$2:$D$34, 4, FALSE) &lt;= P870),
                AND(R870="General Use", VLOOKUP(O870, Reference!$A$2:$D$34, 3, FALSE) &lt;= P870)
            ),
                "Exceeded",
                "OK"
            ),
            "No Regulation defined"
        )
    ),
    ""
)</f>
        <v/>
      </c>
      <c r="AB870" s="62" t="str">
        <f t="shared" si="13"/>
        <v/>
      </c>
    </row>
    <row r="871" spans="3:28" x14ac:dyDescent="0.2">
      <c r="C871" s="69"/>
      <c r="D871" s="70"/>
      <c r="S871" s="34"/>
      <c r="T871" s="60" t="str">
        <f>IF(P871&lt;&gt;"",
    IF(OR(O871="", Q871="", R871=""),
        "Fill all the required columns",
        IFERROR(
            IF(OR(
                AND(R871="Marine Protected", VLOOKUP(O871, Reference!$A$2:$D$34, 4, FALSE) &lt;= P871),
                AND(R871="General Use", VLOOKUP(O871, Reference!$A$2:$D$34, 3, FALSE) &lt;= P871)
            ),
                "Exceeded",
                "OK"
            ),
            "No Regulation defined"
        )
    ),
    ""
)</f>
        <v/>
      </c>
      <c r="AB871" s="62" t="str">
        <f t="shared" si="13"/>
        <v/>
      </c>
    </row>
    <row r="872" spans="3:28" x14ac:dyDescent="0.2">
      <c r="C872" s="69"/>
      <c r="D872" s="70"/>
      <c r="S872" s="34"/>
      <c r="T872" s="60" t="str">
        <f>IF(P872&lt;&gt;"",
    IF(OR(O872="", Q872="", R872=""),
        "Fill all the required columns",
        IFERROR(
            IF(OR(
                AND(R872="Marine Protected", VLOOKUP(O872, Reference!$A$2:$D$34, 4, FALSE) &lt;= P872),
                AND(R872="General Use", VLOOKUP(O872, Reference!$A$2:$D$34, 3, FALSE) &lt;= P872)
            ),
                "Exceeded",
                "OK"
            ),
            "No Regulation defined"
        )
    ),
    ""
)</f>
        <v/>
      </c>
      <c r="AB872" s="62" t="str">
        <f t="shared" si="13"/>
        <v/>
      </c>
    </row>
    <row r="873" spans="3:28" x14ac:dyDescent="0.2">
      <c r="C873" s="69"/>
      <c r="D873" s="70"/>
      <c r="S873" s="34"/>
      <c r="T873" s="60" t="str">
        <f>IF(P873&lt;&gt;"",
    IF(OR(O873="", Q873="", R873=""),
        "Fill all the required columns",
        IFERROR(
            IF(OR(
                AND(R873="Marine Protected", VLOOKUP(O873, Reference!$A$2:$D$34, 4, FALSE) &lt;= P873),
                AND(R873="General Use", VLOOKUP(O873, Reference!$A$2:$D$34, 3, FALSE) &lt;= P873)
            ),
                "Exceeded",
                "OK"
            ),
            "No Regulation defined"
        )
    ),
    ""
)</f>
        <v/>
      </c>
      <c r="AB873" s="62" t="str">
        <f t="shared" si="13"/>
        <v/>
      </c>
    </row>
    <row r="874" spans="3:28" x14ac:dyDescent="0.2">
      <c r="C874" s="69"/>
      <c r="D874" s="70"/>
      <c r="S874" s="34"/>
      <c r="T874" s="60" t="str">
        <f>IF(P874&lt;&gt;"",
    IF(OR(O874="", Q874="", R874=""),
        "Fill all the required columns",
        IFERROR(
            IF(OR(
                AND(R874="Marine Protected", VLOOKUP(O874, Reference!$A$2:$D$34, 4, FALSE) &lt;= P874),
                AND(R874="General Use", VLOOKUP(O874, Reference!$A$2:$D$34, 3, FALSE) &lt;= P874)
            ),
                "Exceeded",
                "OK"
            ),
            "No Regulation defined"
        )
    ),
    ""
)</f>
        <v/>
      </c>
      <c r="AB874" s="62" t="str">
        <f t="shared" si="13"/>
        <v/>
      </c>
    </row>
    <row r="875" spans="3:28" x14ac:dyDescent="0.2">
      <c r="C875" s="69"/>
      <c r="D875" s="70"/>
      <c r="S875" s="34"/>
      <c r="T875" s="60" t="str">
        <f>IF(P875&lt;&gt;"",
    IF(OR(O875="", Q875="", R875=""),
        "Fill all the required columns",
        IFERROR(
            IF(OR(
                AND(R875="Marine Protected", VLOOKUP(O875, Reference!$A$2:$D$34, 4, FALSE) &lt;= P875),
                AND(R875="General Use", VLOOKUP(O875, Reference!$A$2:$D$34, 3, FALSE) &lt;= P875)
            ),
                "Exceeded",
                "OK"
            ),
            "No Regulation defined"
        )
    ),
    ""
)</f>
        <v/>
      </c>
      <c r="AB875" s="62" t="str">
        <f t="shared" si="13"/>
        <v/>
      </c>
    </row>
    <row r="876" spans="3:28" x14ac:dyDescent="0.2">
      <c r="C876" s="69"/>
      <c r="D876" s="70"/>
      <c r="S876" s="34"/>
      <c r="T876" s="60" t="str">
        <f>IF(P876&lt;&gt;"",
    IF(OR(O876="", Q876="", R876=""),
        "Fill all the required columns",
        IFERROR(
            IF(OR(
                AND(R876="Marine Protected", VLOOKUP(O876, Reference!$A$2:$D$34, 4, FALSE) &lt;= P876),
                AND(R876="General Use", VLOOKUP(O876, Reference!$A$2:$D$34, 3, FALSE) &lt;= P876)
            ),
                "Exceeded",
                "OK"
            ),
            "No Regulation defined"
        )
    ),
    ""
)</f>
        <v/>
      </c>
      <c r="AB876" s="62" t="str">
        <f t="shared" si="13"/>
        <v/>
      </c>
    </row>
    <row r="877" spans="3:28" x14ac:dyDescent="0.2">
      <c r="C877" s="69"/>
      <c r="D877" s="70"/>
      <c r="S877" s="34"/>
      <c r="T877" s="60" t="str">
        <f>IF(P877&lt;&gt;"",
    IF(OR(O877="", Q877="", R877=""),
        "Fill all the required columns",
        IFERROR(
            IF(OR(
                AND(R877="Marine Protected", VLOOKUP(O877, Reference!$A$2:$D$34, 4, FALSE) &lt;= P877),
                AND(R877="General Use", VLOOKUP(O877, Reference!$A$2:$D$34, 3, FALSE) &lt;= P877)
            ),
                "Exceeded",
                "OK"
            ),
            "No Regulation defined"
        )
    ),
    ""
)</f>
        <v/>
      </c>
      <c r="AB877" s="62" t="str">
        <f t="shared" si="13"/>
        <v/>
      </c>
    </row>
    <row r="878" spans="3:28" x14ac:dyDescent="0.2">
      <c r="C878" s="69"/>
      <c r="D878" s="70"/>
      <c r="S878" s="34"/>
      <c r="T878" s="60" t="str">
        <f>IF(P878&lt;&gt;"",
    IF(OR(O878="", Q878="", R878=""),
        "Fill all the required columns",
        IFERROR(
            IF(OR(
                AND(R878="Marine Protected", VLOOKUP(O878, Reference!$A$2:$D$34, 4, FALSE) &lt;= P878),
                AND(R878="General Use", VLOOKUP(O878, Reference!$A$2:$D$34, 3, FALSE) &lt;= P878)
            ),
                "Exceeded",
                "OK"
            ),
            "No Regulation defined"
        )
    ),
    ""
)</f>
        <v/>
      </c>
      <c r="AB878" s="62" t="str">
        <f t="shared" si="13"/>
        <v/>
      </c>
    </row>
    <row r="879" spans="3:28" x14ac:dyDescent="0.2">
      <c r="C879" s="69"/>
      <c r="D879" s="70"/>
      <c r="S879" s="34"/>
      <c r="T879" s="60" t="str">
        <f>IF(P879&lt;&gt;"",
    IF(OR(O879="", Q879="", R879=""),
        "Fill all the required columns",
        IFERROR(
            IF(OR(
                AND(R879="Marine Protected", VLOOKUP(O879, Reference!$A$2:$D$34, 4, FALSE) &lt;= P879),
                AND(R879="General Use", VLOOKUP(O879, Reference!$A$2:$D$34, 3, FALSE) &lt;= P879)
            ),
                "Exceeded",
                "OK"
            ),
            "No Regulation defined"
        )
    ),
    ""
)</f>
        <v/>
      </c>
      <c r="AB879" s="62" t="str">
        <f t="shared" si="13"/>
        <v/>
      </c>
    </row>
    <row r="880" spans="3:28" x14ac:dyDescent="0.2">
      <c r="C880" s="69"/>
      <c r="D880" s="70"/>
      <c r="S880" s="34"/>
      <c r="T880" s="60" t="str">
        <f>IF(P880&lt;&gt;"",
    IF(OR(O880="", Q880="", R880=""),
        "Fill all the required columns",
        IFERROR(
            IF(OR(
                AND(R880="Marine Protected", VLOOKUP(O880, Reference!$A$2:$D$34, 4, FALSE) &lt;= P880),
                AND(R880="General Use", VLOOKUP(O880, Reference!$A$2:$D$34, 3, FALSE) &lt;= P880)
            ),
                "Exceeded",
                "OK"
            ),
            "No Regulation defined"
        )
    ),
    ""
)</f>
        <v/>
      </c>
      <c r="AB880" s="62" t="str">
        <f t="shared" si="13"/>
        <v/>
      </c>
    </row>
    <row r="881" spans="3:28" x14ac:dyDescent="0.2">
      <c r="C881" s="69"/>
      <c r="D881" s="70"/>
      <c r="S881" s="34"/>
      <c r="T881" s="60" t="str">
        <f>IF(P881&lt;&gt;"",
    IF(OR(O881="", Q881="", R881=""),
        "Fill all the required columns",
        IFERROR(
            IF(OR(
                AND(R881="Marine Protected", VLOOKUP(O881, Reference!$A$2:$D$34, 4, FALSE) &lt;= P881),
                AND(R881="General Use", VLOOKUP(O881, Reference!$A$2:$D$34, 3, FALSE) &lt;= P881)
            ),
                "Exceeded",
                "OK"
            ),
            "No Regulation defined"
        )
    ),
    ""
)</f>
        <v/>
      </c>
      <c r="AB881" s="62" t="str">
        <f t="shared" si="13"/>
        <v/>
      </c>
    </row>
    <row r="882" spans="3:28" x14ac:dyDescent="0.2">
      <c r="C882" s="69"/>
      <c r="D882" s="70"/>
      <c r="S882" s="34"/>
      <c r="T882" s="60" t="str">
        <f>IF(P882&lt;&gt;"",
    IF(OR(O882="", Q882="", R882=""),
        "Fill all the required columns",
        IFERROR(
            IF(OR(
                AND(R882="Marine Protected", VLOOKUP(O882, Reference!$A$2:$D$34, 4, FALSE) &lt;= P882),
                AND(R882="General Use", VLOOKUP(O882, Reference!$A$2:$D$34, 3, FALSE) &lt;= P882)
            ),
                "Exceeded",
                "OK"
            ),
            "No Regulation defined"
        )
    ),
    ""
)</f>
        <v/>
      </c>
      <c r="AB882" s="62" t="str">
        <f t="shared" si="13"/>
        <v/>
      </c>
    </row>
    <row r="883" spans="3:28" x14ac:dyDescent="0.2">
      <c r="C883" s="69"/>
      <c r="D883" s="70"/>
      <c r="S883" s="34"/>
      <c r="T883" s="60" t="str">
        <f>IF(P883&lt;&gt;"",
    IF(OR(O883="", Q883="", R883=""),
        "Fill all the required columns",
        IFERROR(
            IF(OR(
                AND(R883="Marine Protected", VLOOKUP(O883, Reference!$A$2:$D$34, 4, FALSE) &lt;= P883),
                AND(R883="General Use", VLOOKUP(O883, Reference!$A$2:$D$34, 3, FALSE) &lt;= P883)
            ),
                "Exceeded",
                "OK"
            ),
            "No Regulation defined"
        )
    ),
    ""
)</f>
        <v/>
      </c>
      <c r="AB883" s="62" t="str">
        <f t="shared" si="13"/>
        <v/>
      </c>
    </row>
    <row r="884" spans="3:28" x14ac:dyDescent="0.2">
      <c r="C884" s="69"/>
      <c r="D884" s="70"/>
      <c r="S884" s="34"/>
      <c r="T884" s="60" t="str">
        <f>IF(P884&lt;&gt;"",
    IF(OR(O884="", Q884="", R884=""),
        "Fill all the required columns",
        IFERROR(
            IF(OR(
                AND(R884="Marine Protected", VLOOKUP(O884, Reference!$A$2:$D$34, 4, FALSE) &lt;= P884),
                AND(R884="General Use", VLOOKUP(O884, Reference!$A$2:$D$34, 3, FALSE) &lt;= P884)
            ),
                "Exceeded",
                "OK"
            ),
            "No Regulation defined"
        )
    ),
    ""
)</f>
        <v/>
      </c>
      <c r="AB884" s="62" t="str">
        <f t="shared" si="13"/>
        <v/>
      </c>
    </row>
    <row r="885" spans="3:28" x14ac:dyDescent="0.2">
      <c r="C885" s="69"/>
      <c r="D885" s="70"/>
      <c r="S885" s="34"/>
      <c r="T885" s="60" t="str">
        <f>IF(P885&lt;&gt;"",
    IF(OR(O885="", Q885="", R885=""),
        "Fill all the required columns",
        IFERROR(
            IF(OR(
                AND(R885="Marine Protected", VLOOKUP(O885, Reference!$A$2:$D$34, 4, FALSE) &lt;= P885),
                AND(R885="General Use", VLOOKUP(O885, Reference!$A$2:$D$34, 3, FALSE) &lt;= P885)
            ),
                "Exceeded",
                "OK"
            ),
            "No Regulation defined"
        )
    ),
    ""
)</f>
        <v/>
      </c>
      <c r="AB885" s="62" t="str">
        <f t="shared" si="13"/>
        <v/>
      </c>
    </row>
    <row r="886" spans="3:28" x14ac:dyDescent="0.2">
      <c r="C886" s="69"/>
      <c r="D886" s="70"/>
      <c r="S886" s="34"/>
      <c r="T886" s="60" t="str">
        <f>IF(P886&lt;&gt;"",
    IF(OR(O886="", Q886="", R886=""),
        "Fill all the required columns",
        IFERROR(
            IF(OR(
                AND(R886="Marine Protected", VLOOKUP(O886, Reference!$A$2:$D$34, 4, FALSE) &lt;= P886),
                AND(R886="General Use", VLOOKUP(O886, Reference!$A$2:$D$34, 3, FALSE) &lt;= P886)
            ),
                "Exceeded",
                "OK"
            ),
            "No Regulation defined"
        )
    ),
    ""
)</f>
        <v/>
      </c>
      <c r="AB886" s="62" t="str">
        <f t="shared" si="13"/>
        <v/>
      </c>
    </row>
    <row r="887" spans="3:28" x14ac:dyDescent="0.2">
      <c r="C887" s="69"/>
      <c r="D887" s="70"/>
      <c r="S887" s="34"/>
      <c r="T887" s="60" t="str">
        <f>IF(P887&lt;&gt;"",
    IF(OR(O887="", Q887="", R887=""),
        "Fill all the required columns",
        IFERROR(
            IF(OR(
                AND(R887="Marine Protected", VLOOKUP(O887, Reference!$A$2:$D$34, 4, FALSE) &lt;= P887),
                AND(R887="General Use", VLOOKUP(O887, Reference!$A$2:$D$34, 3, FALSE) &lt;= P887)
            ),
                "Exceeded",
                "OK"
            ),
            "No Regulation defined"
        )
    ),
    ""
)</f>
        <v/>
      </c>
      <c r="AB887" s="62" t="str">
        <f t="shared" si="13"/>
        <v/>
      </c>
    </row>
    <row r="888" spans="3:28" x14ac:dyDescent="0.2">
      <c r="C888" s="69"/>
      <c r="D888" s="70"/>
      <c r="S888" s="34"/>
      <c r="T888" s="60" t="str">
        <f>IF(P888&lt;&gt;"",
    IF(OR(O888="", Q888="", R888=""),
        "Fill all the required columns",
        IFERROR(
            IF(OR(
                AND(R888="Marine Protected", VLOOKUP(O888, Reference!$A$2:$D$34, 4, FALSE) &lt;= P888),
                AND(R888="General Use", VLOOKUP(O888, Reference!$A$2:$D$34, 3, FALSE) &lt;= P888)
            ),
                "Exceeded",
                "OK"
            ),
            "No Regulation defined"
        )
    ),
    ""
)</f>
        <v/>
      </c>
      <c r="AB888" s="62" t="str">
        <f t="shared" si="13"/>
        <v/>
      </c>
    </row>
    <row r="889" spans="3:28" x14ac:dyDescent="0.2">
      <c r="C889" s="69"/>
      <c r="D889" s="70"/>
      <c r="S889" s="34"/>
      <c r="T889" s="60" t="str">
        <f>IF(P889&lt;&gt;"",
    IF(OR(O889="", Q889="", R889=""),
        "Fill all the required columns",
        IFERROR(
            IF(OR(
                AND(R889="Marine Protected", VLOOKUP(O889, Reference!$A$2:$D$34, 4, FALSE) &lt;= P889),
                AND(R889="General Use", VLOOKUP(O889, Reference!$A$2:$D$34, 3, FALSE) &lt;= P889)
            ),
                "Exceeded",
                "OK"
            ),
            "No Regulation defined"
        )
    ),
    ""
)</f>
        <v/>
      </c>
      <c r="AB889" s="62" t="str">
        <f t="shared" si="13"/>
        <v/>
      </c>
    </row>
    <row r="890" spans="3:28" x14ac:dyDescent="0.2">
      <c r="C890" s="69"/>
      <c r="D890" s="70"/>
      <c r="S890" s="34"/>
      <c r="T890" s="60" t="str">
        <f>IF(P890&lt;&gt;"",
    IF(OR(O890="", Q890="", R890=""),
        "Fill all the required columns",
        IFERROR(
            IF(OR(
                AND(R890="Marine Protected", VLOOKUP(O890, Reference!$A$2:$D$34, 4, FALSE) &lt;= P890),
                AND(R890="General Use", VLOOKUP(O890, Reference!$A$2:$D$34, 3, FALSE) &lt;= P890)
            ),
                "Exceeded",
                "OK"
            ),
            "No Regulation defined"
        )
    ),
    ""
)</f>
        <v/>
      </c>
      <c r="AB890" s="62" t="str">
        <f t="shared" si="13"/>
        <v/>
      </c>
    </row>
    <row r="891" spans="3:28" x14ac:dyDescent="0.2">
      <c r="C891" s="69"/>
      <c r="D891" s="70"/>
      <c r="S891" s="34"/>
      <c r="T891" s="60" t="str">
        <f>IF(P891&lt;&gt;"",
    IF(OR(O891="", Q891="", R891=""),
        "Fill all the required columns",
        IFERROR(
            IF(OR(
                AND(R891="Marine Protected", VLOOKUP(O891, Reference!$A$2:$D$34, 4, FALSE) &lt;= P891),
                AND(R891="General Use", VLOOKUP(O891, Reference!$A$2:$D$34, 3, FALSE) &lt;= P891)
            ),
                "Exceeded",
                "OK"
            ),
            "No Regulation defined"
        )
    ),
    ""
)</f>
        <v/>
      </c>
      <c r="AB891" s="62" t="str">
        <f t="shared" si="13"/>
        <v/>
      </c>
    </row>
    <row r="892" spans="3:28" x14ac:dyDescent="0.2">
      <c r="C892" s="69"/>
      <c r="D892" s="70"/>
      <c r="S892" s="34"/>
      <c r="T892" s="60" t="str">
        <f>IF(P892&lt;&gt;"",
    IF(OR(O892="", Q892="", R892=""),
        "Fill all the required columns",
        IFERROR(
            IF(OR(
                AND(R892="Marine Protected", VLOOKUP(O892, Reference!$A$2:$D$34, 4, FALSE) &lt;= P892),
                AND(R892="General Use", VLOOKUP(O892, Reference!$A$2:$D$34, 3, FALSE) &lt;= P892)
            ),
                "Exceeded",
                "OK"
            ),
            "No Regulation defined"
        )
    ),
    ""
)</f>
        <v/>
      </c>
      <c r="AB892" s="62" t="str">
        <f t="shared" si="13"/>
        <v/>
      </c>
    </row>
    <row r="893" spans="3:28" x14ac:dyDescent="0.2">
      <c r="C893" s="69"/>
      <c r="D893" s="70"/>
      <c r="S893" s="34"/>
      <c r="T893" s="60" t="str">
        <f>IF(P893&lt;&gt;"",
    IF(OR(O893="", Q893="", R893=""),
        "Fill all the required columns",
        IFERROR(
            IF(OR(
                AND(R893="Marine Protected", VLOOKUP(O893, Reference!$A$2:$D$34, 4, FALSE) &lt;= P893),
                AND(R893="General Use", VLOOKUP(O893, Reference!$A$2:$D$34, 3, FALSE) &lt;= P893)
            ),
                "Exceeded",
                "OK"
            ),
            "No Regulation defined"
        )
    ),
    ""
)</f>
        <v/>
      </c>
      <c r="AB893" s="62" t="str">
        <f t="shared" si="13"/>
        <v/>
      </c>
    </row>
    <row r="894" spans="3:28" x14ac:dyDescent="0.2">
      <c r="C894" s="69"/>
      <c r="D894" s="70"/>
      <c r="S894" s="34"/>
      <c r="T894" s="60" t="str">
        <f>IF(P894&lt;&gt;"",
    IF(OR(O894="", Q894="", R894=""),
        "Fill all the required columns",
        IFERROR(
            IF(OR(
                AND(R894="Marine Protected", VLOOKUP(O894, Reference!$A$2:$D$34, 4, FALSE) &lt;= P894),
                AND(R894="General Use", VLOOKUP(O894, Reference!$A$2:$D$34, 3, FALSE) &lt;= P894)
            ),
                "Exceeded",
                "OK"
            ),
            "No Regulation defined"
        )
    ),
    ""
)</f>
        <v/>
      </c>
      <c r="AB894" s="62" t="str">
        <f t="shared" si="13"/>
        <v/>
      </c>
    </row>
    <row r="895" spans="3:28" x14ac:dyDescent="0.2">
      <c r="C895" s="69"/>
      <c r="D895" s="70"/>
      <c r="S895" s="34"/>
      <c r="T895" s="60" t="str">
        <f>IF(P895&lt;&gt;"",
    IF(OR(O895="", Q895="", R895=""),
        "Fill all the required columns",
        IFERROR(
            IF(OR(
                AND(R895="Marine Protected", VLOOKUP(O895, Reference!$A$2:$D$34, 4, FALSE) &lt;= P895),
                AND(R895="General Use", VLOOKUP(O895, Reference!$A$2:$D$34, 3, FALSE) &lt;= P895)
            ),
                "Exceeded",
                "OK"
            ),
            "No Regulation defined"
        )
    ),
    ""
)</f>
        <v/>
      </c>
      <c r="AB895" s="62" t="str">
        <f t="shared" si="13"/>
        <v/>
      </c>
    </row>
    <row r="896" spans="3:28" x14ac:dyDescent="0.2">
      <c r="C896" s="69"/>
      <c r="D896" s="70"/>
      <c r="S896" s="34"/>
      <c r="T896" s="60" t="str">
        <f>IF(P896&lt;&gt;"",
    IF(OR(O896="", Q896="", R896=""),
        "Fill all the required columns",
        IFERROR(
            IF(OR(
                AND(R896="Marine Protected", VLOOKUP(O896, Reference!$A$2:$D$34, 4, FALSE) &lt;= P896),
                AND(R896="General Use", VLOOKUP(O896, Reference!$A$2:$D$34, 3, FALSE) &lt;= P896)
            ),
                "Exceeded",
                "OK"
            ),
            "No Regulation defined"
        )
    ),
    ""
)</f>
        <v/>
      </c>
      <c r="AB896" s="62" t="str">
        <f t="shared" si="13"/>
        <v/>
      </c>
    </row>
    <row r="897" spans="3:28" x14ac:dyDescent="0.2">
      <c r="C897" s="69"/>
      <c r="D897" s="70"/>
      <c r="S897" s="34"/>
      <c r="T897" s="60" t="str">
        <f>IF(P897&lt;&gt;"",
    IF(OR(O897="", Q897="", R897=""),
        "Fill all the required columns",
        IFERROR(
            IF(OR(
                AND(R897="Marine Protected", VLOOKUP(O897, Reference!$A$2:$D$34, 4, FALSE) &lt;= P897),
                AND(R897="General Use", VLOOKUP(O897, Reference!$A$2:$D$34, 3, FALSE) &lt;= P897)
            ),
                "Exceeded",
                "OK"
            ),
            "No Regulation defined"
        )
    ),
    ""
)</f>
        <v/>
      </c>
      <c r="AB897" s="62" t="str">
        <f t="shared" si="13"/>
        <v/>
      </c>
    </row>
    <row r="898" spans="3:28" x14ac:dyDescent="0.2">
      <c r="C898" s="69"/>
      <c r="D898" s="70"/>
      <c r="S898" s="34"/>
      <c r="T898" s="60" t="str">
        <f>IF(P898&lt;&gt;"",
    IF(OR(O898="", Q898="", R898=""),
        "Fill all the required columns",
        IFERROR(
            IF(OR(
                AND(R898="Marine Protected", VLOOKUP(O898, Reference!$A$2:$D$34, 4, FALSE) &lt;= P898),
                AND(R898="General Use", VLOOKUP(O898, Reference!$A$2:$D$34, 3, FALSE) &lt;= P898)
            ),
                "Exceeded",
                "OK"
            ),
            "No Regulation defined"
        )
    ),
    ""
)</f>
        <v/>
      </c>
      <c r="AB898" s="62" t="str">
        <f t="shared" si="13"/>
        <v/>
      </c>
    </row>
    <row r="899" spans="3:28" x14ac:dyDescent="0.2">
      <c r="C899" s="69"/>
      <c r="D899" s="70"/>
      <c r="S899" s="34"/>
      <c r="T899" s="60" t="str">
        <f>IF(P899&lt;&gt;"",
    IF(OR(O899="", Q899="", R899=""),
        "Fill all the required columns",
        IFERROR(
            IF(OR(
                AND(R899="Marine Protected", VLOOKUP(O899, Reference!$A$2:$D$34, 4, FALSE) &lt;= P899),
                AND(R899="General Use", VLOOKUP(O899, Reference!$A$2:$D$34, 3, FALSE) &lt;= P899)
            ),
                "Exceeded",
                "OK"
            ),
            "No Regulation defined"
        )
    ),
    ""
)</f>
        <v/>
      </c>
      <c r="AB899" s="62" t="str">
        <f t="shared" ref="AB899:AB962" si="14">IF(COUNTA(A899, E899, F899, H899, I899, O899, P899, Q899, R899,S899) = 0, "", IF(COUNTA(A899, E899, F899, H899, I899, O899, P899, Q899, R899,S899) = 10, "OK", "Incomplete"))</f>
        <v/>
      </c>
    </row>
    <row r="900" spans="3:28" x14ac:dyDescent="0.2">
      <c r="C900" s="69"/>
      <c r="D900" s="70"/>
      <c r="S900" s="34"/>
      <c r="T900" s="60" t="str">
        <f>IF(P900&lt;&gt;"",
    IF(OR(O900="", Q900="", R900=""),
        "Fill all the required columns",
        IFERROR(
            IF(OR(
                AND(R900="Marine Protected", VLOOKUP(O900, Reference!$A$2:$D$34, 4, FALSE) &lt;= P900),
                AND(R900="General Use", VLOOKUP(O900, Reference!$A$2:$D$34, 3, FALSE) &lt;= P900)
            ),
                "Exceeded",
                "OK"
            ),
            "No Regulation defined"
        )
    ),
    ""
)</f>
        <v/>
      </c>
      <c r="AB900" s="62" t="str">
        <f t="shared" si="14"/>
        <v/>
      </c>
    </row>
    <row r="901" spans="3:28" x14ac:dyDescent="0.2">
      <c r="C901" s="69"/>
      <c r="D901" s="70"/>
      <c r="S901" s="34"/>
      <c r="T901" s="60" t="str">
        <f>IF(P901&lt;&gt;"",
    IF(OR(O901="", Q901="", R901=""),
        "Fill all the required columns",
        IFERROR(
            IF(OR(
                AND(R901="Marine Protected", VLOOKUP(O901, Reference!$A$2:$D$34, 4, FALSE) &lt;= P901),
                AND(R901="General Use", VLOOKUP(O901, Reference!$A$2:$D$34, 3, FALSE) &lt;= P901)
            ),
                "Exceeded",
                "OK"
            ),
            "No Regulation defined"
        )
    ),
    ""
)</f>
        <v/>
      </c>
      <c r="AB901" s="62" t="str">
        <f t="shared" si="14"/>
        <v/>
      </c>
    </row>
    <row r="902" spans="3:28" x14ac:dyDescent="0.2">
      <c r="C902" s="69"/>
      <c r="D902" s="70"/>
      <c r="S902" s="34"/>
      <c r="T902" s="60" t="str">
        <f>IF(P902&lt;&gt;"",
    IF(OR(O902="", Q902="", R902=""),
        "Fill all the required columns",
        IFERROR(
            IF(OR(
                AND(R902="Marine Protected", VLOOKUP(O902, Reference!$A$2:$D$34, 4, FALSE) &lt;= P902),
                AND(R902="General Use", VLOOKUP(O902, Reference!$A$2:$D$34, 3, FALSE) &lt;= P902)
            ),
                "Exceeded",
                "OK"
            ),
            "No Regulation defined"
        )
    ),
    ""
)</f>
        <v/>
      </c>
      <c r="AB902" s="62" t="str">
        <f t="shared" si="14"/>
        <v/>
      </c>
    </row>
    <row r="903" spans="3:28" x14ac:dyDescent="0.2">
      <c r="C903" s="69"/>
      <c r="D903" s="70"/>
      <c r="S903" s="34"/>
      <c r="T903" s="60" t="str">
        <f>IF(P903&lt;&gt;"",
    IF(OR(O903="", Q903="", R903=""),
        "Fill all the required columns",
        IFERROR(
            IF(OR(
                AND(R903="Marine Protected", VLOOKUP(O903, Reference!$A$2:$D$34, 4, FALSE) &lt;= P903),
                AND(R903="General Use", VLOOKUP(O903, Reference!$A$2:$D$34, 3, FALSE) &lt;= P903)
            ),
                "Exceeded",
                "OK"
            ),
            "No Regulation defined"
        )
    ),
    ""
)</f>
        <v/>
      </c>
      <c r="AB903" s="62" t="str">
        <f t="shared" si="14"/>
        <v/>
      </c>
    </row>
    <row r="904" spans="3:28" x14ac:dyDescent="0.2">
      <c r="C904" s="69"/>
      <c r="D904" s="70"/>
      <c r="S904" s="34"/>
      <c r="T904" s="60" t="str">
        <f>IF(P904&lt;&gt;"",
    IF(OR(O904="", Q904="", R904=""),
        "Fill all the required columns",
        IFERROR(
            IF(OR(
                AND(R904="Marine Protected", VLOOKUP(O904, Reference!$A$2:$D$34, 4, FALSE) &lt;= P904),
                AND(R904="General Use", VLOOKUP(O904, Reference!$A$2:$D$34, 3, FALSE) &lt;= P904)
            ),
                "Exceeded",
                "OK"
            ),
            "No Regulation defined"
        )
    ),
    ""
)</f>
        <v/>
      </c>
      <c r="AB904" s="62" t="str">
        <f t="shared" si="14"/>
        <v/>
      </c>
    </row>
    <row r="905" spans="3:28" x14ac:dyDescent="0.2">
      <c r="C905" s="69"/>
      <c r="D905" s="70"/>
      <c r="S905" s="34"/>
      <c r="T905" s="60" t="str">
        <f>IF(P905&lt;&gt;"",
    IF(OR(O905="", Q905="", R905=""),
        "Fill all the required columns",
        IFERROR(
            IF(OR(
                AND(R905="Marine Protected", VLOOKUP(O905, Reference!$A$2:$D$34, 4, FALSE) &lt;= P905),
                AND(R905="General Use", VLOOKUP(O905, Reference!$A$2:$D$34, 3, FALSE) &lt;= P905)
            ),
                "Exceeded",
                "OK"
            ),
            "No Regulation defined"
        )
    ),
    ""
)</f>
        <v/>
      </c>
      <c r="AB905" s="62" t="str">
        <f t="shared" si="14"/>
        <v/>
      </c>
    </row>
    <row r="906" spans="3:28" x14ac:dyDescent="0.2">
      <c r="C906" s="69"/>
      <c r="D906" s="70"/>
      <c r="S906" s="34"/>
      <c r="T906" s="60" t="str">
        <f>IF(P906&lt;&gt;"",
    IF(OR(O906="", Q906="", R906=""),
        "Fill all the required columns",
        IFERROR(
            IF(OR(
                AND(R906="Marine Protected", VLOOKUP(O906, Reference!$A$2:$D$34, 4, FALSE) &lt;= P906),
                AND(R906="General Use", VLOOKUP(O906, Reference!$A$2:$D$34, 3, FALSE) &lt;= P906)
            ),
                "Exceeded",
                "OK"
            ),
            "No Regulation defined"
        )
    ),
    ""
)</f>
        <v/>
      </c>
      <c r="AB906" s="62" t="str">
        <f t="shared" si="14"/>
        <v/>
      </c>
    </row>
    <row r="907" spans="3:28" x14ac:dyDescent="0.2">
      <c r="C907" s="69"/>
      <c r="D907" s="70"/>
      <c r="S907" s="34"/>
      <c r="T907" s="60" t="str">
        <f>IF(P907&lt;&gt;"",
    IF(OR(O907="", Q907="", R907=""),
        "Fill all the required columns",
        IFERROR(
            IF(OR(
                AND(R907="Marine Protected", VLOOKUP(O907, Reference!$A$2:$D$34, 4, FALSE) &lt;= P907),
                AND(R907="General Use", VLOOKUP(O907, Reference!$A$2:$D$34, 3, FALSE) &lt;= P907)
            ),
                "Exceeded",
                "OK"
            ),
            "No Regulation defined"
        )
    ),
    ""
)</f>
        <v/>
      </c>
      <c r="AB907" s="62" t="str">
        <f t="shared" si="14"/>
        <v/>
      </c>
    </row>
    <row r="908" spans="3:28" x14ac:dyDescent="0.2">
      <c r="C908" s="69"/>
      <c r="D908" s="70"/>
      <c r="S908" s="34"/>
      <c r="T908" s="60" t="str">
        <f>IF(P908&lt;&gt;"",
    IF(OR(O908="", Q908="", R908=""),
        "Fill all the required columns",
        IFERROR(
            IF(OR(
                AND(R908="Marine Protected", VLOOKUP(O908, Reference!$A$2:$D$34, 4, FALSE) &lt;= P908),
                AND(R908="General Use", VLOOKUP(O908, Reference!$A$2:$D$34, 3, FALSE) &lt;= P908)
            ),
                "Exceeded",
                "OK"
            ),
            "No Regulation defined"
        )
    ),
    ""
)</f>
        <v/>
      </c>
      <c r="AB908" s="62" t="str">
        <f t="shared" si="14"/>
        <v/>
      </c>
    </row>
    <row r="909" spans="3:28" x14ac:dyDescent="0.2">
      <c r="C909" s="69"/>
      <c r="D909" s="70"/>
      <c r="S909" s="34"/>
      <c r="T909" s="60" t="str">
        <f>IF(P909&lt;&gt;"",
    IF(OR(O909="", Q909="", R909=""),
        "Fill all the required columns",
        IFERROR(
            IF(OR(
                AND(R909="Marine Protected", VLOOKUP(O909, Reference!$A$2:$D$34, 4, FALSE) &lt;= P909),
                AND(R909="General Use", VLOOKUP(O909, Reference!$A$2:$D$34, 3, FALSE) &lt;= P909)
            ),
                "Exceeded",
                "OK"
            ),
            "No Regulation defined"
        )
    ),
    ""
)</f>
        <v/>
      </c>
      <c r="AB909" s="62" t="str">
        <f t="shared" si="14"/>
        <v/>
      </c>
    </row>
    <row r="910" spans="3:28" x14ac:dyDescent="0.2">
      <c r="C910" s="69"/>
      <c r="D910" s="70"/>
      <c r="S910" s="34"/>
      <c r="T910" s="60" t="str">
        <f>IF(P910&lt;&gt;"",
    IF(OR(O910="", Q910="", R910=""),
        "Fill all the required columns",
        IFERROR(
            IF(OR(
                AND(R910="Marine Protected", VLOOKUP(O910, Reference!$A$2:$D$34, 4, FALSE) &lt;= P910),
                AND(R910="General Use", VLOOKUP(O910, Reference!$A$2:$D$34, 3, FALSE) &lt;= P910)
            ),
                "Exceeded",
                "OK"
            ),
            "No Regulation defined"
        )
    ),
    ""
)</f>
        <v/>
      </c>
      <c r="AB910" s="62" t="str">
        <f t="shared" si="14"/>
        <v/>
      </c>
    </row>
    <row r="911" spans="3:28" x14ac:dyDescent="0.2">
      <c r="C911" s="69"/>
      <c r="D911" s="70"/>
      <c r="S911" s="34"/>
      <c r="T911" s="60" t="str">
        <f>IF(P911&lt;&gt;"",
    IF(OR(O911="", Q911="", R911=""),
        "Fill all the required columns",
        IFERROR(
            IF(OR(
                AND(R911="Marine Protected", VLOOKUP(O911, Reference!$A$2:$D$34, 4, FALSE) &lt;= P911),
                AND(R911="General Use", VLOOKUP(O911, Reference!$A$2:$D$34, 3, FALSE) &lt;= P911)
            ),
                "Exceeded",
                "OK"
            ),
            "No Regulation defined"
        )
    ),
    ""
)</f>
        <v/>
      </c>
      <c r="AB911" s="62" t="str">
        <f t="shared" si="14"/>
        <v/>
      </c>
    </row>
    <row r="912" spans="3:28" x14ac:dyDescent="0.2">
      <c r="C912" s="69"/>
      <c r="D912" s="70"/>
      <c r="S912" s="34"/>
      <c r="T912" s="60" t="str">
        <f>IF(P912&lt;&gt;"",
    IF(OR(O912="", Q912="", R912=""),
        "Fill all the required columns",
        IFERROR(
            IF(OR(
                AND(R912="Marine Protected", VLOOKUP(O912, Reference!$A$2:$D$34, 4, FALSE) &lt;= P912),
                AND(R912="General Use", VLOOKUP(O912, Reference!$A$2:$D$34, 3, FALSE) &lt;= P912)
            ),
                "Exceeded",
                "OK"
            ),
            "No Regulation defined"
        )
    ),
    ""
)</f>
        <v/>
      </c>
      <c r="AB912" s="62" t="str">
        <f t="shared" si="14"/>
        <v/>
      </c>
    </row>
    <row r="913" spans="3:28" x14ac:dyDescent="0.2">
      <c r="C913" s="69"/>
      <c r="D913" s="70"/>
      <c r="S913" s="34"/>
      <c r="T913" s="60" t="str">
        <f>IF(P913&lt;&gt;"",
    IF(OR(O913="", Q913="", R913=""),
        "Fill all the required columns",
        IFERROR(
            IF(OR(
                AND(R913="Marine Protected", VLOOKUP(O913, Reference!$A$2:$D$34, 4, FALSE) &lt;= P913),
                AND(R913="General Use", VLOOKUP(O913, Reference!$A$2:$D$34, 3, FALSE) &lt;= P913)
            ),
                "Exceeded",
                "OK"
            ),
            "No Regulation defined"
        )
    ),
    ""
)</f>
        <v/>
      </c>
      <c r="AB913" s="62" t="str">
        <f t="shared" si="14"/>
        <v/>
      </c>
    </row>
    <row r="914" spans="3:28" x14ac:dyDescent="0.2">
      <c r="C914" s="69"/>
      <c r="D914" s="70"/>
      <c r="S914" s="34"/>
      <c r="T914" s="60" t="str">
        <f>IF(P914&lt;&gt;"",
    IF(OR(O914="", Q914="", R914=""),
        "Fill all the required columns",
        IFERROR(
            IF(OR(
                AND(R914="Marine Protected", VLOOKUP(O914, Reference!$A$2:$D$34, 4, FALSE) &lt;= P914),
                AND(R914="General Use", VLOOKUP(O914, Reference!$A$2:$D$34, 3, FALSE) &lt;= P914)
            ),
                "Exceeded",
                "OK"
            ),
            "No Regulation defined"
        )
    ),
    ""
)</f>
        <v/>
      </c>
      <c r="AB914" s="62" t="str">
        <f t="shared" si="14"/>
        <v/>
      </c>
    </row>
    <row r="915" spans="3:28" x14ac:dyDescent="0.2">
      <c r="C915" s="69"/>
      <c r="D915" s="70"/>
      <c r="S915" s="34"/>
      <c r="T915" s="60" t="str">
        <f>IF(P915&lt;&gt;"",
    IF(OR(O915="", Q915="", R915=""),
        "Fill all the required columns",
        IFERROR(
            IF(OR(
                AND(R915="Marine Protected", VLOOKUP(O915, Reference!$A$2:$D$34, 4, FALSE) &lt;= P915),
                AND(R915="General Use", VLOOKUP(O915, Reference!$A$2:$D$34, 3, FALSE) &lt;= P915)
            ),
                "Exceeded",
                "OK"
            ),
            "No Regulation defined"
        )
    ),
    ""
)</f>
        <v/>
      </c>
      <c r="AB915" s="62" t="str">
        <f t="shared" si="14"/>
        <v/>
      </c>
    </row>
    <row r="916" spans="3:28" x14ac:dyDescent="0.2">
      <c r="C916" s="69"/>
      <c r="D916" s="70"/>
      <c r="S916" s="34"/>
      <c r="T916" s="60" t="str">
        <f>IF(P916&lt;&gt;"",
    IF(OR(O916="", Q916="", R916=""),
        "Fill all the required columns",
        IFERROR(
            IF(OR(
                AND(R916="Marine Protected", VLOOKUP(O916, Reference!$A$2:$D$34, 4, FALSE) &lt;= P916),
                AND(R916="General Use", VLOOKUP(O916, Reference!$A$2:$D$34, 3, FALSE) &lt;= P916)
            ),
                "Exceeded",
                "OK"
            ),
            "No Regulation defined"
        )
    ),
    ""
)</f>
        <v/>
      </c>
      <c r="AB916" s="62" t="str">
        <f t="shared" si="14"/>
        <v/>
      </c>
    </row>
    <row r="917" spans="3:28" x14ac:dyDescent="0.2">
      <c r="C917" s="69"/>
      <c r="D917" s="70"/>
      <c r="S917" s="34"/>
      <c r="T917" s="60" t="str">
        <f>IF(P917&lt;&gt;"",
    IF(OR(O917="", Q917="", R917=""),
        "Fill all the required columns",
        IFERROR(
            IF(OR(
                AND(R917="Marine Protected", VLOOKUP(O917, Reference!$A$2:$D$34, 4, FALSE) &lt;= P917),
                AND(R917="General Use", VLOOKUP(O917, Reference!$A$2:$D$34, 3, FALSE) &lt;= P917)
            ),
                "Exceeded",
                "OK"
            ),
            "No Regulation defined"
        )
    ),
    ""
)</f>
        <v/>
      </c>
      <c r="AB917" s="62" t="str">
        <f t="shared" si="14"/>
        <v/>
      </c>
    </row>
    <row r="918" spans="3:28" x14ac:dyDescent="0.2">
      <c r="C918" s="69"/>
      <c r="D918" s="70"/>
      <c r="S918" s="34"/>
      <c r="T918" s="60" t="str">
        <f>IF(P918&lt;&gt;"",
    IF(OR(O918="", Q918="", R918=""),
        "Fill all the required columns",
        IFERROR(
            IF(OR(
                AND(R918="Marine Protected", VLOOKUP(O918, Reference!$A$2:$D$34, 4, FALSE) &lt;= P918),
                AND(R918="General Use", VLOOKUP(O918, Reference!$A$2:$D$34, 3, FALSE) &lt;= P918)
            ),
                "Exceeded",
                "OK"
            ),
            "No Regulation defined"
        )
    ),
    ""
)</f>
        <v/>
      </c>
      <c r="AB918" s="62" t="str">
        <f t="shared" si="14"/>
        <v/>
      </c>
    </row>
    <row r="919" spans="3:28" x14ac:dyDescent="0.2">
      <c r="C919" s="69"/>
      <c r="D919" s="70"/>
      <c r="S919" s="34"/>
      <c r="T919" s="60" t="str">
        <f>IF(P919&lt;&gt;"",
    IF(OR(O919="", Q919="", R919=""),
        "Fill all the required columns",
        IFERROR(
            IF(OR(
                AND(R919="Marine Protected", VLOOKUP(O919, Reference!$A$2:$D$34, 4, FALSE) &lt;= P919),
                AND(R919="General Use", VLOOKUP(O919, Reference!$A$2:$D$34, 3, FALSE) &lt;= P919)
            ),
                "Exceeded",
                "OK"
            ),
            "No Regulation defined"
        )
    ),
    ""
)</f>
        <v/>
      </c>
      <c r="AB919" s="62" t="str">
        <f t="shared" si="14"/>
        <v/>
      </c>
    </row>
    <row r="920" spans="3:28" x14ac:dyDescent="0.2">
      <c r="C920" s="69"/>
      <c r="D920" s="70"/>
      <c r="S920" s="34"/>
      <c r="T920" s="60" t="str">
        <f>IF(P920&lt;&gt;"",
    IF(OR(O920="", Q920="", R920=""),
        "Fill all the required columns",
        IFERROR(
            IF(OR(
                AND(R920="Marine Protected", VLOOKUP(O920, Reference!$A$2:$D$34, 4, FALSE) &lt;= P920),
                AND(R920="General Use", VLOOKUP(O920, Reference!$A$2:$D$34, 3, FALSE) &lt;= P920)
            ),
                "Exceeded",
                "OK"
            ),
            "No Regulation defined"
        )
    ),
    ""
)</f>
        <v/>
      </c>
      <c r="AB920" s="62" t="str">
        <f t="shared" si="14"/>
        <v/>
      </c>
    </row>
    <row r="921" spans="3:28" x14ac:dyDescent="0.2">
      <c r="C921" s="69"/>
      <c r="D921" s="70"/>
      <c r="S921" s="34"/>
      <c r="T921" s="60" t="str">
        <f>IF(P921&lt;&gt;"",
    IF(OR(O921="", Q921="", R921=""),
        "Fill all the required columns",
        IFERROR(
            IF(OR(
                AND(R921="Marine Protected", VLOOKUP(O921, Reference!$A$2:$D$34, 4, FALSE) &lt;= P921),
                AND(R921="General Use", VLOOKUP(O921, Reference!$A$2:$D$34, 3, FALSE) &lt;= P921)
            ),
                "Exceeded",
                "OK"
            ),
            "No Regulation defined"
        )
    ),
    ""
)</f>
        <v/>
      </c>
      <c r="AB921" s="62" t="str">
        <f t="shared" si="14"/>
        <v/>
      </c>
    </row>
    <row r="922" spans="3:28" x14ac:dyDescent="0.2">
      <c r="C922" s="69"/>
      <c r="D922" s="70"/>
      <c r="S922" s="34"/>
      <c r="T922" s="60" t="str">
        <f>IF(P922&lt;&gt;"",
    IF(OR(O922="", Q922="", R922=""),
        "Fill all the required columns",
        IFERROR(
            IF(OR(
                AND(R922="Marine Protected", VLOOKUP(O922, Reference!$A$2:$D$34, 4, FALSE) &lt;= P922),
                AND(R922="General Use", VLOOKUP(O922, Reference!$A$2:$D$34, 3, FALSE) &lt;= P922)
            ),
                "Exceeded",
                "OK"
            ),
            "No Regulation defined"
        )
    ),
    ""
)</f>
        <v/>
      </c>
      <c r="AB922" s="62" t="str">
        <f t="shared" si="14"/>
        <v/>
      </c>
    </row>
    <row r="923" spans="3:28" x14ac:dyDescent="0.2">
      <c r="C923" s="69"/>
      <c r="D923" s="70"/>
      <c r="S923" s="34"/>
      <c r="T923" s="60" t="str">
        <f>IF(P923&lt;&gt;"",
    IF(OR(O923="", Q923="", R923=""),
        "Fill all the required columns",
        IFERROR(
            IF(OR(
                AND(R923="Marine Protected", VLOOKUP(O923, Reference!$A$2:$D$34, 4, FALSE) &lt;= P923),
                AND(R923="General Use", VLOOKUP(O923, Reference!$A$2:$D$34, 3, FALSE) &lt;= P923)
            ),
                "Exceeded",
                "OK"
            ),
            "No Regulation defined"
        )
    ),
    ""
)</f>
        <v/>
      </c>
      <c r="AB923" s="62" t="str">
        <f t="shared" si="14"/>
        <v/>
      </c>
    </row>
    <row r="924" spans="3:28" x14ac:dyDescent="0.2">
      <c r="C924" s="69"/>
      <c r="D924" s="70"/>
      <c r="S924" s="34"/>
      <c r="T924" s="60" t="str">
        <f>IF(P924&lt;&gt;"",
    IF(OR(O924="", Q924="", R924=""),
        "Fill all the required columns",
        IFERROR(
            IF(OR(
                AND(R924="Marine Protected", VLOOKUP(O924, Reference!$A$2:$D$34, 4, FALSE) &lt;= P924),
                AND(R924="General Use", VLOOKUP(O924, Reference!$A$2:$D$34, 3, FALSE) &lt;= P924)
            ),
                "Exceeded",
                "OK"
            ),
            "No Regulation defined"
        )
    ),
    ""
)</f>
        <v/>
      </c>
      <c r="AB924" s="62" t="str">
        <f t="shared" si="14"/>
        <v/>
      </c>
    </row>
    <row r="925" spans="3:28" x14ac:dyDescent="0.2">
      <c r="C925" s="69"/>
      <c r="D925" s="70"/>
      <c r="S925" s="34"/>
      <c r="T925" s="60" t="str">
        <f>IF(P925&lt;&gt;"",
    IF(OR(O925="", Q925="", R925=""),
        "Fill all the required columns",
        IFERROR(
            IF(OR(
                AND(R925="Marine Protected", VLOOKUP(O925, Reference!$A$2:$D$34, 4, FALSE) &lt;= P925),
                AND(R925="General Use", VLOOKUP(O925, Reference!$A$2:$D$34, 3, FALSE) &lt;= P925)
            ),
                "Exceeded",
                "OK"
            ),
            "No Regulation defined"
        )
    ),
    ""
)</f>
        <v/>
      </c>
      <c r="AB925" s="62" t="str">
        <f t="shared" si="14"/>
        <v/>
      </c>
    </row>
    <row r="926" spans="3:28" x14ac:dyDescent="0.2">
      <c r="C926" s="69"/>
      <c r="D926" s="70"/>
      <c r="S926" s="34"/>
      <c r="T926" s="60" t="str">
        <f>IF(P926&lt;&gt;"",
    IF(OR(O926="", Q926="", R926=""),
        "Fill all the required columns",
        IFERROR(
            IF(OR(
                AND(R926="Marine Protected", VLOOKUP(O926, Reference!$A$2:$D$34, 4, FALSE) &lt;= P926),
                AND(R926="General Use", VLOOKUP(O926, Reference!$A$2:$D$34, 3, FALSE) &lt;= P926)
            ),
                "Exceeded",
                "OK"
            ),
            "No Regulation defined"
        )
    ),
    ""
)</f>
        <v/>
      </c>
      <c r="AB926" s="62" t="str">
        <f t="shared" si="14"/>
        <v/>
      </c>
    </row>
    <row r="927" spans="3:28" x14ac:dyDescent="0.2">
      <c r="C927" s="69"/>
      <c r="D927" s="70"/>
      <c r="S927" s="34"/>
      <c r="T927" s="60" t="str">
        <f>IF(P927&lt;&gt;"",
    IF(OR(O927="", Q927="", R927=""),
        "Fill all the required columns",
        IFERROR(
            IF(OR(
                AND(R927="Marine Protected", VLOOKUP(O927, Reference!$A$2:$D$34, 4, FALSE) &lt;= P927),
                AND(R927="General Use", VLOOKUP(O927, Reference!$A$2:$D$34, 3, FALSE) &lt;= P927)
            ),
                "Exceeded",
                "OK"
            ),
            "No Regulation defined"
        )
    ),
    ""
)</f>
        <v/>
      </c>
      <c r="AB927" s="62" t="str">
        <f t="shared" si="14"/>
        <v/>
      </c>
    </row>
    <row r="928" spans="3:28" x14ac:dyDescent="0.2">
      <c r="C928" s="69"/>
      <c r="D928" s="70"/>
      <c r="S928" s="34"/>
      <c r="T928" s="60" t="str">
        <f>IF(P928&lt;&gt;"",
    IF(OR(O928="", Q928="", R928=""),
        "Fill all the required columns",
        IFERROR(
            IF(OR(
                AND(R928="Marine Protected", VLOOKUP(O928, Reference!$A$2:$D$34, 4, FALSE) &lt;= P928),
                AND(R928="General Use", VLOOKUP(O928, Reference!$A$2:$D$34, 3, FALSE) &lt;= P928)
            ),
                "Exceeded",
                "OK"
            ),
            "No Regulation defined"
        )
    ),
    ""
)</f>
        <v/>
      </c>
      <c r="AB928" s="62" t="str">
        <f t="shared" si="14"/>
        <v/>
      </c>
    </row>
    <row r="929" spans="3:28" x14ac:dyDescent="0.2">
      <c r="C929" s="69"/>
      <c r="D929" s="70"/>
      <c r="S929" s="34"/>
      <c r="T929" s="60" t="str">
        <f>IF(P929&lt;&gt;"",
    IF(OR(O929="", Q929="", R929=""),
        "Fill all the required columns",
        IFERROR(
            IF(OR(
                AND(R929="Marine Protected", VLOOKUP(O929, Reference!$A$2:$D$34, 4, FALSE) &lt;= P929),
                AND(R929="General Use", VLOOKUP(O929, Reference!$A$2:$D$34, 3, FALSE) &lt;= P929)
            ),
                "Exceeded",
                "OK"
            ),
            "No Regulation defined"
        )
    ),
    ""
)</f>
        <v/>
      </c>
      <c r="AB929" s="62" t="str">
        <f t="shared" si="14"/>
        <v/>
      </c>
    </row>
    <row r="930" spans="3:28" x14ac:dyDescent="0.2">
      <c r="C930" s="69"/>
      <c r="D930" s="70"/>
      <c r="S930" s="34"/>
      <c r="T930" s="60" t="str">
        <f>IF(P930&lt;&gt;"",
    IF(OR(O930="", Q930="", R930=""),
        "Fill all the required columns",
        IFERROR(
            IF(OR(
                AND(R930="Marine Protected", VLOOKUP(O930, Reference!$A$2:$D$34, 4, FALSE) &lt;= P930),
                AND(R930="General Use", VLOOKUP(O930, Reference!$A$2:$D$34, 3, FALSE) &lt;= P930)
            ),
                "Exceeded",
                "OK"
            ),
            "No Regulation defined"
        )
    ),
    ""
)</f>
        <v/>
      </c>
      <c r="AB930" s="62" t="str">
        <f t="shared" si="14"/>
        <v/>
      </c>
    </row>
    <row r="931" spans="3:28" x14ac:dyDescent="0.2">
      <c r="C931" s="69"/>
      <c r="D931" s="70"/>
      <c r="S931" s="34"/>
      <c r="T931" s="60" t="str">
        <f>IF(P931&lt;&gt;"",
    IF(OR(O931="", Q931="", R931=""),
        "Fill all the required columns",
        IFERROR(
            IF(OR(
                AND(R931="Marine Protected", VLOOKUP(O931, Reference!$A$2:$D$34, 4, FALSE) &lt;= P931),
                AND(R931="General Use", VLOOKUP(O931, Reference!$A$2:$D$34, 3, FALSE) &lt;= P931)
            ),
                "Exceeded",
                "OK"
            ),
            "No Regulation defined"
        )
    ),
    ""
)</f>
        <v/>
      </c>
      <c r="AB931" s="62" t="str">
        <f t="shared" si="14"/>
        <v/>
      </c>
    </row>
    <row r="932" spans="3:28" x14ac:dyDescent="0.2">
      <c r="C932" s="69"/>
      <c r="D932" s="70"/>
      <c r="S932" s="34"/>
      <c r="T932" s="60" t="str">
        <f>IF(P932&lt;&gt;"",
    IF(OR(O932="", Q932="", R932=""),
        "Fill all the required columns",
        IFERROR(
            IF(OR(
                AND(R932="Marine Protected", VLOOKUP(O932, Reference!$A$2:$D$34, 4, FALSE) &lt;= P932),
                AND(R932="General Use", VLOOKUP(O932, Reference!$A$2:$D$34, 3, FALSE) &lt;= P932)
            ),
                "Exceeded",
                "OK"
            ),
            "No Regulation defined"
        )
    ),
    ""
)</f>
        <v/>
      </c>
      <c r="AB932" s="62" t="str">
        <f t="shared" si="14"/>
        <v/>
      </c>
    </row>
    <row r="933" spans="3:28" x14ac:dyDescent="0.2">
      <c r="C933" s="69"/>
      <c r="D933" s="70"/>
      <c r="S933" s="34"/>
      <c r="T933" s="60" t="str">
        <f>IF(P933&lt;&gt;"",
    IF(OR(O933="", Q933="", R933=""),
        "Fill all the required columns",
        IFERROR(
            IF(OR(
                AND(R933="Marine Protected", VLOOKUP(O933, Reference!$A$2:$D$34, 4, FALSE) &lt;= P933),
                AND(R933="General Use", VLOOKUP(O933, Reference!$A$2:$D$34, 3, FALSE) &lt;= P933)
            ),
                "Exceeded",
                "OK"
            ),
            "No Regulation defined"
        )
    ),
    ""
)</f>
        <v/>
      </c>
      <c r="AB933" s="62" t="str">
        <f t="shared" si="14"/>
        <v/>
      </c>
    </row>
    <row r="934" spans="3:28" x14ac:dyDescent="0.2">
      <c r="C934" s="69"/>
      <c r="D934" s="70"/>
      <c r="S934" s="34"/>
      <c r="T934" s="60" t="str">
        <f>IF(P934&lt;&gt;"",
    IF(OR(O934="", Q934="", R934=""),
        "Fill all the required columns",
        IFERROR(
            IF(OR(
                AND(R934="Marine Protected", VLOOKUP(O934, Reference!$A$2:$D$34, 4, FALSE) &lt;= P934),
                AND(R934="General Use", VLOOKUP(O934, Reference!$A$2:$D$34, 3, FALSE) &lt;= P934)
            ),
                "Exceeded",
                "OK"
            ),
            "No Regulation defined"
        )
    ),
    ""
)</f>
        <v/>
      </c>
      <c r="AB934" s="62" t="str">
        <f t="shared" si="14"/>
        <v/>
      </c>
    </row>
    <row r="935" spans="3:28" x14ac:dyDescent="0.2">
      <c r="C935" s="69"/>
      <c r="D935" s="70"/>
      <c r="S935" s="34"/>
      <c r="T935" s="60" t="str">
        <f>IF(P935&lt;&gt;"",
    IF(OR(O935="", Q935="", R935=""),
        "Fill all the required columns",
        IFERROR(
            IF(OR(
                AND(R935="Marine Protected", VLOOKUP(O935, Reference!$A$2:$D$34, 4, FALSE) &lt;= P935),
                AND(R935="General Use", VLOOKUP(O935, Reference!$A$2:$D$34, 3, FALSE) &lt;= P935)
            ),
                "Exceeded",
                "OK"
            ),
            "No Regulation defined"
        )
    ),
    ""
)</f>
        <v/>
      </c>
      <c r="AB935" s="62" t="str">
        <f t="shared" si="14"/>
        <v/>
      </c>
    </row>
    <row r="936" spans="3:28" x14ac:dyDescent="0.2">
      <c r="C936" s="69"/>
      <c r="D936" s="70"/>
      <c r="S936" s="34"/>
      <c r="T936" s="60" t="str">
        <f>IF(P936&lt;&gt;"",
    IF(OR(O936="", Q936="", R936=""),
        "Fill all the required columns",
        IFERROR(
            IF(OR(
                AND(R936="Marine Protected", VLOOKUP(O936, Reference!$A$2:$D$34, 4, FALSE) &lt;= P936),
                AND(R936="General Use", VLOOKUP(O936, Reference!$A$2:$D$34, 3, FALSE) &lt;= P936)
            ),
                "Exceeded",
                "OK"
            ),
            "No Regulation defined"
        )
    ),
    ""
)</f>
        <v/>
      </c>
      <c r="AB936" s="62" t="str">
        <f t="shared" si="14"/>
        <v/>
      </c>
    </row>
    <row r="937" spans="3:28" x14ac:dyDescent="0.2">
      <c r="C937" s="69"/>
      <c r="D937" s="70"/>
      <c r="S937" s="34"/>
      <c r="T937" s="60" t="str">
        <f>IF(P937&lt;&gt;"",
    IF(OR(O937="", Q937="", R937=""),
        "Fill all the required columns",
        IFERROR(
            IF(OR(
                AND(R937="Marine Protected", VLOOKUP(O937, Reference!$A$2:$D$34, 4, FALSE) &lt;= P937),
                AND(R937="General Use", VLOOKUP(O937, Reference!$A$2:$D$34, 3, FALSE) &lt;= P937)
            ),
                "Exceeded",
                "OK"
            ),
            "No Regulation defined"
        )
    ),
    ""
)</f>
        <v/>
      </c>
      <c r="AB937" s="62" t="str">
        <f t="shared" si="14"/>
        <v/>
      </c>
    </row>
    <row r="938" spans="3:28" x14ac:dyDescent="0.2">
      <c r="C938" s="69"/>
      <c r="D938" s="70"/>
      <c r="S938" s="34"/>
      <c r="T938" s="60" t="str">
        <f>IF(P938&lt;&gt;"",
    IF(OR(O938="", Q938="", R938=""),
        "Fill all the required columns",
        IFERROR(
            IF(OR(
                AND(R938="Marine Protected", VLOOKUP(O938, Reference!$A$2:$D$34, 4, FALSE) &lt;= P938),
                AND(R938="General Use", VLOOKUP(O938, Reference!$A$2:$D$34, 3, FALSE) &lt;= P938)
            ),
                "Exceeded",
                "OK"
            ),
            "No Regulation defined"
        )
    ),
    ""
)</f>
        <v/>
      </c>
      <c r="AB938" s="62" t="str">
        <f t="shared" si="14"/>
        <v/>
      </c>
    </row>
    <row r="939" spans="3:28" x14ac:dyDescent="0.2">
      <c r="C939" s="69"/>
      <c r="D939" s="70"/>
      <c r="S939" s="34"/>
      <c r="T939" s="60" t="str">
        <f>IF(P939&lt;&gt;"",
    IF(OR(O939="", Q939="", R939=""),
        "Fill all the required columns",
        IFERROR(
            IF(OR(
                AND(R939="Marine Protected", VLOOKUP(O939, Reference!$A$2:$D$34, 4, FALSE) &lt;= P939),
                AND(R939="General Use", VLOOKUP(O939, Reference!$A$2:$D$34, 3, FALSE) &lt;= P939)
            ),
                "Exceeded",
                "OK"
            ),
            "No Regulation defined"
        )
    ),
    ""
)</f>
        <v/>
      </c>
      <c r="AB939" s="62" t="str">
        <f t="shared" si="14"/>
        <v/>
      </c>
    </row>
    <row r="940" spans="3:28" x14ac:dyDescent="0.2">
      <c r="C940" s="69"/>
      <c r="D940" s="70"/>
      <c r="S940" s="34"/>
      <c r="T940" s="60" t="str">
        <f>IF(P940&lt;&gt;"",
    IF(OR(O940="", Q940="", R940=""),
        "Fill all the required columns",
        IFERROR(
            IF(OR(
                AND(R940="Marine Protected", VLOOKUP(O940, Reference!$A$2:$D$34, 4, FALSE) &lt;= P940),
                AND(R940="General Use", VLOOKUP(O940, Reference!$A$2:$D$34, 3, FALSE) &lt;= P940)
            ),
                "Exceeded",
                "OK"
            ),
            "No Regulation defined"
        )
    ),
    ""
)</f>
        <v/>
      </c>
      <c r="AB940" s="62" t="str">
        <f t="shared" si="14"/>
        <v/>
      </c>
    </row>
    <row r="941" spans="3:28" x14ac:dyDescent="0.2">
      <c r="C941" s="69"/>
      <c r="D941" s="70"/>
      <c r="S941" s="34"/>
      <c r="T941" s="60" t="str">
        <f>IF(P941&lt;&gt;"",
    IF(OR(O941="", Q941="", R941=""),
        "Fill all the required columns",
        IFERROR(
            IF(OR(
                AND(R941="Marine Protected", VLOOKUP(O941, Reference!$A$2:$D$34, 4, FALSE) &lt;= P941),
                AND(R941="General Use", VLOOKUP(O941, Reference!$A$2:$D$34, 3, FALSE) &lt;= P941)
            ),
                "Exceeded",
                "OK"
            ),
            "No Regulation defined"
        )
    ),
    ""
)</f>
        <v/>
      </c>
      <c r="AB941" s="62" t="str">
        <f t="shared" si="14"/>
        <v/>
      </c>
    </row>
    <row r="942" spans="3:28" x14ac:dyDescent="0.2">
      <c r="C942" s="69"/>
      <c r="D942" s="70"/>
      <c r="S942" s="34"/>
      <c r="T942" s="60" t="str">
        <f>IF(P942&lt;&gt;"",
    IF(OR(O942="", Q942="", R942=""),
        "Fill all the required columns",
        IFERROR(
            IF(OR(
                AND(R942="Marine Protected", VLOOKUP(O942, Reference!$A$2:$D$34, 4, FALSE) &lt;= P942),
                AND(R942="General Use", VLOOKUP(O942, Reference!$A$2:$D$34, 3, FALSE) &lt;= P942)
            ),
                "Exceeded",
                "OK"
            ),
            "No Regulation defined"
        )
    ),
    ""
)</f>
        <v/>
      </c>
      <c r="AB942" s="62" t="str">
        <f t="shared" si="14"/>
        <v/>
      </c>
    </row>
    <row r="943" spans="3:28" x14ac:dyDescent="0.2">
      <c r="C943" s="69"/>
      <c r="D943" s="70"/>
      <c r="S943" s="34"/>
      <c r="T943" s="60" t="str">
        <f>IF(P943&lt;&gt;"",
    IF(OR(O943="", Q943="", R943=""),
        "Fill all the required columns",
        IFERROR(
            IF(OR(
                AND(R943="Marine Protected", VLOOKUP(O943, Reference!$A$2:$D$34, 4, FALSE) &lt;= P943),
                AND(R943="General Use", VLOOKUP(O943, Reference!$A$2:$D$34, 3, FALSE) &lt;= P943)
            ),
                "Exceeded",
                "OK"
            ),
            "No Regulation defined"
        )
    ),
    ""
)</f>
        <v/>
      </c>
      <c r="AB943" s="62" t="str">
        <f t="shared" si="14"/>
        <v/>
      </c>
    </row>
    <row r="944" spans="3:28" x14ac:dyDescent="0.2">
      <c r="C944" s="69"/>
      <c r="D944" s="70"/>
      <c r="S944" s="34"/>
      <c r="T944" s="60" t="str">
        <f>IF(P944&lt;&gt;"",
    IF(OR(O944="", Q944="", R944=""),
        "Fill all the required columns",
        IFERROR(
            IF(OR(
                AND(R944="Marine Protected", VLOOKUP(O944, Reference!$A$2:$D$34, 4, FALSE) &lt;= P944),
                AND(R944="General Use", VLOOKUP(O944, Reference!$A$2:$D$34, 3, FALSE) &lt;= P944)
            ),
                "Exceeded",
                "OK"
            ),
            "No Regulation defined"
        )
    ),
    ""
)</f>
        <v/>
      </c>
      <c r="AB944" s="62" t="str">
        <f t="shared" si="14"/>
        <v/>
      </c>
    </row>
    <row r="945" spans="3:28" x14ac:dyDescent="0.2">
      <c r="C945" s="69"/>
      <c r="D945" s="70"/>
      <c r="S945" s="34"/>
      <c r="T945" s="60" t="str">
        <f>IF(P945&lt;&gt;"",
    IF(OR(O945="", Q945="", R945=""),
        "Fill all the required columns",
        IFERROR(
            IF(OR(
                AND(R945="Marine Protected", VLOOKUP(O945, Reference!$A$2:$D$34, 4, FALSE) &lt;= P945),
                AND(R945="General Use", VLOOKUP(O945, Reference!$A$2:$D$34, 3, FALSE) &lt;= P945)
            ),
                "Exceeded",
                "OK"
            ),
            "No Regulation defined"
        )
    ),
    ""
)</f>
        <v/>
      </c>
      <c r="AB945" s="62" t="str">
        <f t="shared" si="14"/>
        <v/>
      </c>
    </row>
    <row r="946" spans="3:28" x14ac:dyDescent="0.2">
      <c r="C946" s="69"/>
      <c r="D946" s="70"/>
      <c r="S946" s="34"/>
      <c r="T946" s="60" t="str">
        <f>IF(P946&lt;&gt;"",
    IF(OR(O946="", Q946="", R946=""),
        "Fill all the required columns",
        IFERROR(
            IF(OR(
                AND(R946="Marine Protected", VLOOKUP(O946, Reference!$A$2:$D$34, 4, FALSE) &lt;= P946),
                AND(R946="General Use", VLOOKUP(O946, Reference!$A$2:$D$34, 3, FALSE) &lt;= P946)
            ),
                "Exceeded",
                "OK"
            ),
            "No Regulation defined"
        )
    ),
    ""
)</f>
        <v/>
      </c>
      <c r="AB946" s="62" t="str">
        <f t="shared" si="14"/>
        <v/>
      </c>
    </row>
    <row r="947" spans="3:28" x14ac:dyDescent="0.2">
      <c r="C947" s="69"/>
      <c r="D947" s="70"/>
      <c r="S947" s="34"/>
      <c r="T947" s="60" t="str">
        <f>IF(P947&lt;&gt;"",
    IF(OR(O947="", Q947="", R947=""),
        "Fill all the required columns",
        IFERROR(
            IF(OR(
                AND(R947="Marine Protected", VLOOKUP(O947, Reference!$A$2:$D$34, 4, FALSE) &lt;= P947),
                AND(R947="General Use", VLOOKUP(O947, Reference!$A$2:$D$34, 3, FALSE) &lt;= P947)
            ),
                "Exceeded",
                "OK"
            ),
            "No Regulation defined"
        )
    ),
    ""
)</f>
        <v/>
      </c>
      <c r="AB947" s="62" t="str">
        <f t="shared" si="14"/>
        <v/>
      </c>
    </row>
    <row r="948" spans="3:28" x14ac:dyDescent="0.2">
      <c r="C948" s="69"/>
      <c r="D948" s="70"/>
      <c r="S948" s="34"/>
      <c r="T948" s="60" t="str">
        <f>IF(P948&lt;&gt;"",
    IF(OR(O948="", Q948="", R948=""),
        "Fill all the required columns",
        IFERROR(
            IF(OR(
                AND(R948="Marine Protected", VLOOKUP(O948, Reference!$A$2:$D$34, 4, FALSE) &lt;= P948),
                AND(R948="General Use", VLOOKUP(O948, Reference!$A$2:$D$34, 3, FALSE) &lt;= P948)
            ),
                "Exceeded",
                "OK"
            ),
            "No Regulation defined"
        )
    ),
    ""
)</f>
        <v/>
      </c>
      <c r="AB948" s="62" t="str">
        <f t="shared" si="14"/>
        <v/>
      </c>
    </row>
    <row r="949" spans="3:28" x14ac:dyDescent="0.2">
      <c r="C949" s="69"/>
      <c r="D949" s="70"/>
      <c r="S949" s="34"/>
      <c r="T949" s="60" t="str">
        <f>IF(P949&lt;&gt;"",
    IF(OR(O949="", Q949="", R949=""),
        "Fill all the required columns",
        IFERROR(
            IF(OR(
                AND(R949="Marine Protected", VLOOKUP(O949, Reference!$A$2:$D$34, 4, FALSE) &lt;= P949),
                AND(R949="General Use", VLOOKUP(O949, Reference!$A$2:$D$34, 3, FALSE) &lt;= P949)
            ),
                "Exceeded",
                "OK"
            ),
            "No Regulation defined"
        )
    ),
    ""
)</f>
        <v/>
      </c>
      <c r="AB949" s="62" t="str">
        <f t="shared" si="14"/>
        <v/>
      </c>
    </row>
    <row r="950" spans="3:28" x14ac:dyDescent="0.2">
      <c r="C950" s="69"/>
      <c r="D950" s="70"/>
      <c r="S950" s="34"/>
      <c r="T950" s="60" t="str">
        <f>IF(P950&lt;&gt;"",
    IF(OR(O950="", Q950="", R950=""),
        "Fill all the required columns",
        IFERROR(
            IF(OR(
                AND(R950="Marine Protected", VLOOKUP(O950, Reference!$A$2:$D$34, 4, FALSE) &lt;= P950),
                AND(R950="General Use", VLOOKUP(O950, Reference!$A$2:$D$34, 3, FALSE) &lt;= P950)
            ),
                "Exceeded",
                "OK"
            ),
            "No Regulation defined"
        )
    ),
    ""
)</f>
        <v/>
      </c>
      <c r="AB950" s="62" t="str">
        <f t="shared" si="14"/>
        <v/>
      </c>
    </row>
    <row r="951" spans="3:28" x14ac:dyDescent="0.2">
      <c r="C951" s="69"/>
      <c r="D951" s="70"/>
      <c r="S951" s="34"/>
      <c r="T951" s="60" t="str">
        <f>IF(P951&lt;&gt;"",
    IF(OR(O951="", Q951="", R951=""),
        "Fill all the required columns",
        IFERROR(
            IF(OR(
                AND(R951="Marine Protected", VLOOKUP(O951, Reference!$A$2:$D$34, 4, FALSE) &lt;= P951),
                AND(R951="General Use", VLOOKUP(O951, Reference!$A$2:$D$34, 3, FALSE) &lt;= P951)
            ),
                "Exceeded",
                "OK"
            ),
            "No Regulation defined"
        )
    ),
    ""
)</f>
        <v/>
      </c>
      <c r="AB951" s="62" t="str">
        <f t="shared" si="14"/>
        <v/>
      </c>
    </row>
    <row r="952" spans="3:28" x14ac:dyDescent="0.2">
      <c r="C952" s="69"/>
      <c r="D952" s="70"/>
      <c r="S952" s="34"/>
      <c r="T952" s="60" t="str">
        <f>IF(P952&lt;&gt;"",
    IF(OR(O952="", Q952="", R952=""),
        "Fill all the required columns",
        IFERROR(
            IF(OR(
                AND(R952="Marine Protected", VLOOKUP(O952, Reference!$A$2:$D$34, 4, FALSE) &lt;= P952),
                AND(R952="General Use", VLOOKUP(O952, Reference!$A$2:$D$34, 3, FALSE) &lt;= P952)
            ),
                "Exceeded",
                "OK"
            ),
            "No Regulation defined"
        )
    ),
    ""
)</f>
        <v/>
      </c>
      <c r="AB952" s="62" t="str">
        <f t="shared" si="14"/>
        <v/>
      </c>
    </row>
    <row r="953" spans="3:28" x14ac:dyDescent="0.2">
      <c r="C953" s="69"/>
      <c r="D953" s="70"/>
      <c r="S953" s="34"/>
      <c r="T953" s="60" t="str">
        <f>IF(P953&lt;&gt;"",
    IF(OR(O953="", Q953="", R953=""),
        "Fill all the required columns",
        IFERROR(
            IF(OR(
                AND(R953="Marine Protected", VLOOKUP(O953, Reference!$A$2:$D$34, 4, FALSE) &lt;= P953),
                AND(R953="General Use", VLOOKUP(O953, Reference!$A$2:$D$34, 3, FALSE) &lt;= P953)
            ),
                "Exceeded",
                "OK"
            ),
            "No Regulation defined"
        )
    ),
    ""
)</f>
        <v/>
      </c>
      <c r="AB953" s="62" t="str">
        <f t="shared" si="14"/>
        <v/>
      </c>
    </row>
    <row r="954" spans="3:28" x14ac:dyDescent="0.2">
      <c r="C954" s="69"/>
      <c r="D954" s="70"/>
      <c r="S954" s="34"/>
      <c r="T954" s="60" t="str">
        <f>IF(P954&lt;&gt;"",
    IF(OR(O954="", Q954="", R954=""),
        "Fill all the required columns",
        IFERROR(
            IF(OR(
                AND(R954="Marine Protected", VLOOKUP(O954, Reference!$A$2:$D$34, 4, FALSE) &lt;= P954),
                AND(R954="General Use", VLOOKUP(O954, Reference!$A$2:$D$34, 3, FALSE) &lt;= P954)
            ),
                "Exceeded",
                "OK"
            ),
            "No Regulation defined"
        )
    ),
    ""
)</f>
        <v/>
      </c>
      <c r="AB954" s="62" t="str">
        <f t="shared" si="14"/>
        <v/>
      </c>
    </row>
    <row r="955" spans="3:28" x14ac:dyDescent="0.2">
      <c r="C955" s="69"/>
      <c r="D955" s="70"/>
      <c r="S955" s="34"/>
      <c r="T955" s="60" t="str">
        <f>IF(P955&lt;&gt;"",
    IF(OR(O955="", Q955="", R955=""),
        "Fill all the required columns",
        IFERROR(
            IF(OR(
                AND(R955="Marine Protected", VLOOKUP(O955, Reference!$A$2:$D$34, 4, FALSE) &lt;= P955),
                AND(R955="General Use", VLOOKUP(O955, Reference!$A$2:$D$34, 3, FALSE) &lt;= P955)
            ),
                "Exceeded",
                "OK"
            ),
            "No Regulation defined"
        )
    ),
    ""
)</f>
        <v/>
      </c>
      <c r="AB955" s="62" t="str">
        <f t="shared" si="14"/>
        <v/>
      </c>
    </row>
    <row r="956" spans="3:28" x14ac:dyDescent="0.2">
      <c r="C956" s="69"/>
      <c r="D956" s="70"/>
      <c r="S956" s="34"/>
      <c r="T956" s="60" t="str">
        <f>IF(P956&lt;&gt;"",
    IF(OR(O956="", Q956="", R956=""),
        "Fill all the required columns",
        IFERROR(
            IF(OR(
                AND(R956="Marine Protected", VLOOKUP(O956, Reference!$A$2:$D$34, 4, FALSE) &lt;= P956),
                AND(R956="General Use", VLOOKUP(O956, Reference!$A$2:$D$34, 3, FALSE) &lt;= P956)
            ),
                "Exceeded",
                "OK"
            ),
            "No Regulation defined"
        )
    ),
    ""
)</f>
        <v/>
      </c>
      <c r="AB956" s="62" t="str">
        <f t="shared" si="14"/>
        <v/>
      </c>
    </row>
    <row r="957" spans="3:28" x14ac:dyDescent="0.2">
      <c r="C957" s="69"/>
      <c r="D957" s="70"/>
      <c r="S957" s="34"/>
      <c r="T957" s="60" t="str">
        <f>IF(P957&lt;&gt;"",
    IF(OR(O957="", Q957="", R957=""),
        "Fill all the required columns",
        IFERROR(
            IF(OR(
                AND(R957="Marine Protected", VLOOKUP(O957, Reference!$A$2:$D$34, 4, FALSE) &lt;= P957),
                AND(R957="General Use", VLOOKUP(O957, Reference!$A$2:$D$34, 3, FALSE) &lt;= P957)
            ),
                "Exceeded",
                "OK"
            ),
            "No Regulation defined"
        )
    ),
    ""
)</f>
        <v/>
      </c>
      <c r="AB957" s="62" t="str">
        <f t="shared" si="14"/>
        <v/>
      </c>
    </row>
    <row r="958" spans="3:28" x14ac:dyDescent="0.2">
      <c r="C958" s="69"/>
      <c r="D958" s="70"/>
      <c r="S958" s="34"/>
      <c r="T958" s="60" t="str">
        <f>IF(P958&lt;&gt;"",
    IF(OR(O958="", Q958="", R958=""),
        "Fill all the required columns",
        IFERROR(
            IF(OR(
                AND(R958="Marine Protected", VLOOKUP(O958, Reference!$A$2:$D$34, 4, FALSE) &lt;= P958),
                AND(R958="General Use", VLOOKUP(O958, Reference!$A$2:$D$34, 3, FALSE) &lt;= P958)
            ),
                "Exceeded",
                "OK"
            ),
            "No Regulation defined"
        )
    ),
    ""
)</f>
        <v/>
      </c>
      <c r="AB958" s="62" t="str">
        <f t="shared" si="14"/>
        <v/>
      </c>
    </row>
    <row r="959" spans="3:28" x14ac:dyDescent="0.2">
      <c r="C959" s="69"/>
      <c r="D959" s="70"/>
      <c r="S959" s="34"/>
      <c r="T959" s="60" t="str">
        <f>IF(P959&lt;&gt;"",
    IF(OR(O959="", Q959="", R959=""),
        "Fill all the required columns",
        IFERROR(
            IF(OR(
                AND(R959="Marine Protected", VLOOKUP(O959, Reference!$A$2:$D$34, 4, FALSE) &lt;= P959),
                AND(R959="General Use", VLOOKUP(O959, Reference!$A$2:$D$34, 3, FALSE) &lt;= P959)
            ),
                "Exceeded",
                "OK"
            ),
            "No Regulation defined"
        )
    ),
    ""
)</f>
        <v/>
      </c>
      <c r="AB959" s="62" t="str">
        <f t="shared" si="14"/>
        <v/>
      </c>
    </row>
    <row r="960" spans="3:28" x14ac:dyDescent="0.2">
      <c r="C960" s="69"/>
      <c r="D960" s="70"/>
      <c r="S960" s="34"/>
      <c r="T960" s="60" t="str">
        <f>IF(P960&lt;&gt;"",
    IF(OR(O960="", Q960="", R960=""),
        "Fill all the required columns",
        IFERROR(
            IF(OR(
                AND(R960="Marine Protected", VLOOKUP(O960, Reference!$A$2:$D$34, 4, FALSE) &lt;= P960),
                AND(R960="General Use", VLOOKUP(O960, Reference!$A$2:$D$34, 3, FALSE) &lt;= P960)
            ),
                "Exceeded",
                "OK"
            ),
            "No Regulation defined"
        )
    ),
    ""
)</f>
        <v/>
      </c>
      <c r="AB960" s="62" t="str">
        <f t="shared" si="14"/>
        <v/>
      </c>
    </row>
    <row r="961" spans="3:28" x14ac:dyDescent="0.2">
      <c r="C961" s="69"/>
      <c r="D961" s="70"/>
      <c r="S961" s="34"/>
      <c r="T961" s="60" t="str">
        <f>IF(P961&lt;&gt;"",
    IF(OR(O961="", Q961="", R961=""),
        "Fill all the required columns",
        IFERROR(
            IF(OR(
                AND(R961="Marine Protected", VLOOKUP(O961, Reference!$A$2:$D$34, 4, FALSE) &lt;= P961),
                AND(R961="General Use", VLOOKUP(O961, Reference!$A$2:$D$34, 3, FALSE) &lt;= P961)
            ),
                "Exceeded",
                "OK"
            ),
            "No Regulation defined"
        )
    ),
    ""
)</f>
        <v/>
      </c>
      <c r="AB961" s="62" t="str">
        <f t="shared" si="14"/>
        <v/>
      </c>
    </row>
    <row r="962" spans="3:28" x14ac:dyDescent="0.2">
      <c r="C962" s="69"/>
      <c r="D962" s="70"/>
      <c r="S962" s="34"/>
      <c r="T962" s="60" t="str">
        <f>IF(P962&lt;&gt;"",
    IF(OR(O962="", Q962="", R962=""),
        "Fill all the required columns",
        IFERROR(
            IF(OR(
                AND(R962="Marine Protected", VLOOKUP(O962, Reference!$A$2:$D$34, 4, FALSE) &lt;= P962),
                AND(R962="General Use", VLOOKUP(O962, Reference!$A$2:$D$34, 3, FALSE) &lt;= P962)
            ),
                "Exceeded",
                "OK"
            ),
            "No Regulation defined"
        )
    ),
    ""
)</f>
        <v/>
      </c>
      <c r="AB962" s="62" t="str">
        <f t="shared" si="14"/>
        <v/>
      </c>
    </row>
    <row r="963" spans="3:28" x14ac:dyDescent="0.2">
      <c r="C963" s="69"/>
      <c r="D963" s="70"/>
      <c r="S963" s="34"/>
      <c r="T963" s="60" t="str">
        <f>IF(P963&lt;&gt;"",
    IF(OR(O963="", Q963="", R963=""),
        "Fill all the required columns",
        IFERROR(
            IF(OR(
                AND(R963="Marine Protected", VLOOKUP(O963, Reference!$A$2:$D$34, 4, FALSE) &lt;= P963),
                AND(R963="General Use", VLOOKUP(O963, Reference!$A$2:$D$34, 3, FALSE) &lt;= P963)
            ),
                "Exceeded",
                "OK"
            ),
            "No Regulation defined"
        )
    ),
    ""
)</f>
        <v/>
      </c>
      <c r="AB963" s="62" t="str">
        <f t="shared" ref="AB963:AB1026" si="15">IF(COUNTA(A963, E963, F963, H963, I963, O963, P963, Q963, R963,S963) = 0, "", IF(COUNTA(A963, E963, F963, H963, I963, O963, P963, Q963, R963,S963) = 10, "OK", "Incomplete"))</f>
        <v/>
      </c>
    </row>
    <row r="964" spans="3:28" x14ac:dyDescent="0.2">
      <c r="C964" s="69"/>
      <c r="D964" s="70"/>
      <c r="S964" s="34"/>
      <c r="T964" s="60" t="str">
        <f>IF(P964&lt;&gt;"",
    IF(OR(O964="", Q964="", R964=""),
        "Fill all the required columns",
        IFERROR(
            IF(OR(
                AND(R964="Marine Protected", VLOOKUP(O964, Reference!$A$2:$D$34, 4, FALSE) &lt;= P964),
                AND(R964="General Use", VLOOKUP(O964, Reference!$A$2:$D$34, 3, FALSE) &lt;= P964)
            ),
                "Exceeded",
                "OK"
            ),
            "No Regulation defined"
        )
    ),
    ""
)</f>
        <v/>
      </c>
      <c r="AB964" s="62" t="str">
        <f t="shared" si="15"/>
        <v/>
      </c>
    </row>
    <row r="965" spans="3:28" x14ac:dyDescent="0.2">
      <c r="C965" s="69"/>
      <c r="D965" s="70"/>
      <c r="S965" s="34"/>
      <c r="T965" s="60" t="str">
        <f>IF(P965&lt;&gt;"",
    IF(OR(O965="", Q965="", R965=""),
        "Fill all the required columns",
        IFERROR(
            IF(OR(
                AND(R965="Marine Protected", VLOOKUP(O965, Reference!$A$2:$D$34, 4, FALSE) &lt;= P965),
                AND(R965="General Use", VLOOKUP(O965, Reference!$A$2:$D$34, 3, FALSE) &lt;= P965)
            ),
                "Exceeded",
                "OK"
            ),
            "No Regulation defined"
        )
    ),
    ""
)</f>
        <v/>
      </c>
      <c r="AB965" s="62" t="str">
        <f t="shared" si="15"/>
        <v/>
      </c>
    </row>
    <row r="966" spans="3:28" x14ac:dyDescent="0.2">
      <c r="C966" s="69"/>
      <c r="D966" s="70"/>
      <c r="S966" s="34"/>
      <c r="T966" s="60" t="str">
        <f>IF(P966&lt;&gt;"",
    IF(OR(O966="", Q966="", R966=""),
        "Fill all the required columns",
        IFERROR(
            IF(OR(
                AND(R966="Marine Protected", VLOOKUP(O966, Reference!$A$2:$D$34, 4, FALSE) &lt;= P966),
                AND(R966="General Use", VLOOKUP(O966, Reference!$A$2:$D$34, 3, FALSE) &lt;= P966)
            ),
                "Exceeded",
                "OK"
            ),
            "No Regulation defined"
        )
    ),
    ""
)</f>
        <v/>
      </c>
      <c r="AB966" s="62" t="str">
        <f t="shared" si="15"/>
        <v/>
      </c>
    </row>
    <row r="967" spans="3:28" x14ac:dyDescent="0.2">
      <c r="C967" s="69"/>
      <c r="D967" s="70"/>
      <c r="S967" s="34"/>
      <c r="T967" s="60" t="str">
        <f>IF(P967&lt;&gt;"",
    IF(OR(O967="", Q967="", R967=""),
        "Fill all the required columns",
        IFERROR(
            IF(OR(
                AND(R967="Marine Protected", VLOOKUP(O967, Reference!$A$2:$D$34, 4, FALSE) &lt;= P967),
                AND(R967="General Use", VLOOKUP(O967, Reference!$A$2:$D$34, 3, FALSE) &lt;= P967)
            ),
                "Exceeded",
                "OK"
            ),
            "No Regulation defined"
        )
    ),
    ""
)</f>
        <v/>
      </c>
      <c r="AB967" s="62" t="str">
        <f t="shared" si="15"/>
        <v/>
      </c>
    </row>
    <row r="968" spans="3:28" x14ac:dyDescent="0.2">
      <c r="C968" s="69"/>
      <c r="D968" s="70"/>
      <c r="S968" s="34"/>
      <c r="T968" s="60" t="str">
        <f>IF(P968&lt;&gt;"",
    IF(OR(O968="", Q968="", R968=""),
        "Fill all the required columns",
        IFERROR(
            IF(OR(
                AND(R968="Marine Protected", VLOOKUP(O968, Reference!$A$2:$D$34, 4, FALSE) &lt;= P968),
                AND(R968="General Use", VLOOKUP(O968, Reference!$A$2:$D$34, 3, FALSE) &lt;= P968)
            ),
                "Exceeded",
                "OK"
            ),
            "No Regulation defined"
        )
    ),
    ""
)</f>
        <v/>
      </c>
      <c r="AB968" s="62" t="str">
        <f t="shared" si="15"/>
        <v/>
      </c>
    </row>
    <row r="969" spans="3:28" x14ac:dyDescent="0.2">
      <c r="C969" s="69"/>
      <c r="D969" s="70"/>
      <c r="S969" s="34"/>
      <c r="T969" s="60" t="str">
        <f>IF(P969&lt;&gt;"",
    IF(OR(O969="", Q969="", R969=""),
        "Fill all the required columns",
        IFERROR(
            IF(OR(
                AND(R969="Marine Protected", VLOOKUP(O969, Reference!$A$2:$D$34, 4, FALSE) &lt;= P969),
                AND(R969="General Use", VLOOKUP(O969, Reference!$A$2:$D$34, 3, FALSE) &lt;= P969)
            ),
                "Exceeded",
                "OK"
            ),
            "No Regulation defined"
        )
    ),
    ""
)</f>
        <v/>
      </c>
      <c r="AB969" s="62" t="str">
        <f t="shared" si="15"/>
        <v/>
      </c>
    </row>
    <row r="970" spans="3:28" x14ac:dyDescent="0.2">
      <c r="C970" s="69"/>
      <c r="D970" s="70"/>
      <c r="S970" s="34"/>
      <c r="T970" s="60" t="str">
        <f>IF(P970&lt;&gt;"",
    IF(OR(O970="", Q970="", R970=""),
        "Fill all the required columns",
        IFERROR(
            IF(OR(
                AND(R970="Marine Protected", VLOOKUP(O970, Reference!$A$2:$D$34, 4, FALSE) &lt;= P970),
                AND(R970="General Use", VLOOKUP(O970, Reference!$A$2:$D$34, 3, FALSE) &lt;= P970)
            ),
                "Exceeded",
                "OK"
            ),
            "No Regulation defined"
        )
    ),
    ""
)</f>
        <v/>
      </c>
      <c r="AB970" s="62" t="str">
        <f t="shared" si="15"/>
        <v/>
      </c>
    </row>
    <row r="971" spans="3:28" x14ac:dyDescent="0.2">
      <c r="C971" s="69"/>
      <c r="D971" s="70"/>
      <c r="S971" s="34"/>
      <c r="T971" s="60" t="str">
        <f>IF(P971&lt;&gt;"",
    IF(OR(O971="", Q971="", R971=""),
        "Fill all the required columns",
        IFERROR(
            IF(OR(
                AND(R971="Marine Protected", VLOOKUP(O971, Reference!$A$2:$D$34, 4, FALSE) &lt;= P971),
                AND(R971="General Use", VLOOKUP(O971, Reference!$A$2:$D$34, 3, FALSE) &lt;= P971)
            ),
                "Exceeded",
                "OK"
            ),
            "No Regulation defined"
        )
    ),
    ""
)</f>
        <v/>
      </c>
      <c r="AB971" s="62" t="str">
        <f t="shared" si="15"/>
        <v/>
      </c>
    </row>
    <row r="972" spans="3:28" x14ac:dyDescent="0.2">
      <c r="C972" s="69"/>
      <c r="D972" s="70"/>
      <c r="S972" s="34"/>
      <c r="T972" s="60" t="str">
        <f>IF(P972&lt;&gt;"",
    IF(OR(O972="", Q972="", R972=""),
        "Fill all the required columns",
        IFERROR(
            IF(OR(
                AND(R972="Marine Protected", VLOOKUP(O972, Reference!$A$2:$D$34, 4, FALSE) &lt;= P972),
                AND(R972="General Use", VLOOKUP(O972, Reference!$A$2:$D$34, 3, FALSE) &lt;= P972)
            ),
                "Exceeded",
                "OK"
            ),
            "No Regulation defined"
        )
    ),
    ""
)</f>
        <v/>
      </c>
      <c r="AB972" s="62" t="str">
        <f t="shared" si="15"/>
        <v/>
      </c>
    </row>
    <row r="973" spans="3:28" x14ac:dyDescent="0.2">
      <c r="C973" s="69"/>
      <c r="D973" s="70"/>
      <c r="S973" s="34"/>
      <c r="T973" s="60" t="str">
        <f>IF(P973&lt;&gt;"",
    IF(OR(O973="", Q973="", R973=""),
        "Fill all the required columns",
        IFERROR(
            IF(OR(
                AND(R973="Marine Protected", VLOOKUP(O973, Reference!$A$2:$D$34, 4, FALSE) &lt;= P973),
                AND(R973="General Use", VLOOKUP(O973, Reference!$A$2:$D$34, 3, FALSE) &lt;= P973)
            ),
                "Exceeded",
                "OK"
            ),
            "No Regulation defined"
        )
    ),
    ""
)</f>
        <v/>
      </c>
      <c r="AB973" s="62" t="str">
        <f t="shared" si="15"/>
        <v/>
      </c>
    </row>
    <row r="974" spans="3:28" x14ac:dyDescent="0.2">
      <c r="C974" s="69"/>
      <c r="D974" s="70"/>
      <c r="S974" s="34"/>
      <c r="T974" s="60" t="str">
        <f>IF(P974&lt;&gt;"",
    IF(OR(O974="", Q974="", R974=""),
        "Fill all the required columns",
        IFERROR(
            IF(OR(
                AND(R974="Marine Protected", VLOOKUP(O974, Reference!$A$2:$D$34, 4, FALSE) &lt;= P974),
                AND(R974="General Use", VLOOKUP(O974, Reference!$A$2:$D$34, 3, FALSE) &lt;= P974)
            ),
                "Exceeded",
                "OK"
            ),
            "No Regulation defined"
        )
    ),
    ""
)</f>
        <v/>
      </c>
      <c r="AB974" s="62" t="str">
        <f t="shared" si="15"/>
        <v/>
      </c>
    </row>
    <row r="975" spans="3:28" x14ac:dyDescent="0.2">
      <c r="C975" s="69"/>
      <c r="D975" s="70"/>
      <c r="S975" s="34"/>
      <c r="T975" s="60" t="str">
        <f>IF(P975&lt;&gt;"",
    IF(OR(O975="", Q975="", R975=""),
        "Fill all the required columns",
        IFERROR(
            IF(OR(
                AND(R975="Marine Protected", VLOOKUP(O975, Reference!$A$2:$D$34, 4, FALSE) &lt;= P975),
                AND(R975="General Use", VLOOKUP(O975, Reference!$A$2:$D$34, 3, FALSE) &lt;= P975)
            ),
                "Exceeded",
                "OK"
            ),
            "No Regulation defined"
        )
    ),
    ""
)</f>
        <v/>
      </c>
      <c r="AB975" s="62" t="str">
        <f t="shared" si="15"/>
        <v/>
      </c>
    </row>
    <row r="976" spans="3:28" x14ac:dyDescent="0.2">
      <c r="C976" s="69"/>
      <c r="D976" s="70"/>
      <c r="S976" s="34"/>
      <c r="T976" s="60" t="str">
        <f>IF(P976&lt;&gt;"",
    IF(OR(O976="", Q976="", R976=""),
        "Fill all the required columns",
        IFERROR(
            IF(OR(
                AND(R976="Marine Protected", VLOOKUP(O976, Reference!$A$2:$D$34, 4, FALSE) &lt;= P976),
                AND(R976="General Use", VLOOKUP(O976, Reference!$A$2:$D$34, 3, FALSE) &lt;= P976)
            ),
                "Exceeded",
                "OK"
            ),
            "No Regulation defined"
        )
    ),
    ""
)</f>
        <v/>
      </c>
      <c r="AB976" s="62" t="str">
        <f t="shared" si="15"/>
        <v/>
      </c>
    </row>
    <row r="977" spans="3:28" x14ac:dyDescent="0.2">
      <c r="C977" s="69"/>
      <c r="D977" s="70"/>
      <c r="S977" s="34"/>
      <c r="T977" s="60" t="str">
        <f>IF(P977&lt;&gt;"",
    IF(OR(O977="", Q977="", R977=""),
        "Fill all the required columns",
        IFERROR(
            IF(OR(
                AND(R977="Marine Protected", VLOOKUP(O977, Reference!$A$2:$D$34, 4, FALSE) &lt;= P977),
                AND(R977="General Use", VLOOKUP(O977, Reference!$A$2:$D$34, 3, FALSE) &lt;= P977)
            ),
                "Exceeded",
                "OK"
            ),
            "No Regulation defined"
        )
    ),
    ""
)</f>
        <v/>
      </c>
      <c r="AB977" s="62" t="str">
        <f t="shared" si="15"/>
        <v/>
      </c>
    </row>
    <row r="978" spans="3:28" x14ac:dyDescent="0.2">
      <c r="C978" s="69"/>
      <c r="D978" s="70"/>
      <c r="S978" s="34"/>
      <c r="T978" s="60" t="str">
        <f>IF(P978&lt;&gt;"",
    IF(OR(O978="", Q978="", R978=""),
        "Fill all the required columns",
        IFERROR(
            IF(OR(
                AND(R978="Marine Protected", VLOOKUP(O978, Reference!$A$2:$D$34, 4, FALSE) &lt;= P978),
                AND(R978="General Use", VLOOKUP(O978, Reference!$A$2:$D$34, 3, FALSE) &lt;= P978)
            ),
                "Exceeded",
                "OK"
            ),
            "No Regulation defined"
        )
    ),
    ""
)</f>
        <v/>
      </c>
      <c r="AB978" s="62" t="str">
        <f t="shared" si="15"/>
        <v/>
      </c>
    </row>
    <row r="979" spans="3:28" x14ac:dyDescent="0.2">
      <c r="C979" s="69"/>
      <c r="D979" s="70"/>
      <c r="S979" s="34"/>
      <c r="T979" s="60" t="str">
        <f>IF(P979&lt;&gt;"",
    IF(OR(O979="", Q979="", R979=""),
        "Fill all the required columns",
        IFERROR(
            IF(OR(
                AND(R979="Marine Protected", VLOOKUP(O979, Reference!$A$2:$D$34, 4, FALSE) &lt;= P979),
                AND(R979="General Use", VLOOKUP(O979, Reference!$A$2:$D$34, 3, FALSE) &lt;= P979)
            ),
                "Exceeded",
                "OK"
            ),
            "No Regulation defined"
        )
    ),
    ""
)</f>
        <v/>
      </c>
      <c r="AB979" s="62" t="str">
        <f t="shared" si="15"/>
        <v/>
      </c>
    </row>
    <row r="980" spans="3:28" x14ac:dyDescent="0.2">
      <c r="C980" s="69"/>
      <c r="D980" s="70"/>
      <c r="S980" s="34"/>
      <c r="T980" s="60" t="str">
        <f>IF(P980&lt;&gt;"",
    IF(OR(O980="", Q980="", R980=""),
        "Fill all the required columns",
        IFERROR(
            IF(OR(
                AND(R980="Marine Protected", VLOOKUP(O980, Reference!$A$2:$D$34, 4, FALSE) &lt;= P980),
                AND(R980="General Use", VLOOKUP(O980, Reference!$A$2:$D$34, 3, FALSE) &lt;= P980)
            ),
                "Exceeded",
                "OK"
            ),
            "No Regulation defined"
        )
    ),
    ""
)</f>
        <v/>
      </c>
      <c r="AB980" s="62" t="str">
        <f t="shared" si="15"/>
        <v/>
      </c>
    </row>
    <row r="981" spans="3:28" x14ac:dyDescent="0.2">
      <c r="C981" s="69"/>
      <c r="D981" s="70"/>
      <c r="S981" s="34"/>
      <c r="T981" s="60" t="str">
        <f>IF(P981&lt;&gt;"",
    IF(OR(O981="", Q981="", R981=""),
        "Fill all the required columns",
        IFERROR(
            IF(OR(
                AND(R981="Marine Protected", VLOOKUP(O981, Reference!$A$2:$D$34, 4, FALSE) &lt;= P981),
                AND(R981="General Use", VLOOKUP(O981, Reference!$A$2:$D$34, 3, FALSE) &lt;= P981)
            ),
                "Exceeded",
                "OK"
            ),
            "No Regulation defined"
        )
    ),
    ""
)</f>
        <v/>
      </c>
      <c r="AB981" s="62" t="str">
        <f t="shared" si="15"/>
        <v/>
      </c>
    </row>
    <row r="982" spans="3:28" x14ac:dyDescent="0.2">
      <c r="C982" s="69"/>
      <c r="D982" s="70"/>
      <c r="S982" s="34"/>
      <c r="T982" s="60" t="str">
        <f>IF(P982&lt;&gt;"",
    IF(OR(O982="", Q982="", R982=""),
        "Fill all the required columns",
        IFERROR(
            IF(OR(
                AND(R982="Marine Protected", VLOOKUP(O982, Reference!$A$2:$D$34, 4, FALSE) &lt;= P982),
                AND(R982="General Use", VLOOKUP(O982, Reference!$A$2:$D$34, 3, FALSE) &lt;= P982)
            ),
                "Exceeded",
                "OK"
            ),
            "No Regulation defined"
        )
    ),
    ""
)</f>
        <v/>
      </c>
      <c r="AB982" s="62" t="str">
        <f t="shared" si="15"/>
        <v/>
      </c>
    </row>
    <row r="983" spans="3:28" x14ac:dyDescent="0.2">
      <c r="C983" s="69"/>
      <c r="D983" s="70"/>
      <c r="S983" s="34"/>
      <c r="T983" s="60" t="str">
        <f>IF(P983&lt;&gt;"",
    IF(OR(O983="", Q983="", R983=""),
        "Fill all the required columns",
        IFERROR(
            IF(OR(
                AND(R983="Marine Protected", VLOOKUP(O983, Reference!$A$2:$D$34, 4, FALSE) &lt;= P983),
                AND(R983="General Use", VLOOKUP(O983, Reference!$A$2:$D$34, 3, FALSE) &lt;= P983)
            ),
                "Exceeded",
                "OK"
            ),
            "No Regulation defined"
        )
    ),
    ""
)</f>
        <v/>
      </c>
      <c r="AB983" s="62" t="str">
        <f t="shared" si="15"/>
        <v/>
      </c>
    </row>
    <row r="984" spans="3:28" x14ac:dyDescent="0.2">
      <c r="C984" s="69"/>
      <c r="D984" s="70"/>
      <c r="S984" s="34"/>
      <c r="T984" s="60" t="str">
        <f>IF(P984&lt;&gt;"",
    IF(OR(O984="", Q984="", R984=""),
        "Fill all the required columns",
        IFERROR(
            IF(OR(
                AND(R984="Marine Protected", VLOOKUP(O984, Reference!$A$2:$D$34, 4, FALSE) &lt;= P984),
                AND(R984="General Use", VLOOKUP(O984, Reference!$A$2:$D$34, 3, FALSE) &lt;= P984)
            ),
                "Exceeded",
                "OK"
            ),
            "No Regulation defined"
        )
    ),
    ""
)</f>
        <v/>
      </c>
      <c r="AB984" s="62" t="str">
        <f t="shared" si="15"/>
        <v/>
      </c>
    </row>
    <row r="985" spans="3:28" x14ac:dyDescent="0.2">
      <c r="C985" s="69"/>
      <c r="D985" s="70"/>
      <c r="S985" s="34"/>
      <c r="T985" s="60" t="str">
        <f>IF(P985&lt;&gt;"",
    IF(OR(O985="", Q985="", R985=""),
        "Fill all the required columns",
        IFERROR(
            IF(OR(
                AND(R985="Marine Protected", VLOOKUP(O985, Reference!$A$2:$D$34, 4, FALSE) &lt;= P985),
                AND(R985="General Use", VLOOKUP(O985, Reference!$A$2:$D$34, 3, FALSE) &lt;= P985)
            ),
                "Exceeded",
                "OK"
            ),
            "No Regulation defined"
        )
    ),
    ""
)</f>
        <v/>
      </c>
      <c r="AB985" s="62" t="str">
        <f t="shared" si="15"/>
        <v/>
      </c>
    </row>
    <row r="986" spans="3:28" x14ac:dyDescent="0.2">
      <c r="C986" s="69"/>
      <c r="D986" s="70"/>
      <c r="S986" s="34"/>
      <c r="T986" s="60" t="str">
        <f>IF(P986&lt;&gt;"",
    IF(OR(O986="", Q986="", R986=""),
        "Fill all the required columns",
        IFERROR(
            IF(OR(
                AND(R986="Marine Protected", VLOOKUP(O986, Reference!$A$2:$D$34, 4, FALSE) &lt;= P986),
                AND(R986="General Use", VLOOKUP(O986, Reference!$A$2:$D$34, 3, FALSE) &lt;= P986)
            ),
                "Exceeded",
                "OK"
            ),
            "No Regulation defined"
        )
    ),
    ""
)</f>
        <v/>
      </c>
      <c r="AB986" s="62" t="str">
        <f t="shared" si="15"/>
        <v/>
      </c>
    </row>
    <row r="987" spans="3:28" x14ac:dyDescent="0.2">
      <c r="C987" s="69"/>
      <c r="D987" s="70"/>
      <c r="S987" s="34"/>
      <c r="T987" s="60" t="str">
        <f>IF(P987&lt;&gt;"",
    IF(OR(O987="", Q987="", R987=""),
        "Fill all the required columns",
        IFERROR(
            IF(OR(
                AND(R987="Marine Protected", VLOOKUP(O987, Reference!$A$2:$D$34, 4, FALSE) &lt;= P987),
                AND(R987="General Use", VLOOKUP(O987, Reference!$A$2:$D$34, 3, FALSE) &lt;= P987)
            ),
                "Exceeded",
                "OK"
            ),
            "No Regulation defined"
        )
    ),
    ""
)</f>
        <v/>
      </c>
      <c r="AB987" s="62" t="str">
        <f t="shared" si="15"/>
        <v/>
      </c>
    </row>
    <row r="988" spans="3:28" x14ac:dyDescent="0.2">
      <c r="C988" s="69"/>
      <c r="D988" s="70"/>
      <c r="S988" s="34"/>
      <c r="T988" s="60" t="str">
        <f>IF(P988&lt;&gt;"",
    IF(OR(O988="", Q988="", R988=""),
        "Fill all the required columns",
        IFERROR(
            IF(OR(
                AND(R988="Marine Protected", VLOOKUP(O988, Reference!$A$2:$D$34, 4, FALSE) &lt;= P988),
                AND(R988="General Use", VLOOKUP(O988, Reference!$A$2:$D$34, 3, FALSE) &lt;= P988)
            ),
                "Exceeded",
                "OK"
            ),
            "No Regulation defined"
        )
    ),
    ""
)</f>
        <v/>
      </c>
      <c r="AB988" s="62" t="str">
        <f t="shared" si="15"/>
        <v/>
      </c>
    </row>
    <row r="989" spans="3:28" x14ac:dyDescent="0.2">
      <c r="C989" s="69"/>
      <c r="D989" s="70"/>
      <c r="S989" s="34"/>
      <c r="T989" s="60" t="str">
        <f>IF(P989&lt;&gt;"",
    IF(OR(O989="", Q989="", R989=""),
        "Fill all the required columns",
        IFERROR(
            IF(OR(
                AND(R989="Marine Protected", VLOOKUP(O989, Reference!$A$2:$D$34, 4, FALSE) &lt;= P989),
                AND(R989="General Use", VLOOKUP(O989, Reference!$A$2:$D$34, 3, FALSE) &lt;= P989)
            ),
                "Exceeded",
                "OK"
            ),
            "No Regulation defined"
        )
    ),
    ""
)</f>
        <v/>
      </c>
      <c r="AB989" s="62" t="str">
        <f t="shared" si="15"/>
        <v/>
      </c>
    </row>
    <row r="990" spans="3:28" x14ac:dyDescent="0.2">
      <c r="C990" s="69"/>
      <c r="D990" s="70"/>
      <c r="S990" s="34"/>
      <c r="T990" s="60" t="str">
        <f>IF(P990&lt;&gt;"",
    IF(OR(O990="", Q990="", R990=""),
        "Fill all the required columns",
        IFERROR(
            IF(OR(
                AND(R990="Marine Protected", VLOOKUP(O990, Reference!$A$2:$D$34, 4, FALSE) &lt;= P990),
                AND(R990="General Use", VLOOKUP(O990, Reference!$A$2:$D$34, 3, FALSE) &lt;= P990)
            ),
                "Exceeded",
                "OK"
            ),
            "No Regulation defined"
        )
    ),
    ""
)</f>
        <v/>
      </c>
      <c r="AB990" s="62" t="str">
        <f t="shared" si="15"/>
        <v/>
      </c>
    </row>
    <row r="991" spans="3:28" x14ac:dyDescent="0.2">
      <c r="C991" s="69"/>
      <c r="D991" s="70"/>
      <c r="S991" s="34"/>
      <c r="T991" s="60" t="str">
        <f>IF(P991&lt;&gt;"",
    IF(OR(O991="", Q991="", R991=""),
        "Fill all the required columns",
        IFERROR(
            IF(OR(
                AND(R991="Marine Protected", VLOOKUP(O991, Reference!$A$2:$D$34, 4, FALSE) &lt;= P991),
                AND(R991="General Use", VLOOKUP(O991, Reference!$A$2:$D$34, 3, FALSE) &lt;= P991)
            ),
                "Exceeded",
                "OK"
            ),
            "No Regulation defined"
        )
    ),
    ""
)</f>
        <v/>
      </c>
      <c r="AB991" s="62" t="str">
        <f t="shared" si="15"/>
        <v/>
      </c>
    </row>
    <row r="992" spans="3:28" x14ac:dyDescent="0.2">
      <c r="C992" s="69"/>
      <c r="D992" s="70"/>
      <c r="S992" s="34"/>
      <c r="T992" s="60" t="str">
        <f>IF(P992&lt;&gt;"",
    IF(OR(O992="", Q992="", R992=""),
        "Fill all the required columns",
        IFERROR(
            IF(OR(
                AND(R992="Marine Protected", VLOOKUP(O992, Reference!$A$2:$D$34, 4, FALSE) &lt;= P992),
                AND(R992="General Use", VLOOKUP(O992, Reference!$A$2:$D$34, 3, FALSE) &lt;= P992)
            ),
                "Exceeded",
                "OK"
            ),
            "No Regulation defined"
        )
    ),
    ""
)</f>
        <v/>
      </c>
      <c r="AB992" s="62" t="str">
        <f t="shared" si="15"/>
        <v/>
      </c>
    </row>
    <row r="993" spans="3:28" x14ac:dyDescent="0.2">
      <c r="C993" s="69"/>
      <c r="D993" s="70"/>
      <c r="S993" s="34"/>
      <c r="T993" s="60" t="str">
        <f>IF(P993&lt;&gt;"",
    IF(OR(O993="", Q993="", R993=""),
        "Fill all the required columns",
        IFERROR(
            IF(OR(
                AND(R993="Marine Protected", VLOOKUP(O993, Reference!$A$2:$D$34, 4, FALSE) &lt;= P993),
                AND(R993="General Use", VLOOKUP(O993, Reference!$A$2:$D$34, 3, FALSE) &lt;= P993)
            ),
                "Exceeded",
                "OK"
            ),
            "No Regulation defined"
        )
    ),
    ""
)</f>
        <v/>
      </c>
      <c r="AB993" s="62" t="str">
        <f t="shared" si="15"/>
        <v/>
      </c>
    </row>
    <row r="994" spans="3:28" x14ac:dyDescent="0.2">
      <c r="C994" s="69"/>
      <c r="D994" s="70"/>
      <c r="S994" s="34"/>
      <c r="T994" s="60" t="str">
        <f>IF(P994&lt;&gt;"",
    IF(OR(O994="", Q994="", R994=""),
        "Fill all the required columns",
        IFERROR(
            IF(OR(
                AND(R994="Marine Protected", VLOOKUP(O994, Reference!$A$2:$D$34, 4, FALSE) &lt;= P994),
                AND(R994="General Use", VLOOKUP(O994, Reference!$A$2:$D$34, 3, FALSE) &lt;= P994)
            ),
                "Exceeded",
                "OK"
            ),
            "No Regulation defined"
        )
    ),
    ""
)</f>
        <v/>
      </c>
      <c r="AB994" s="62" t="str">
        <f t="shared" si="15"/>
        <v/>
      </c>
    </row>
    <row r="995" spans="3:28" x14ac:dyDescent="0.2">
      <c r="C995" s="69"/>
      <c r="D995" s="70"/>
      <c r="S995" s="34"/>
      <c r="T995" s="60" t="str">
        <f>IF(P995&lt;&gt;"",
    IF(OR(O995="", Q995="", R995=""),
        "Fill all the required columns",
        IFERROR(
            IF(OR(
                AND(R995="Marine Protected", VLOOKUP(O995, Reference!$A$2:$D$34, 4, FALSE) &lt;= P995),
                AND(R995="General Use", VLOOKUP(O995, Reference!$A$2:$D$34, 3, FALSE) &lt;= P995)
            ),
                "Exceeded",
                "OK"
            ),
            "No Regulation defined"
        )
    ),
    ""
)</f>
        <v/>
      </c>
      <c r="AB995" s="62" t="str">
        <f t="shared" si="15"/>
        <v/>
      </c>
    </row>
    <row r="996" spans="3:28" x14ac:dyDescent="0.2">
      <c r="C996" s="69"/>
      <c r="D996" s="70"/>
      <c r="S996" s="34"/>
      <c r="T996" s="60" t="str">
        <f>IF(P996&lt;&gt;"",
    IF(OR(O996="", Q996="", R996=""),
        "Fill all the required columns",
        IFERROR(
            IF(OR(
                AND(R996="Marine Protected", VLOOKUP(O996, Reference!$A$2:$D$34, 4, FALSE) &lt;= P996),
                AND(R996="General Use", VLOOKUP(O996, Reference!$A$2:$D$34, 3, FALSE) &lt;= P996)
            ),
                "Exceeded",
                "OK"
            ),
            "No Regulation defined"
        )
    ),
    ""
)</f>
        <v/>
      </c>
      <c r="AB996" s="62" t="str">
        <f t="shared" si="15"/>
        <v/>
      </c>
    </row>
    <row r="997" spans="3:28" x14ac:dyDescent="0.2">
      <c r="C997" s="69"/>
      <c r="D997" s="70"/>
      <c r="S997" s="34"/>
      <c r="T997" s="60" t="str">
        <f>IF(P997&lt;&gt;"",
    IF(OR(O997="", Q997="", R997=""),
        "Fill all the required columns",
        IFERROR(
            IF(OR(
                AND(R997="Marine Protected", VLOOKUP(O997, Reference!$A$2:$D$34, 4, FALSE) &lt;= P997),
                AND(R997="General Use", VLOOKUP(O997, Reference!$A$2:$D$34, 3, FALSE) &lt;= P997)
            ),
                "Exceeded",
                "OK"
            ),
            "No Regulation defined"
        )
    ),
    ""
)</f>
        <v/>
      </c>
      <c r="AB997" s="62" t="str">
        <f t="shared" si="15"/>
        <v/>
      </c>
    </row>
    <row r="998" spans="3:28" x14ac:dyDescent="0.2">
      <c r="C998" s="69"/>
      <c r="D998" s="70"/>
      <c r="S998" s="34"/>
      <c r="T998" s="60" t="str">
        <f>IF(P998&lt;&gt;"",
    IF(OR(O998="", Q998="", R998=""),
        "Fill all the required columns",
        IFERROR(
            IF(OR(
                AND(R998="Marine Protected", VLOOKUP(O998, Reference!$A$2:$D$34, 4, FALSE) &lt;= P998),
                AND(R998="General Use", VLOOKUP(O998, Reference!$A$2:$D$34, 3, FALSE) &lt;= P998)
            ),
                "Exceeded",
                "OK"
            ),
            "No Regulation defined"
        )
    ),
    ""
)</f>
        <v/>
      </c>
      <c r="AB998" s="62" t="str">
        <f t="shared" si="15"/>
        <v/>
      </c>
    </row>
    <row r="999" spans="3:28" x14ac:dyDescent="0.2">
      <c r="C999" s="69"/>
      <c r="D999" s="70"/>
      <c r="S999" s="34"/>
      <c r="T999" s="60" t="str">
        <f>IF(P999&lt;&gt;"",
    IF(OR(O999="", Q999="", R999=""),
        "Fill all the required columns",
        IFERROR(
            IF(OR(
                AND(R999="Marine Protected", VLOOKUP(O999, Reference!$A$2:$D$34, 4, FALSE) &lt;= P999),
                AND(R999="General Use", VLOOKUP(O999, Reference!$A$2:$D$34, 3, FALSE) &lt;= P999)
            ),
                "Exceeded",
                "OK"
            ),
            "No Regulation defined"
        )
    ),
    ""
)</f>
        <v/>
      </c>
      <c r="AB999" s="62" t="str">
        <f t="shared" si="15"/>
        <v/>
      </c>
    </row>
    <row r="1000" spans="3:28" x14ac:dyDescent="0.2">
      <c r="C1000" s="69"/>
      <c r="D1000" s="70"/>
      <c r="S1000" s="34"/>
      <c r="T1000" s="60" t="str">
        <f>IF(P1000&lt;&gt;"",
    IF(OR(O1000="", Q1000="", R1000=""),
        "Fill all the required columns",
        IFERROR(
            IF(OR(
                AND(R1000="Marine Protected", VLOOKUP(O1000, Reference!$A$2:$D$34, 4, FALSE) &lt;= P1000),
                AND(R1000="General Use", VLOOKUP(O1000, Reference!$A$2:$D$34, 3, FALSE) &lt;= P1000)
            ),
                "Exceeded",
                "OK"
            ),
            "No Regulation defined"
        )
    ),
    ""
)</f>
        <v/>
      </c>
      <c r="AB1000" s="62" t="str">
        <f t="shared" si="15"/>
        <v/>
      </c>
    </row>
    <row r="1001" spans="3:28" x14ac:dyDescent="0.2">
      <c r="C1001" s="69"/>
      <c r="D1001" s="70"/>
      <c r="S1001" s="34"/>
      <c r="T1001" s="60" t="str">
        <f>IF(P1001&lt;&gt;"",
    IF(OR(O1001="", Q1001="", R1001=""),
        "Fill all the required columns",
        IFERROR(
            IF(OR(
                AND(R1001="Marine Protected", VLOOKUP(O1001, Reference!$A$2:$D$34, 4, FALSE) &lt;= P1001),
                AND(R1001="General Use", VLOOKUP(O1001, Reference!$A$2:$D$34, 3, FALSE) &lt;= P1001)
            ),
                "Exceeded",
                "OK"
            ),
            "No Regulation defined"
        )
    ),
    ""
)</f>
        <v/>
      </c>
      <c r="AB1001" s="62" t="str">
        <f t="shared" si="15"/>
        <v/>
      </c>
    </row>
    <row r="1002" spans="3:28" x14ac:dyDescent="0.2">
      <c r="C1002" s="69"/>
      <c r="D1002" s="70"/>
      <c r="S1002" s="34"/>
      <c r="T1002" s="60" t="str">
        <f>IF(P1002&lt;&gt;"",
    IF(OR(O1002="", Q1002="", R1002=""),
        "Fill all the required columns",
        IFERROR(
            IF(OR(
                AND(R1002="Marine Protected", VLOOKUP(O1002, Reference!$A$2:$D$34, 4, FALSE) &lt;= P1002),
                AND(R1002="General Use", VLOOKUP(O1002, Reference!$A$2:$D$34, 3, FALSE) &lt;= P1002)
            ),
                "Exceeded",
                "OK"
            ),
            "No Regulation defined"
        )
    ),
    ""
)</f>
        <v/>
      </c>
      <c r="AB1002" s="62" t="str">
        <f t="shared" si="15"/>
        <v/>
      </c>
    </row>
    <row r="1003" spans="3:28" x14ac:dyDescent="0.2">
      <c r="C1003" s="69"/>
      <c r="D1003" s="70"/>
      <c r="S1003" s="34"/>
      <c r="T1003" s="60" t="str">
        <f>IF(P1003&lt;&gt;"",
    IF(OR(O1003="", Q1003="", R1003=""),
        "Fill all the required columns",
        IFERROR(
            IF(OR(
                AND(R1003="Marine Protected", VLOOKUP(O1003, Reference!$A$2:$D$34, 4, FALSE) &lt;= P1003),
                AND(R1003="General Use", VLOOKUP(O1003, Reference!$A$2:$D$34, 3, FALSE) &lt;= P1003)
            ),
                "Exceeded",
                "OK"
            ),
            "No Regulation defined"
        )
    ),
    ""
)</f>
        <v/>
      </c>
      <c r="AB1003" s="62" t="str">
        <f t="shared" si="15"/>
        <v/>
      </c>
    </row>
    <row r="1004" spans="3:28" x14ac:dyDescent="0.2">
      <c r="C1004" s="69"/>
      <c r="D1004" s="70"/>
      <c r="S1004" s="34"/>
      <c r="T1004" s="60" t="str">
        <f>IF(P1004&lt;&gt;"",
    IF(OR(O1004="", Q1004="", R1004=""),
        "Fill all the required columns",
        IFERROR(
            IF(OR(
                AND(R1004="Marine Protected", VLOOKUP(O1004, Reference!$A$2:$D$34, 4, FALSE) &lt;= P1004),
                AND(R1004="General Use", VLOOKUP(O1004, Reference!$A$2:$D$34, 3, FALSE) &lt;= P1004)
            ),
                "Exceeded",
                "OK"
            ),
            "No Regulation defined"
        )
    ),
    ""
)</f>
        <v/>
      </c>
      <c r="AB1004" s="62" t="str">
        <f t="shared" si="15"/>
        <v/>
      </c>
    </row>
    <row r="1005" spans="3:28" x14ac:dyDescent="0.2">
      <c r="C1005" s="69"/>
      <c r="D1005" s="70"/>
      <c r="S1005" s="34"/>
      <c r="T1005" s="60" t="str">
        <f>IF(P1005&lt;&gt;"",
    IF(OR(O1005="", Q1005="", R1005=""),
        "Fill all the required columns",
        IFERROR(
            IF(OR(
                AND(R1005="Marine Protected", VLOOKUP(O1005, Reference!$A$2:$D$34, 4, FALSE) &lt;= P1005),
                AND(R1005="General Use", VLOOKUP(O1005, Reference!$A$2:$D$34, 3, FALSE) &lt;= P1005)
            ),
                "Exceeded",
                "OK"
            ),
            "No Regulation defined"
        )
    ),
    ""
)</f>
        <v/>
      </c>
      <c r="AB1005" s="62" t="str">
        <f t="shared" si="15"/>
        <v/>
      </c>
    </row>
    <row r="1006" spans="3:28" x14ac:dyDescent="0.2">
      <c r="C1006" s="69"/>
      <c r="D1006" s="70"/>
      <c r="S1006" s="34"/>
      <c r="T1006" s="60" t="str">
        <f>IF(P1006&lt;&gt;"",
    IF(OR(O1006="", Q1006="", R1006=""),
        "Fill all the required columns",
        IFERROR(
            IF(OR(
                AND(R1006="Marine Protected", VLOOKUP(O1006, Reference!$A$2:$D$34, 4, FALSE) &lt;= P1006),
                AND(R1006="General Use", VLOOKUP(O1006, Reference!$A$2:$D$34, 3, FALSE) &lt;= P1006)
            ),
                "Exceeded",
                "OK"
            ),
            "No Regulation defined"
        )
    ),
    ""
)</f>
        <v/>
      </c>
      <c r="AB1006" s="62" t="str">
        <f t="shared" si="15"/>
        <v/>
      </c>
    </row>
    <row r="1007" spans="3:28" x14ac:dyDescent="0.2">
      <c r="C1007" s="69"/>
      <c r="D1007" s="70"/>
      <c r="S1007" s="34"/>
      <c r="T1007" s="60" t="str">
        <f>IF(P1007&lt;&gt;"",
    IF(OR(O1007="", Q1007="", R1007=""),
        "Fill all the required columns",
        IFERROR(
            IF(OR(
                AND(R1007="Marine Protected", VLOOKUP(O1007, Reference!$A$2:$D$34, 4, FALSE) &lt;= P1007),
                AND(R1007="General Use", VLOOKUP(O1007, Reference!$A$2:$D$34, 3, FALSE) &lt;= P1007)
            ),
                "Exceeded",
                "OK"
            ),
            "No Regulation defined"
        )
    ),
    ""
)</f>
        <v/>
      </c>
      <c r="AB1007" s="62" t="str">
        <f t="shared" si="15"/>
        <v/>
      </c>
    </row>
    <row r="1008" spans="3:28" x14ac:dyDescent="0.2">
      <c r="C1008" s="69"/>
      <c r="D1008" s="70"/>
      <c r="S1008" s="34"/>
      <c r="T1008" s="60" t="str">
        <f>IF(P1008&lt;&gt;"",
    IF(OR(O1008="", Q1008="", R1008=""),
        "Fill all the required columns",
        IFERROR(
            IF(OR(
                AND(R1008="Marine Protected", VLOOKUP(O1008, Reference!$A$2:$D$34, 4, FALSE) &lt;= P1008),
                AND(R1008="General Use", VLOOKUP(O1008, Reference!$A$2:$D$34, 3, FALSE) &lt;= P1008)
            ),
                "Exceeded",
                "OK"
            ),
            "No Regulation defined"
        )
    ),
    ""
)</f>
        <v/>
      </c>
      <c r="AB1008" s="62" t="str">
        <f t="shared" si="15"/>
        <v/>
      </c>
    </row>
    <row r="1009" spans="3:28" x14ac:dyDescent="0.2">
      <c r="C1009" s="69"/>
      <c r="D1009" s="70"/>
      <c r="S1009" s="34"/>
      <c r="T1009" s="60" t="str">
        <f>IF(P1009&lt;&gt;"",
    IF(OR(O1009="", Q1009="", R1009=""),
        "Fill all the required columns",
        IFERROR(
            IF(OR(
                AND(R1009="Marine Protected", VLOOKUP(O1009, Reference!$A$2:$D$34, 4, FALSE) &lt;= P1009),
                AND(R1009="General Use", VLOOKUP(O1009, Reference!$A$2:$D$34, 3, FALSE) &lt;= P1009)
            ),
                "Exceeded",
                "OK"
            ),
            "No Regulation defined"
        )
    ),
    ""
)</f>
        <v/>
      </c>
      <c r="AB1009" s="62" t="str">
        <f t="shared" si="15"/>
        <v/>
      </c>
    </row>
    <row r="1010" spans="3:28" x14ac:dyDescent="0.2">
      <c r="C1010" s="69"/>
      <c r="D1010" s="70"/>
      <c r="S1010" s="34"/>
      <c r="T1010" s="60" t="str">
        <f>IF(P1010&lt;&gt;"",
    IF(OR(O1010="", Q1010="", R1010=""),
        "Fill all the required columns",
        IFERROR(
            IF(OR(
                AND(R1010="Marine Protected", VLOOKUP(O1010, Reference!$A$2:$D$34, 4, FALSE) &lt;= P1010),
                AND(R1010="General Use", VLOOKUP(O1010, Reference!$A$2:$D$34, 3, FALSE) &lt;= P1010)
            ),
                "Exceeded",
                "OK"
            ),
            "No Regulation defined"
        )
    ),
    ""
)</f>
        <v/>
      </c>
      <c r="AB1010" s="62" t="str">
        <f t="shared" si="15"/>
        <v/>
      </c>
    </row>
    <row r="1011" spans="3:28" x14ac:dyDescent="0.2">
      <c r="C1011" s="69"/>
      <c r="D1011" s="70"/>
      <c r="S1011" s="34"/>
      <c r="T1011" s="60" t="str">
        <f>IF(P1011&lt;&gt;"",
    IF(OR(O1011="", Q1011="", R1011=""),
        "Fill all the required columns",
        IFERROR(
            IF(OR(
                AND(R1011="Marine Protected", VLOOKUP(O1011, Reference!$A$2:$D$34, 4, FALSE) &lt;= P1011),
                AND(R1011="General Use", VLOOKUP(O1011, Reference!$A$2:$D$34, 3, FALSE) &lt;= P1011)
            ),
                "Exceeded",
                "OK"
            ),
            "No Regulation defined"
        )
    ),
    ""
)</f>
        <v/>
      </c>
      <c r="AB1011" s="62" t="str">
        <f t="shared" si="15"/>
        <v/>
      </c>
    </row>
    <row r="1012" spans="3:28" x14ac:dyDescent="0.2">
      <c r="C1012" s="69"/>
      <c r="D1012" s="70"/>
      <c r="S1012" s="34"/>
      <c r="T1012" s="60" t="str">
        <f>IF(P1012&lt;&gt;"",
    IF(OR(O1012="", Q1012="", R1012=""),
        "Fill all the required columns",
        IFERROR(
            IF(OR(
                AND(R1012="Marine Protected", VLOOKUP(O1012, Reference!$A$2:$D$34, 4, FALSE) &lt;= P1012),
                AND(R1012="General Use", VLOOKUP(O1012, Reference!$A$2:$D$34, 3, FALSE) &lt;= P1012)
            ),
                "Exceeded",
                "OK"
            ),
            "No Regulation defined"
        )
    ),
    ""
)</f>
        <v/>
      </c>
      <c r="AB1012" s="62" t="str">
        <f t="shared" si="15"/>
        <v/>
      </c>
    </row>
    <row r="1013" spans="3:28" x14ac:dyDescent="0.2">
      <c r="C1013" s="69"/>
      <c r="D1013" s="70"/>
      <c r="S1013" s="34"/>
      <c r="T1013" s="60" t="str">
        <f>IF(P1013&lt;&gt;"",
    IF(OR(O1013="", Q1013="", R1013=""),
        "Fill all the required columns",
        IFERROR(
            IF(OR(
                AND(R1013="Marine Protected", VLOOKUP(O1013, Reference!$A$2:$D$34, 4, FALSE) &lt;= P1013),
                AND(R1013="General Use", VLOOKUP(O1013, Reference!$A$2:$D$34, 3, FALSE) &lt;= P1013)
            ),
                "Exceeded",
                "OK"
            ),
            "No Regulation defined"
        )
    ),
    ""
)</f>
        <v/>
      </c>
      <c r="AB1013" s="62" t="str">
        <f t="shared" si="15"/>
        <v/>
      </c>
    </row>
    <row r="1014" spans="3:28" x14ac:dyDescent="0.2">
      <c r="C1014" s="69"/>
      <c r="D1014" s="70"/>
      <c r="S1014" s="34"/>
      <c r="T1014" s="60" t="str">
        <f>IF(P1014&lt;&gt;"",
    IF(OR(O1014="", Q1014="", R1014=""),
        "Fill all the required columns",
        IFERROR(
            IF(OR(
                AND(R1014="Marine Protected", VLOOKUP(O1014, Reference!$A$2:$D$34, 4, FALSE) &lt;= P1014),
                AND(R1014="General Use", VLOOKUP(O1014, Reference!$A$2:$D$34, 3, FALSE) &lt;= P1014)
            ),
                "Exceeded",
                "OK"
            ),
            "No Regulation defined"
        )
    ),
    ""
)</f>
        <v/>
      </c>
      <c r="AB1014" s="62" t="str">
        <f t="shared" si="15"/>
        <v/>
      </c>
    </row>
    <row r="1015" spans="3:28" x14ac:dyDescent="0.2">
      <c r="C1015" s="69"/>
      <c r="D1015" s="70"/>
      <c r="S1015" s="34"/>
      <c r="T1015" s="60" t="str">
        <f>IF(P1015&lt;&gt;"",
    IF(OR(O1015="", Q1015="", R1015=""),
        "Fill all the required columns",
        IFERROR(
            IF(OR(
                AND(R1015="Marine Protected", VLOOKUP(O1015, Reference!$A$2:$D$34, 4, FALSE) &lt;= P1015),
                AND(R1015="General Use", VLOOKUP(O1015, Reference!$A$2:$D$34, 3, FALSE) &lt;= P1015)
            ),
                "Exceeded",
                "OK"
            ),
            "No Regulation defined"
        )
    ),
    ""
)</f>
        <v/>
      </c>
      <c r="AB1015" s="62" t="str">
        <f t="shared" si="15"/>
        <v/>
      </c>
    </row>
    <row r="1016" spans="3:28" x14ac:dyDescent="0.2">
      <c r="C1016" s="69"/>
      <c r="D1016" s="70"/>
      <c r="S1016" s="34"/>
      <c r="T1016" s="60" t="str">
        <f>IF(P1016&lt;&gt;"",
    IF(OR(O1016="", Q1016="", R1016=""),
        "Fill all the required columns",
        IFERROR(
            IF(OR(
                AND(R1016="Marine Protected", VLOOKUP(O1016, Reference!$A$2:$D$34, 4, FALSE) &lt;= P1016),
                AND(R1016="General Use", VLOOKUP(O1016, Reference!$A$2:$D$34, 3, FALSE) &lt;= P1016)
            ),
                "Exceeded",
                "OK"
            ),
            "No Regulation defined"
        )
    ),
    ""
)</f>
        <v/>
      </c>
      <c r="AB1016" s="62" t="str">
        <f t="shared" si="15"/>
        <v/>
      </c>
    </row>
    <row r="1017" spans="3:28" x14ac:dyDescent="0.2">
      <c r="C1017" s="69"/>
      <c r="D1017" s="70"/>
      <c r="S1017" s="34"/>
      <c r="T1017" s="60" t="str">
        <f>IF(P1017&lt;&gt;"",
    IF(OR(O1017="", Q1017="", R1017=""),
        "Fill all the required columns",
        IFERROR(
            IF(OR(
                AND(R1017="Marine Protected", VLOOKUP(O1017, Reference!$A$2:$D$34, 4, FALSE) &lt;= P1017),
                AND(R1017="General Use", VLOOKUP(O1017, Reference!$A$2:$D$34, 3, FALSE) &lt;= P1017)
            ),
                "Exceeded",
                "OK"
            ),
            "No Regulation defined"
        )
    ),
    ""
)</f>
        <v/>
      </c>
      <c r="AB1017" s="62" t="str">
        <f t="shared" si="15"/>
        <v/>
      </c>
    </row>
    <row r="1018" spans="3:28" x14ac:dyDescent="0.2">
      <c r="C1018" s="69"/>
      <c r="D1018" s="70"/>
      <c r="S1018" s="34"/>
      <c r="T1018" s="60" t="str">
        <f>IF(P1018&lt;&gt;"",
    IF(OR(O1018="", Q1018="", R1018=""),
        "Fill all the required columns",
        IFERROR(
            IF(OR(
                AND(R1018="Marine Protected", VLOOKUP(O1018, Reference!$A$2:$D$34, 4, FALSE) &lt;= P1018),
                AND(R1018="General Use", VLOOKUP(O1018, Reference!$A$2:$D$34, 3, FALSE) &lt;= P1018)
            ),
                "Exceeded",
                "OK"
            ),
            "No Regulation defined"
        )
    ),
    ""
)</f>
        <v/>
      </c>
      <c r="AB1018" s="62" t="str">
        <f t="shared" si="15"/>
        <v/>
      </c>
    </row>
    <row r="1019" spans="3:28" x14ac:dyDescent="0.2">
      <c r="C1019" s="69"/>
      <c r="D1019" s="70"/>
      <c r="S1019" s="34"/>
      <c r="T1019" s="60" t="str">
        <f>IF(P1019&lt;&gt;"",
    IF(OR(O1019="", Q1019="", R1019=""),
        "Fill all the required columns",
        IFERROR(
            IF(OR(
                AND(R1019="Marine Protected", VLOOKUP(O1019, Reference!$A$2:$D$34, 4, FALSE) &lt;= P1019),
                AND(R1019="General Use", VLOOKUP(O1019, Reference!$A$2:$D$34, 3, FALSE) &lt;= P1019)
            ),
                "Exceeded",
                "OK"
            ),
            "No Regulation defined"
        )
    ),
    ""
)</f>
        <v/>
      </c>
      <c r="AB1019" s="62" t="str">
        <f t="shared" si="15"/>
        <v/>
      </c>
    </row>
    <row r="1020" spans="3:28" x14ac:dyDescent="0.2">
      <c r="C1020" s="69"/>
      <c r="D1020" s="70"/>
      <c r="S1020" s="34"/>
      <c r="T1020" s="60" t="str">
        <f>IF(P1020&lt;&gt;"",
    IF(OR(O1020="", Q1020="", R1020=""),
        "Fill all the required columns",
        IFERROR(
            IF(OR(
                AND(R1020="Marine Protected", VLOOKUP(O1020, Reference!$A$2:$D$34, 4, FALSE) &lt;= P1020),
                AND(R1020="General Use", VLOOKUP(O1020, Reference!$A$2:$D$34, 3, FALSE) &lt;= P1020)
            ),
                "Exceeded",
                "OK"
            ),
            "No Regulation defined"
        )
    ),
    ""
)</f>
        <v/>
      </c>
      <c r="AB1020" s="62" t="str">
        <f t="shared" si="15"/>
        <v/>
      </c>
    </row>
    <row r="1021" spans="3:28" x14ac:dyDescent="0.2">
      <c r="C1021" s="69"/>
      <c r="D1021" s="70"/>
      <c r="S1021" s="34"/>
      <c r="T1021" s="60" t="str">
        <f>IF(P1021&lt;&gt;"",
    IF(OR(O1021="", Q1021="", R1021=""),
        "Fill all the required columns",
        IFERROR(
            IF(OR(
                AND(R1021="Marine Protected", VLOOKUP(O1021, Reference!$A$2:$D$34, 4, FALSE) &lt;= P1021),
                AND(R1021="General Use", VLOOKUP(O1021, Reference!$A$2:$D$34, 3, FALSE) &lt;= P1021)
            ),
                "Exceeded",
                "OK"
            ),
            "No Regulation defined"
        )
    ),
    ""
)</f>
        <v/>
      </c>
      <c r="AB1021" s="62" t="str">
        <f t="shared" si="15"/>
        <v/>
      </c>
    </row>
    <row r="1022" spans="3:28" x14ac:dyDescent="0.2">
      <c r="C1022" s="69"/>
      <c r="D1022" s="70"/>
      <c r="S1022" s="34"/>
      <c r="T1022" s="60" t="str">
        <f>IF(P1022&lt;&gt;"",
    IF(OR(O1022="", Q1022="", R1022=""),
        "Fill all the required columns",
        IFERROR(
            IF(OR(
                AND(R1022="Marine Protected", VLOOKUP(O1022, Reference!$A$2:$D$34, 4, FALSE) &lt;= P1022),
                AND(R1022="General Use", VLOOKUP(O1022, Reference!$A$2:$D$34, 3, FALSE) &lt;= P1022)
            ),
                "Exceeded",
                "OK"
            ),
            "No Regulation defined"
        )
    ),
    ""
)</f>
        <v/>
      </c>
      <c r="AB1022" s="62" t="str">
        <f t="shared" si="15"/>
        <v/>
      </c>
    </row>
    <row r="1023" spans="3:28" x14ac:dyDescent="0.2">
      <c r="C1023" s="69"/>
      <c r="D1023" s="70"/>
      <c r="S1023" s="34"/>
      <c r="T1023" s="60" t="str">
        <f>IF(P1023&lt;&gt;"",
    IF(OR(O1023="", Q1023="", R1023=""),
        "Fill all the required columns",
        IFERROR(
            IF(OR(
                AND(R1023="Marine Protected", VLOOKUP(O1023, Reference!$A$2:$D$34, 4, FALSE) &lt;= P1023),
                AND(R1023="General Use", VLOOKUP(O1023, Reference!$A$2:$D$34, 3, FALSE) &lt;= P1023)
            ),
                "Exceeded",
                "OK"
            ),
            "No Regulation defined"
        )
    ),
    ""
)</f>
        <v/>
      </c>
      <c r="AB1023" s="62" t="str">
        <f t="shared" si="15"/>
        <v/>
      </c>
    </row>
    <row r="1024" spans="3:28" x14ac:dyDescent="0.2">
      <c r="C1024" s="69"/>
      <c r="D1024" s="70"/>
      <c r="S1024" s="34"/>
      <c r="T1024" s="60" t="str">
        <f>IF(P1024&lt;&gt;"",
    IF(OR(O1024="", Q1024="", R1024=""),
        "Fill all the required columns",
        IFERROR(
            IF(OR(
                AND(R1024="Marine Protected", VLOOKUP(O1024, Reference!$A$2:$D$34, 4, FALSE) &lt;= P1024),
                AND(R1024="General Use", VLOOKUP(O1024, Reference!$A$2:$D$34, 3, FALSE) &lt;= P1024)
            ),
                "Exceeded",
                "OK"
            ),
            "No Regulation defined"
        )
    ),
    ""
)</f>
        <v/>
      </c>
      <c r="AB1024" s="62" t="str">
        <f t="shared" si="15"/>
        <v/>
      </c>
    </row>
    <row r="1025" spans="3:28" x14ac:dyDescent="0.2">
      <c r="C1025" s="69"/>
      <c r="D1025" s="70"/>
      <c r="S1025" s="34"/>
      <c r="T1025" s="60" t="str">
        <f>IF(P1025&lt;&gt;"",
    IF(OR(O1025="", Q1025="", R1025=""),
        "Fill all the required columns",
        IFERROR(
            IF(OR(
                AND(R1025="Marine Protected", VLOOKUP(O1025, Reference!$A$2:$D$34, 4, FALSE) &lt;= P1025),
                AND(R1025="General Use", VLOOKUP(O1025, Reference!$A$2:$D$34, 3, FALSE) &lt;= P1025)
            ),
                "Exceeded",
                "OK"
            ),
            "No Regulation defined"
        )
    ),
    ""
)</f>
        <v/>
      </c>
      <c r="AB1025" s="62" t="str">
        <f t="shared" si="15"/>
        <v/>
      </c>
    </row>
    <row r="1026" spans="3:28" x14ac:dyDescent="0.2">
      <c r="C1026" s="69"/>
      <c r="D1026" s="70"/>
      <c r="S1026" s="34"/>
      <c r="T1026" s="60" t="str">
        <f>IF(P1026&lt;&gt;"",
    IF(OR(O1026="", Q1026="", R1026=""),
        "Fill all the required columns",
        IFERROR(
            IF(OR(
                AND(R1026="Marine Protected", VLOOKUP(O1026, Reference!$A$2:$D$34, 4, FALSE) &lt;= P1026),
                AND(R1026="General Use", VLOOKUP(O1026, Reference!$A$2:$D$34, 3, FALSE) &lt;= P1026)
            ),
                "Exceeded",
                "OK"
            ),
            "No Regulation defined"
        )
    ),
    ""
)</f>
        <v/>
      </c>
      <c r="AB1026" s="62" t="str">
        <f t="shared" si="15"/>
        <v/>
      </c>
    </row>
    <row r="1027" spans="3:28" x14ac:dyDescent="0.2">
      <c r="C1027" s="69"/>
      <c r="D1027" s="70"/>
      <c r="S1027" s="34"/>
      <c r="T1027" s="60" t="str">
        <f>IF(P1027&lt;&gt;"",
    IF(OR(O1027="", Q1027="", R1027=""),
        "Fill all the required columns",
        IFERROR(
            IF(OR(
                AND(R1027="Marine Protected", VLOOKUP(O1027, Reference!$A$2:$D$34, 4, FALSE) &lt;= P1027),
                AND(R1027="General Use", VLOOKUP(O1027, Reference!$A$2:$D$34, 3, FALSE) &lt;= P1027)
            ),
                "Exceeded",
                "OK"
            ),
            "No Regulation defined"
        )
    ),
    ""
)</f>
        <v/>
      </c>
      <c r="AB1027" s="62" t="str">
        <f t="shared" ref="AB1027:AB1090" si="16">IF(COUNTA(A1027, E1027, F1027, H1027, I1027, O1027, P1027, Q1027, R1027,S1027) = 0, "", IF(COUNTA(A1027, E1027, F1027, H1027, I1027, O1027, P1027, Q1027, R1027,S1027) = 10, "OK", "Incomplete"))</f>
        <v/>
      </c>
    </row>
    <row r="1028" spans="3:28" x14ac:dyDescent="0.2">
      <c r="C1028" s="69"/>
      <c r="D1028" s="70"/>
      <c r="S1028" s="34"/>
      <c r="T1028" s="60" t="str">
        <f>IF(P1028&lt;&gt;"",
    IF(OR(O1028="", Q1028="", R1028=""),
        "Fill all the required columns",
        IFERROR(
            IF(OR(
                AND(R1028="Marine Protected", VLOOKUP(O1028, Reference!$A$2:$D$34, 4, FALSE) &lt;= P1028),
                AND(R1028="General Use", VLOOKUP(O1028, Reference!$A$2:$D$34, 3, FALSE) &lt;= P1028)
            ),
                "Exceeded",
                "OK"
            ),
            "No Regulation defined"
        )
    ),
    ""
)</f>
        <v/>
      </c>
      <c r="AB1028" s="62" t="str">
        <f t="shared" si="16"/>
        <v/>
      </c>
    </row>
    <row r="1029" spans="3:28" x14ac:dyDescent="0.2">
      <c r="C1029" s="69"/>
      <c r="D1029" s="70"/>
      <c r="S1029" s="34"/>
      <c r="T1029" s="60" t="str">
        <f>IF(P1029&lt;&gt;"",
    IF(OR(O1029="", Q1029="", R1029=""),
        "Fill all the required columns",
        IFERROR(
            IF(OR(
                AND(R1029="Marine Protected", VLOOKUP(O1029, Reference!$A$2:$D$34, 4, FALSE) &lt;= P1029),
                AND(R1029="General Use", VLOOKUP(O1029, Reference!$A$2:$D$34, 3, FALSE) &lt;= P1029)
            ),
                "Exceeded",
                "OK"
            ),
            "No Regulation defined"
        )
    ),
    ""
)</f>
        <v/>
      </c>
      <c r="AB1029" s="62" t="str">
        <f t="shared" si="16"/>
        <v/>
      </c>
    </row>
    <row r="1030" spans="3:28" x14ac:dyDescent="0.2">
      <c r="C1030" s="69"/>
      <c r="D1030" s="70"/>
      <c r="S1030" s="34"/>
      <c r="T1030" s="60" t="str">
        <f>IF(P1030&lt;&gt;"",
    IF(OR(O1030="", Q1030="", R1030=""),
        "Fill all the required columns",
        IFERROR(
            IF(OR(
                AND(R1030="Marine Protected", VLOOKUP(O1030, Reference!$A$2:$D$34, 4, FALSE) &lt;= P1030),
                AND(R1030="General Use", VLOOKUP(O1030, Reference!$A$2:$D$34, 3, FALSE) &lt;= P1030)
            ),
                "Exceeded",
                "OK"
            ),
            "No Regulation defined"
        )
    ),
    ""
)</f>
        <v/>
      </c>
      <c r="AB1030" s="62" t="str">
        <f t="shared" si="16"/>
        <v/>
      </c>
    </row>
    <row r="1031" spans="3:28" x14ac:dyDescent="0.2">
      <c r="C1031" s="69"/>
      <c r="D1031" s="70"/>
      <c r="S1031" s="34"/>
      <c r="T1031" s="60" t="str">
        <f>IF(P1031&lt;&gt;"",
    IF(OR(O1031="", Q1031="", R1031=""),
        "Fill all the required columns",
        IFERROR(
            IF(OR(
                AND(R1031="Marine Protected", VLOOKUP(O1031, Reference!$A$2:$D$34, 4, FALSE) &lt;= P1031),
                AND(R1031="General Use", VLOOKUP(O1031, Reference!$A$2:$D$34, 3, FALSE) &lt;= P1031)
            ),
                "Exceeded",
                "OK"
            ),
            "No Regulation defined"
        )
    ),
    ""
)</f>
        <v/>
      </c>
      <c r="AB1031" s="62" t="str">
        <f t="shared" si="16"/>
        <v/>
      </c>
    </row>
    <row r="1032" spans="3:28" x14ac:dyDescent="0.2">
      <c r="C1032" s="69"/>
      <c r="D1032" s="70"/>
      <c r="S1032" s="34"/>
      <c r="T1032" s="60" t="str">
        <f>IF(P1032&lt;&gt;"",
    IF(OR(O1032="", Q1032="", R1032=""),
        "Fill all the required columns",
        IFERROR(
            IF(OR(
                AND(R1032="Marine Protected", VLOOKUP(O1032, Reference!$A$2:$D$34, 4, FALSE) &lt;= P1032),
                AND(R1032="General Use", VLOOKUP(O1032, Reference!$A$2:$D$34, 3, FALSE) &lt;= P1032)
            ),
                "Exceeded",
                "OK"
            ),
            "No Regulation defined"
        )
    ),
    ""
)</f>
        <v/>
      </c>
      <c r="AB1032" s="62" t="str">
        <f t="shared" si="16"/>
        <v/>
      </c>
    </row>
    <row r="1033" spans="3:28" x14ac:dyDescent="0.2">
      <c r="C1033" s="69"/>
      <c r="D1033" s="70"/>
      <c r="S1033" s="34"/>
      <c r="T1033" s="60" t="str">
        <f>IF(P1033&lt;&gt;"",
    IF(OR(O1033="", Q1033="", R1033=""),
        "Fill all the required columns",
        IFERROR(
            IF(OR(
                AND(R1033="Marine Protected", VLOOKUP(O1033, Reference!$A$2:$D$34, 4, FALSE) &lt;= P1033),
                AND(R1033="General Use", VLOOKUP(O1033, Reference!$A$2:$D$34, 3, FALSE) &lt;= P1033)
            ),
                "Exceeded",
                "OK"
            ),
            "No Regulation defined"
        )
    ),
    ""
)</f>
        <v/>
      </c>
      <c r="AB1033" s="62" t="str">
        <f t="shared" si="16"/>
        <v/>
      </c>
    </row>
    <row r="1034" spans="3:28" x14ac:dyDescent="0.2">
      <c r="C1034" s="69"/>
      <c r="D1034" s="70"/>
      <c r="S1034" s="34"/>
      <c r="T1034" s="60" t="str">
        <f>IF(P1034&lt;&gt;"",
    IF(OR(O1034="", Q1034="", R1034=""),
        "Fill all the required columns",
        IFERROR(
            IF(OR(
                AND(R1034="Marine Protected", VLOOKUP(O1034, Reference!$A$2:$D$34, 4, FALSE) &lt;= P1034),
                AND(R1034="General Use", VLOOKUP(O1034, Reference!$A$2:$D$34, 3, FALSE) &lt;= P1034)
            ),
                "Exceeded",
                "OK"
            ),
            "No Regulation defined"
        )
    ),
    ""
)</f>
        <v/>
      </c>
      <c r="AB1034" s="62" t="str">
        <f t="shared" si="16"/>
        <v/>
      </c>
    </row>
    <row r="1035" spans="3:28" x14ac:dyDescent="0.2">
      <c r="C1035" s="69"/>
      <c r="D1035" s="70"/>
      <c r="S1035" s="34"/>
      <c r="T1035" s="60" t="str">
        <f>IF(P1035&lt;&gt;"",
    IF(OR(O1035="", Q1035="", R1035=""),
        "Fill all the required columns",
        IFERROR(
            IF(OR(
                AND(R1035="Marine Protected", VLOOKUP(O1035, Reference!$A$2:$D$34, 4, FALSE) &lt;= P1035),
                AND(R1035="General Use", VLOOKUP(O1035, Reference!$A$2:$D$34, 3, FALSE) &lt;= P1035)
            ),
                "Exceeded",
                "OK"
            ),
            "No Regulation defined"
        )
    ),
    ""
)</f>
        <v/>
      </c>
      <c r="AB1035" s="62" t="str">
        <f t="shared" si="16"/>
        <v/>
      </c>
    </row>
    <row r="1036" spans="3:28" x14ac:dyDescent="0.2">
      <c r="C1036" s="69"/>
      <c r="D1036" s="70"/>
      <c r="S1036" s="34"/>
      <c r="T1036" s="60" t="str">
        <f>IF(P1036&lt;&gt;"",
    IF(OR(O1036="", Q1036="", R1036=""),
        "Fill all the required columns",
        IFERROR(
            IF(OR(
                AND(R1036="Marine Protected", VLOOKUP(O1036, Reference!$A$2:$D$34, 4, FALSE) &lt;= P1036),
                AND(R1036="General Use", VLOOKUP(O1036, Reference!$A$2:$D$34, 3, FALSE) &lt;= P1036)
            ),
                "Exceeded",
                "OK"
            ),
            "No Regulation defined"
        )
    ),
    ""
)</f>
        <v/>
      </c>
      <c r="AB1036" s="62" t="str">
        <f t="shared" si="16"/>
        <v/>
      </c>
    </row>
    <row r="1037" spans="3:28" x14ac:dyDescent="0.2">
      <c r="C1037" s="69"/>
      <c r="D1037" s="70"/>
      <c r="S1037" s="34"/>
      <c r="T1037" s="60" t="str">
        <f>IF(P1037&lt;&gt;"",
    IF(OR(O1037="", Q1037="", R1037=""),
        "Fill all the required columns",
        IFERROR(
            IF(OR(
                AND(R1037="Marine Protected", VLOOKUP(O1037, Reference!$A$2:$D$34, 4, FALSE) &lt;= P1037),
                AND(R1037="General Use", VLOOKUP(O1037, Reference!$A$2:$D$34, 3, FALSE) &lt;= P1037)
            ),
                "Exceeded",
                "OK"
            ),
            "No Regulation defined"
        )
    ),
    ""
)</f>
        <v/>
      </c>
      <c r="AB1037" s="62" t="str">
        <f t="shared" si="16"/>
        <v/>
      </c>
    </row>
    <row r="1038" spans="3:28" x14ac:dyDescent="0.2">
      <c r="C1038" s="69"/>
      <c r="D1038" s="70"/>
      <c r="S1038" s="34"/>
      <c r="T1038" s="60" t="str">
        <f>IF(P1038&lt;&gt;"",
    IF(OR(O1038="", Q1038="", R1038=""),
        "Fill all the required columns",
        IFERROR(
            IF(OR(
                AND(R1038="Marine Protected", VLOOKUP(O1038, Reference!$A$2:$D$34, 4, FALSE) &lt;= P1038),
                AND(R1038="General Use", VLOOKUP(O1038, Reference!$A$2:$D$34, 3, FALSE) &lt;= P1038)
            ),
                "Exceeded",
                "OK"
            ),
            "No Regulation defined"
        )
    ),
    ""
)</f>
        <v/>
      </c>
      <c r="AB1038" s="62" t="str">
        <f t="shared" si="16"/>
        <v/>
      </c>
    </row>
    <row r="1039" spans="3:28" x14ac:dyDescent="0.2">
      <c r="C1039" s="69"/>
      <c r="D1039" s="70"/>
      <c r="S1039" s="34"/>
      <c r="T1039" s="60" t="str">
        <f>IF(P1039&lt;&gt;"",
    IF(OR(O1039="", Q1039="", R1039=""),
        "Fill all the required columns",
        IFERROR(
            IF(OR(
                AND(R1039="Marine Protected", VLOOKUP(O1039, Reference!$A$2:$D$34, 4, FALSE) &lt;= P1039),
                AND(R1039="General Use", VLOOKUP(O1039, Reference!$A$2:$D$34, 3, FALSE) &lt;= P1039)
            ),
                "Exceeded",
                "OK"
            ),
            "No Regulation defined"
        )
    ),
    ""
)</f>
        <v/>
      </c>
      <c r="AB1039" s="62" t="str">
        <f t="shared" si="16"/>
        <v/>
      </c>
    </row>
    <row r="1040" spans="3:28" x14ac:dyDescent="0.2">
      <c r="C1040" s="69"/>
      <c r="D1040" s="70"/>
      <c r="S1040" s="34"/>
      <c r="T1040" s="60" t="str">
        <f>IF(P1040&lt;&gt;"",
    IF(OR(O1040="", Q1040="", R1040=""),
        "Fill all the required columns",
        IFERROR(
            IF(OR(
                AND(R1040="Marine Protected", VLOOKUP(O1040, Reference!$A$2:$D$34, 4, FALSE) &lt;= P1040),
                AND(R1040="General Use", VLOOKUP(O1040, Reference!$A$2:$D$34, 3, FALSE) &lt;= P1040)
            ),
                "Exceeded",
                "OK"
            ),
            "No Regulation defined"
        )
    ),
    ""
)</f>
        <v/>
      </c>
      <c r="AB1040" s="62" t="str">
        <f t="shared" si="16"/>
        <v/>
      </c>
    </row>
    <row r="1041" spans="3:28" x14ac:dyDescent="0.2">
      <c r="C1041" s="69"/>
      <c r="D1041" s="70"/>
      <c r="S1041" s="34"/>
      <c r="T1041" s="60" t="str">
        <f>IF(P1041&lt;&gt;"",
    IF(OR(O1041="", Q1041="", R1041=""),
        "Fill all the required columns",
        IFERROR(
            IF(OR(
                AND(R1041="Marine Protected", VLOOKUP(O1041, Reference!$A$2:$D$34, 4, FALSE) &lt;= P1041),
                AND(R1041="General Use", VLOOKUP(O1041, Reference!$A$2:$D$34, 3, FALSE) &lt;= P1041)
            ),
                "Exceeded",
                "OK"
            ),
            "No Regulation defined"
        )
    ),
    ""
)</f>
        <v/>
      </c>
      <c r="AB1041" s="62" t="str">
        <f t="shared" si="16"/>
        <v/>
      </c>
    </row>
    <row r="1042" spans="3:28" x14ac:dyDescent="0.2">
      <c r="C1042" s="69"/>
      <c r="D1042" s="70"/>
      <c r="S1042" s="34"/>
      <c r="T1042" s="60" t="str">
        <f>IF(P1042&lt;&gt;"",
    IF(OR(O1042="", Q1042="", R1042=""),
        "Fill all the required columns",
        IFERROR(
            IF(OR(
                AND(R1042="Marine Protected", VLOOKUP(O1042, Reference!$A$2:$D$34, 4, FALSE) &lt;= P1042),
                AND(R1042="General Use", VLOOKUP(O1042, Reference!$A$2:$D$34, 3, FALSE) &lt;= P1042)
            ),
                "Exceeded",
                "OK"
            ),
            "No Regulation defined"
        )
    ),
    ""
)</f>
        <v/>
      </c>
      <c r="AB1042" s="62" t="str">
        <f t="shared" si="16"/>
        <v/>
      </c>
    </row>
    <row r="1043" spans="3:28" x14ac:dyDescent="0.2">
      <c r="C1043" s="69"/>
      <c r="D1043" s="70"/>
      <c r="S1043" s="34"/>
      <c r="T1043" s="60" t="str">
        <f>IF(P1043&lt;&gt;"",
    IF(OR(O1043="", Q1043="", R1043=""),
        "Fill all the required columns",
        IFERROR(
            IF(OR(
                AND(R1043="Marine Protected", VLOOKUP(O1043, Reference!$A$2:$D$34, 4, FALSE) &lt;= P1043),
                AND(R1043="General Use", VLOOKUP(O1043, Reference!$A$2:$D$34, 3, FALSE) &lt;= P1043)
            ),
                "Exceeded",
                "OK"
            ),
            "No Regulation defined"
        )
    ),
    ""
)</f>
        <v/>
      </c>
      <c r="AB1043" s="62" t="str">
        <f t="shared" si="16"/>
        <v/>
      </c>
    </row>
    <row r="1044" spans="3:28" x14ac:dyDescent="0.2">
      <c r="C1044" s="69"/>
      <c r="D1044" s="70"/>
      <c r="S1044" s="34"/>
      <c r="T1044" s="60" t="str">
        <f>IF(P1044&lt;&gt;"",
    IF(OR(O1044="", Q1044="", R1044=""),
        "Fill all the required columns",
        IFERROR(
            IF(OR(
                AND(R1044="Marine Protected", VLOOKUP(O1044, Reference!$A$2:$D$34, 4, FALSE) &lt;= P1044),
                AND(R1044="General Use", VLOOKUP(O1044, Reference!$A$2:$D$34, 3, FALSE) &lt;= P1044)
            ),
                "Exceeded",
                "OK"
            ),
            "No Regulation defined"
        )
    ),
    ""
)</f>
        <v/>
      </c>
      <c r="AB1044" s="62" t="str">
        <f t="shared" si="16"/>
        <v/>
      </c>
    </row>
    <row r="1045" spans="3:28" x14ac:dyDescent="0.2">
      <c r="C1045" s="69"/>
      <c r="D1045" s="70"/>
      <c r="S1045" s="34"/>
      <c r="T1045" s="60" t="str">
        <f>IF(P1045&lt;&gt;"",
    IF(OR(O1045="", Q1045="", R1045=""),
        "Fill all the required columns",
        IFERROR(
            IF(OR(
                AND(R1045="Marine Protected", VLOOKUP(O1045, Reference!$A$2:$D$34, 4, FALSE) &lt;= P1045),
                AND(R1045="General Use", VLOOKUP(O1045, Reference!$A$2:$D$34, 3, FALSE) &lt;= P1045)
            ),
                "Exceeded",
                "OK"
            ),
            "No Regulation defined"
        )
    ),
    ""
)</f>
        <v/>
      </c>
      <c r="AB1045" s="62" t="str">
        <f t="shared" si="16"/>
        <v/>
      </c>
    </row>
    <row r="1046" spans="3:28" x14ac:dyDescent="0.2">
      <c r="C1046" s="69"/>
      <c r="D1046" s="70"/>
      <c r="S1046" s="34"/>
      <c r="T1046" s="60" t="str">
        <f>IF(P1046&lt;&gt;"",
    IF(OR(O1046="", Q1046="", R1046=""),
        "Fill all the required columns",
        IFERROR(
            IF(OR(
                AND(R1046="Marine Protected", VLOOKUP(O1046, Reference!$A$2:$D$34, 4, FALSE) &lt;= P1046),
                AND(R1046="General Use", VLOOKUP(O1046, Reference!$A$2:$D$34, 3, FALSE) &lt;= P1046)
            ),
                "Exceeded",
                "OK"
            ),
            "No Regulation defined"
        )
    ),
    ""
)</f>
        <v/>
      </c>
      <c r="AB1046" s="62" t="str">
        <f t="shared" si="16"/>
        <v/>
      </c>
    </row>
    <row r="1047" spans="3:28" x14ac:dyDescent="0.2">
      <c r="C1047" s="69"/>
      <c r="D1047" s="70"/>
      <c r="S1047" s="34"/>
      <c r="T1047" s="60" t="str">
        <f>IF(P1047&lt;&gt;"",
    IF(OR(O1047="", Q1047="", R1047=""),
        "Fill all the required columns",
        IFERROR(
            IF(OR(
                AND(R1047="Marine Protected", VLOOKUP(O1047, Reference!$A$2:$D$34, 4, FALSE) &lt;= P1047),
                AND(R1047="General Use", VLOOKUP(O1047, Reference!$A$2:$D$34, 3, FALSE) &lt;= P1047)
            ),
                "Exceeded",
                "OK"
            ),
            "No Regulation defined"
        )
    ),
    ""
)</f>
        <v/>
      </c>
      <c r="AB1047" s="62" t="str">
        <f t="shared" si="16"/>
        <v/>
      </c>
    </row>
    <row r="1048" spans="3:28" x14ac:dyDescent="0.2">
      <c r="C1048" s="69"/>
      <c r="D1048" s="70"/>
      <c r="S1048" s="34"/>
      <c r="T1048" s="60" t="str">
        <f>IF(P1048&lt;&gt;"",
    IF(OR(O1048="", Q1048="", R1048=""),
        "Fill all the required columns",
        IFERROR(
            IF(OR(
                AND(R1048="Marine Protected", VLOOKUP(O1048, Reference!$A$2:$D$34, 4, FALSE) &lt;= P1048),
                AND(R1048="General Use", VLOOKUP(O1048, Reference!$A$2:$D$34, 3, FALSE) &lt;= P1048)
            ),
                "Exceeded",
                "OK"
            ),
            "No Regulation defined"
        )
    ),
    ""
)</f>
        <v/>
      </c>
      <c r="AB1048" s="62" t="str">
        <f t="shared" si="16"/>
        <v/>
      </c>
    </row>
    <row r="1049" spans="3:28" x14ac:dyDescent="0.2">
      <c r="C1049" s="69"/>
      <c r="D1049" s="70"/>
      <c r="S1049" s="34"/>
      <c r="T1049" s="60" t="str">
        <f>IF(P1049&lt;&gt;"",
    IF(OR(O1049="", Q1049="", R1049=""),
        "Fill all the required columns",
        IFERROR(
            IF(OR(
                AND(R1049="Marine Protected", VLOOKUP(O1049, Reference!$A$2:$D$34, 4, FALSE) &lt;= P1049),
                AND(R1049="General Use", VLOOKUP(O1049, Reference!$A$2:$D$34, 3, FALSE) &lt;= P1049)
            ),
                "Exceeded",
                "OK"
            ),
            "No Regulation defined"
        )
    ),
    ""
)</f>
        <v/>
      </c>
      <c r="AB1049" s="62" t="str">
        <f t="shared" si="16"/>
        <v/>
      </c>
    </row>
    <row r="1050" spans="3:28" x14ac:dyDescent="0.2">
      <c r="C1050" s="69"/>
      <c r="D1050" s="70"/>
      <c r="S1050" s="34"/>
      <c r="T1050" s="60" t="str">
        <f>IF(P1050&lt;&gt;"",
    IF(OR(O1050="", Q1050="", R1050=""),
        "Fill all the required columns",
        IFERROR(
            IF(OR(
                AND(R1050="Marine Protected", VLOOKUP(O1050, Reference!$A$2:$D$34, 4, FALSE) &lt;= P1050),
                AND(R1050="General Use", VLOOKUP(O1050, Reference!$A$2:$D$34, 3, FALSE) &lt;= P1050)
            ),
                "Exceeded",
                "OK"
            ),
            "No Regulation defined"
        )
    ),
    ""
)</f>
        <v/>
      </c>
      <c r="AB1050" s="62" t="str">
        <f t="shared" si="16"/>
        <v/>
      </c>
    </row>
    <row r="1051" spans="3:28" x14ac:dyDescent="0.2">
      <c r="C1051" s="69"/>
      <c r="D1051" s="70"/>
      <c r="S1051" s="34"/>
      <c r="T1051" s="60" t="str">
        <f>IF(P1051&lt;&gt;"",
    IF(OR(O1051="", Q1051="", R1051=""),
        "Fill all the required columns",
        IFERROR(
            IF(OR(
                AND(R1051="Marine Protected", VLOOKUP(O1051, Reference!$A$2:$D$34, 4, FALSE) &lt;= P1051),
                AND(R1051="General Use", VLOOKUP(O1051, Reference!$A$2:$D$34, 3, FALSE) &lt;= P1051)
            ),
                "Exceeded",
                "OK"
            ),
            "No Regulation defined"
        )
    ),
    ""
)</f>
        <v/>
      </c>
      <c r="AB1051" s="62" t="str">
        <f t="shared" si="16"/>
        <v/>
      </c>
    </row>
    <row r="1052" spans="3:28" x14ac:dyDescent="0.2">
      <c r="C1052" s="69"/>
      <c r="D1052" s="70"/>
      <c r="S1052" s="34"/>
      <c r="T1052" s="60" t="str">
        <f>IF(P1052&lt;&gt;"",
    IF(OR(O1052="", Q1052="", R1052=""),
        "Fill all the required columns",
        IFERROR(
            IF(OR(
                AND(R1052="Marine Protected", VLOOKUP(O1052, Reference!$A$2:$D$34, 4, FALSE) &lt;= P1052),
                AND(R1052="General Use", VLOOKUP(O1052, Reference!$A$2:$D$34, 3, FALSE) &lt;= P1052)
            ),
                "Exceeded",
                "OK"
            ),
            "No Regulation defined"
        )
    ),
    ""
)</f>
        <v/>
      </c>
      <c r="AB1052" s="62" t="str">
        <f t="shared" si="16"/>
        <v/>
      </c>
    </row>
    <row r="1053" spans="3:28" x14ac:dyDescent="0.2">
      <c r="C1053" s="69"/>
      <c r="D1053" s="70"/>
      <c r="S1053" s="34"/>
      <c r="T1053" s="60" t="str">
        <f>IF(P1053&lt;&gt;"",
    IF(OR(O1053="", Q1053="", R1053=""),
        "Fill all the required columns",
        IFERROR(
            IF(OR(
                AND(R1053="Marine Protected", VLOOKUP(O1053, Reference!$A$2:$D$34, 4, FALSE) &lt;= P1053),
                AND(R1053="General Use", VLOOKUP(O1053, Reference!$A$2:$D$34, 3, FALSE) &lt;= P1053)
            ),
                "Exceeded",
                "OK"
            ),
            "No Regulation defined"
        )
    ),
    ""
)</f>
        <v/>
      </c>
      <c r="AB1053" s="62" t="str">
        <f t="shared" si="16"/>
        <v/>
      </c>
    </row>
    <row r="1054" spans="3:28" x14ac:dyDescent="0.2">
      <c r="C1054" s="69"/>
      <c r="D1054" s="70"/>
      <c r="S1054" s="34"/>
      <c r="T1054" s="60" t="str">
        <f>IF(P1054&lt;&gt;"",
    IF(OR(O1054="", Q1054="", R1054=""),
        "Fill all the required columns",
        IFERROR(
            IF(OR(
                AND(R1054="Marine Protected", VLOOKUP(O1054, Reference!$A$2:$D$34, 4, FALSE) &lt;= P1054),
                AND(R1054="General Use", VLOOKUP(O1054, Reference!$A$2:$D$34, 3, FALSE) &lt;= P1054)
            ),
                "Exceeded",
                "OK"
            ),
            "No Regulation defined"
        )
    ),
    ""
)</f>
        <v/>
      </c>
      <c r="AB1054" s="62" t="str">
        <f t="shared" si="16"/>
        <v/>
      </c>
    </row>
    <row r="1055" spans="3:28" x14ac:dyDescent="0.2">
      <c r="C1055" s="69"/>
      <c r="D1055" s="70"/>
      <c r="S1055" s="34"/>
      <c r="T1055" s="60" t="str">
        <f>IF(P1055&lt;&gt;"",
    IF(OR(O1055="", Q1055="", R1055=""),
        "Fill all the required columns",
        IFERROR(
            IF(OR(
                AND(R1055="Marine Protected", VLOOKUP(O1055, Reference!$A$2:$D$34, 4, FALSE) &lt;= P1055),
                AND(R1055="General Use", VLOOKUP(O1055, Reference!$A$2:$D$34, 3, FALSE) &lt;= P1055)
            ),
                "Exceeded",
                "OK"
            ),
            "No Regulation defined"
        )
    ),
    ""
)</f>
        <v/>
      </c>
      <c r="AB1055" s="62" t="str">
        <f t="shared" si="16"/>
        <v/>
      </c>
    </row>
    <row r="1056" spans="3:28" x14ac:dyDescent="0.2">
      <c r="C1056" s="69"/>
      <c r="D1056" s="70"/>
      <c r="S1056" s="34"/>
      <c r="T1056" s="60" t="str">
        <f>IF(P1056&lt;&gt;"",
    IF(OR(O1056="", Q1056="", R1056=""),
        "Fill all the required columns",
        IFERROR(
            IF(OR(
                AND(R1056="Marine Protected", VLOOKUP(O1056, Reference!$A$2:$D$34, 4, FALSE) &lt;= P1056),
                AND(R1056="General Use", VLOOKUP(O1056, Reference!$A$2:$D$34, 3, FALSE) &lt;= P1056)
            ),
                "Exceeded",
                "OK"
            ),
            "No Regulation defined"
        )
    ),
    ""
)</f>
        <v/>
      </c>
      <c r="AB1056" s="62" t="str">
        <f t="shared" si="16"/>
        <v/>
      </c>
    </row>
    <row r="1057" spans="3:28" x14ac:dyDescent="0.2">
      <c r="C1057" s="69"/>
      <c r="D1057" s="70"/>
      <c r="S1057" s="34"/>
      <c r="T1057" s="60" t="str">
        <f>IF(P1057&lt;&gt;"",
    IF(OR(O1057="", Q1057="", R1057=""),
        "Fill all the required columns",
        IFERROR(
            IF(OR(
                AND(R1057="Marine Protected", VLOOKUP(O1057, Reference!$A$2:$D$34, 4, FALSE) &lt;= P1057),
                AND(R1057="General Use", VLOOKUP(O1057, Reference!$A$2:$D$34, 3, FALSE) &lt;= P1057)
            ),
                "Exceeded",
                "OK"
            ),
            "No Regulation defined"
        )
    ),
    ""
)</f>
        <v/>
      </c>
      <c r="AB1057" s="62" t="str">
        <f t="shared" si="16"/>
        <v/>
      </c>
    </row>
    <row r="1058" spans="3:28" x14ac:dyDescent="0.2">
      <c r="C1058" s="69"/>
      <c r="D1058" s="70"/>
      <c r="S1058" s="34"/>
      <c r="T1058" s="60" t="str">
        <f>IF(P1058&lt;&gt;"",
    IF(OR(O1058="", Q1058="", R1058=""),
        "Fill all the required columns",
        IFERROR(
            IF(OR(
                AND(R1058="Marine Protected", VLOOKUP(O1058, Reference!$A$2:$D$34, 4, FALSE) &lt;= P1058),
                AND(R1058="General Use", VLOOKUP(O1058, Reference!$A$2:$D$34, 3, FALSE) &lt;= P1058)
            ),
                "Exceeded",
                "OK"
            ),
            "No Regulation defined"
        )
    ),
    ""
)</f>
        <v/>
      </c>
      <c r="AB1058" s="62" t="str">
        <f t="shared" si="16"/>
        <v/>
      </c>
    </row>
    <row r="1059" spans="3:28" x14ac:dyDescent="0.2">
      <c r="C1059" s="69"/>
      <c r="D1059" s="70"/>
      <c r="S1059" s="34"/>
      <c r="T1059" s="60" t="str">
        <f>IF(P1059&lt;&gt;"",
    IF(OR(O1059="", Q1059="", R1059=""),
        "Fill all the required columns",
        IFERROR(
            IF(OR(
                AND(R1059="Marine Protected", VLOOKUP(O1059, Reference!$A$2:$D$34, 4, FALSE) &lt;= P1059),
                AND(R1059="General Use", VLOOKUP(O1059, Reference!$A$2:$D$34, 3, FALSE) &lt;= P1059)
            ),
                "Exceeded",
                "OK"
            ),
            "No Regulation defined"
        )
    ),
    ""
)</f>
        <v/>
      </c>
      <c r="AB1059" s="62" t="str">
        <f t="shared" si="16"/>
        <v/>
      </c>
    </row>
    <row r="1060" spans="3:28" x14ac:dyDescent="0.2">
      <c r="C1060" s="69"/>
      <c r="D1060" s="70"/>
      <c r="S1060" s="34"/>
      <c r="T1060" s="60" t="str">
        <f>IF(P1060&lt;&gt;"",
    IF(OR(O1060="", Q1060="", R1060=""),
        "Fill all the required columns",
        IFERROR(
            IF(OR(
                AND(R1060="Marine Protected", VLOOKUP(O1060, Reference!$A$2:$D$34, 4, FALSE) &lt;= P1060),
                AND(R1060="General Use", VLOOKUP(O1060, Reference!$A$2:$D$34, 3, FALSE) &lt;= P1060)
            ),
                "Exceeded",
                "OK"
            ),
            "No Regulation defined"
        )
    ),
    ""
)</f>
        <v/>
      </c>
      <c r="AB1060" s="62" t="str">
        <f t="shared" si="16"/>
        <v/>
      </c>
    </row>
    <row r="1061" spans="3:28" x14ac:dyDescent="0.2">
      <c r="C1061" s="69"/>
      <c r="D1061" s="70"/>
      <c r="S1061" s="34"/>
      <c r="T1061" s="60" t="str">
        <f>IF(P1061&lt;&gt;"",
    IF(OR(O1061="", Q1061="", R1061=""),
        "Fill all the required columns",
        IFERROR(
            IF(OR(
                AND(R1061="Marine Protected", VLOOKUP(O1061, Reference!$A$2:$D$34, 4, FALSE) &lt;= P1061),
                AND(R1061="General Use", VLOOKUP(O1061, Reference!$A$2:$D$34, 3, FALSE) &lt;= P1061)
            ),
                "Exceeded",
                "OK"
            ),
            "No Regulation defined"
        )
    ),
    ""
)</f>
        <v/>
      </c>
      <c r="AB1061" s="62" t="str">
        <f t="shared" si="16"/>
        <v/>
      </c>
    </row>
    <row r="1062" spans="3:28" x14ac:dyDescent="0.2">
      <c r="C1062" s="69"/>
      <c r="D1062" s="70"/>
      <c r="S1062" s="34"/>
      <c r="T1062" s="60" t="str">
        <f>IF(P1062&lt;&gt;"",
    IF(OR(O1062="", Q1062="", R1062=""),
        "Fill all the required columns",
        IFERROR(
            IF(OR(
                AND(R1062="Marine Protected", VLOOKUP(O1062, Reference!$A$2:$D$34, 4, FALSE) &lt;= P1062),
                AND(R1062="General Use", VLOOKUP(O1062, Reference!$A$2:$D$34, 3, FALSE) &lt;= P1062)
            ),
                "Exceeded",
                "OK"
            ),
            "No Regulation defined"
        )
    ),
    ""
)</f>
        <v/>
      </c>
      <c r="AB1062" s="62" t="str">
        <f t="shared" si="16"/>
        <v/>
      </c>
    </row>
    <row r="1063" spans="3:28" x14ac:dyDescent="0.2">
      <c r="C1063" s="69"/>
      <c r="D1063" s="70"/>
      <c r="S1063" s="34"/>
      <c r="T1063" s="60" t="str">
        <f>IF(P1063&lt;&gt;"",
    IF(OR(O1063="", Q1063="", R1063=""),
        "Fill all the required columns",
        IFERROR(
            IF(OR(
                AND(R1063="Marine Protected", VLOOKUP(O1063, Reference!$A$2:$D$34, 4, FALSE) &lt;= P1063),
                AND(R1063="General Use", VLOOKUP(O1063, Reference!$A$2:$D$34, 3, FALSE) &lt;= P1063)
            ),
                "Exceeded",
                "OK"
            ),
            "No Regulation defined"
        )
    ),
    ""
)</f>
        <v/>
      </c>
      <c r="AB1063" s="62" t="str">
        <f t="shared" si="16"/>
        <v/>
      </c>
    </row>
    <row r="1064" spans="3:28" x14ac:dyDescent="0.2">
      <c r="C1064" s="69"/>
      <c r="D1064" s="70"/>
      <c r="S1064" s="34"/>
      <c r="T1064" s="60" t="str">
        <f>IF(P1064&lt;&gt;"",
    IF(OR(O1064="", Q1064="", R1064=""),
        "Fill all the required columns",
        IFERROR(
            IF(OR(
                AND(R1064="Marine Protected", VLOOKUP(O1064, Reference!$A$2:$D$34, 4, FALSE) &lt;= P1064),
                AND(R1064="General Use", VLOOKUP(O1064, Reference!$A$2:$D$34, 3, FALSE) &lt;= P1064)
            ),
                "Exceeded",
                "OK"
            ),
            "No Regulation defined"
        )
    ),
    ""
)</f>
        <v/>
      </c>
      <c r="AB1064" s="62" t="str">
        <f t="shared" si="16"/>
        <v/>
      </c>
    </row>
    <row r="1065" spans="3:28" x14ac:dyDescent="0.2">
      <c r="C1065" s="69"/>
      <c r="D1065" s="70"/>
      <c r="S1065" s="34"/>
      <c r="T1065" s="60" t="str">
        <f>IF(P1065&lt;&gt;"",
    IF(OR(O1065="", Q1065="", R1065=""),
        "Fill all the required columns",
        IFERROR(
            IF(OR(
                AND(R1065="Marine Protected", VLOOKUP(O1065, Reference!$A$2:$D$34, 4, FALSE) &lt;= P1065),
                AND(R1065="General Use", VLOOKUP(O1065, Reference!$A$2:$D$34, 3, FALSE) &lt;= P1065)
            ),
                "Exceeded",
                "OK"
            ),
            "No Regulation defined"
        )
    ),
    ""
)</f>
        <v/>
      </c>
      <c r="AB1065" s="62" t="str">
        <f t="shared" si="16"/>
        <v/>
      </c>
    </row>
    <row r="1066" spans="3:28" x14ac:dyDescent="0.2">
      <c r="C1066" s="69"/>
      <c r="D1066" s="70"/>
      <c r="S1066" s="34"/>
      <c r="T1066" s="60" t="str">
        <f>IF(P1066&lt;&gt;"",
    IF(OR(O1066="", Q1066="", R1066=""),
        "Fill all the required columns",
        IFERROR(
            IF(OR(
                AND(R1066="Marine Protected", VLOOKUP(O1066, Reference!$A$2:$D$34, 4, FALSE) &lt;= P1066),
                AND(R1066="General Use", VLOOKUP(O1066, Reference!$A$2:$D$34, 3, FALSE) &lt;= P1066)
            ),
                "Exceeded",
                "OK"
            ),
            "No Regulation defined"
        )
    ),
    ""
)</f>
        <v/>
      </c>
      <c r="AB1066" s="62" t="str">
        <f t="shared" si="16"/>
        <v/>
      </c>
    </row>
    <row r="1067" spans="3:28" x14ac:dyDescent="0.2">
      <c r="C1067" s="69"/>
      <c r="D1067" s="70"/>
      <c r="S1067" s="34"/>
      <c r="T1067" s="60" t="str">
        <f>IF(P1067&lt;&gt;"",
    IF(OR(O1067="", Q1067="", R1067=""),
        "Fill all the required columns",
        IFERROR(
            IF(OR(
                AND(R1067="Marine Protected", VLOOKUP(O1067, Reference!$A$2:$D$34, 4, FALSE) &lt;= P1067),
                AND(R1067="General Use", VLOOKUP(O1067, Reference!$A$2:$D$34, 3, FALSE) &lt;= P1067)
            ),
                "Exceeded",
                "OK"
            ),
            "No Regulation defined"
        )
    ),
    ""
)</f>
        <v/>
      </c>
      <c r="AB1067" s="62" t="str">
        <f t="shared" si="16"/>
        <v/>
      </c>
    </row>
    <row r="1068" spans="3:28" x14ac:dyDescent="0.2">
      <c r="C1068" s="69"/>
      <c r="D1068" s="70"/>
      <c r="S1068" s="34"/>
      <c r="T1068" s="60" t="str">
        <f>IF(P1068&lt;&gt;"",
    IF(OR(O1068="", Q1068="", R1068=""),
        "Fill all the required columns",
        IFERROR(
            IF(OR(
                AND(R1068="Marine Protected", VLOOKUP(O1068, Reference!$A$2:$D$34, 4, FALSE) &lt;= P1068),
                AND(R1068="General Use", VLOOKUP(O1068, Reference!$A$2:$D$34, 3, FALSE) &lt;= P1068)
            ),
                "Exceeded",
                "OK"
            ),
            "No Regulation defined"
        )
    ),
    ""
)</f>
        <v/>
      </c>
      <c r="AB1068" s="62" t="str">
        <f t="shared" si="16"/>
        <v/>
      </c>
    </row>
    <row r="1069" spans="3:28" x14ac:dyDescent="0.2">
      <c r="C1069" s="69"/>
      <c r="D1069" s="70"/>
      <c r="S1069" s="34"/>
      <c r="T1069" s="60" t="str">
        <f>IF(P1069&lt;&gt;"",
    IF(OR(O1069="", Q1069="", R1069=""),
        "Fill all the required columns",
        IFERROR(
            IF(OR(
                AND(R1069="Marine Protected", VLOOKUP(O1069, Reference!$A$2:$D$34, 4, FALSE) &lt;= P1069),
                AND(R1069="General Use", VLOOKUP(O1069, Reference!$A$2:$D$34, 3, FALSE) &lt;= P1069)
            ),
                "Exceeded",
                "OK"
            ),
            "No Regulation defined"
        )
    ),
    ""
)</f>
        <v/>
      </c>
      <c r="AB1069" s="62" t="str">
        <f t="shared" si="16"/>
        <v/>
      </c>
    </row>
    <row r="1070" spans="3:28" x14ac:dyDescent="0.2">
      <c r="C1070" s="69"/>
      <c r="D1070" s="70"/>
      <c r="S1070" s="34"/>
      <c r="T1070" s="60" t="str">
        <f>IF(P1070&lt;&gt;"",
    IF(OR(O1070="", Q1070="", R1070=""),
        "Fill all the required columns",
        IFERROR(
            IF(OR(
                AND(R1070="Marine Protected", VLOOKUP(O1070, Reference!$A$2:$D$34, 4, FALSE) &lt;= P1070),
                AND(R1070="General Use", VLOOKUP(O1070, Reference!$A$2:$D$34, 3, FALSE) &lt;= P1070)
            ),
                "Exceeded",
                "OK"
            ),
            "No Regulation defined"
        )
    ),
    ""
)</f>
        <v/>
      </c>
      <c r="AB1070" s="62" t="str">
        <f t="shared" si="16"/>
        <v/>
      </c>
    </row>
    <row r="1071" spans="3:28" x14ac:dyDescent="0.2">
      <c r="C1071" s="69"/>
      <c r="D1071" s="70"/>
      <c r="S1071" s="34"/>
      <c r="T1071" s="60" t="str">
        <f>IF(P1071&lt;&gt;"",
    IF(OR(O1071="", Q1071="", R1071=""),
        "Fill all the required columns",
        IFERROR(
            IF(OR(
                AND(R1071="Marine Protected", VLOOKUP(O1071, Reference!$A$2:$D$34, 4, FALSE) &lt;= P1071),
                AND(R1071="General Use", VLOOKUP(O1071, Reference!$A$2:$D$34, 3, FALSE) &lt;= P1071)
            ),
                "Exceeded",
                "OK"
            ),
            "No Regulation defined"
        )
    ),
    ""
)</f>
        <v/>
      </c>
      <c r="AB1071" s="62" t="str">
        <f t="shared" si="16"/>
        <v/>
      </c>
    </row>
    <row r="1072" spans="3:28" x14ac:dyDescent="0.2">
      <c r="C1072" s="69"/>
      <c r="D1072" s="70"/>
      <c r="S1072" s="34"/>
      <c r="T1072" s="60" t="str">
        <f>IF(P1072&lt;&gt;"",
    IF(OR(O1072="", Q1072="", R1072=""),
        "Fill all the required columns",
        IFERROR(
            IF(OR(
                AND(R1072="Marine Protected", VLOOKUP(O1072, Reference!$A$2:$D$34, 4, FALSE) &lt;= P1072),
                AND(R1072="General Use", VLOOKUP(O1072, Reference!$A$2:$D$34, 3, FALSE) &lt;= P1072)
            ),
                "Exceeded",
                "OK"
            ),
            "No Regulation defined"
        )
    ),
    ""
)</f>
        <v/>
      </c>
      <c r="AB1072" s="62" t="str">
        <f t="shared" si="16"/>
        <v/>
      </c>
    </row>
    <row r="1073" spans="3:28" x14ac:dyDescent="0.2">
      <c r="C1073" s="69"/>
      <c r="D1073" s="70"/>
      <c r="S1073" s="34"/>
      <c r="T1073" s="60" t="str">
        <f>IF(P1073&lt;&gt;"",
    IF(OR(O1073="", Q1073="", R1073=""),
        "Fill all the required columns",
        IFERROR(
            IF(OR(
                AND(R1073="Marine Protected", VLOOKUP(O1073, Reference!$A$2:$D$34, 4, FALSE) &lt;= P1073),
                AND(R1073="General Use", VLOOKUP(O1073, Reference!$A$2:$D$34, 3, FALSE) &lt;= P1073)
            ),
                "Exceeded",
                "OK"
            ),
            "No Regulation defined"
        )
    ),
    ""
)</f>
        <v/>
      </c>
      <c r="AB1073" s="62" t="str">
        <f t="shared" si="16"/>
        <v/>
      </c>
    </row>
    <row r="1074" spans="3:28" x14ac:dyDescent="0.2">
      <c r="C1074" s="69"/>
      <c r="D1074" s="70"/>
      <c r="S1074" s="34"/>
      <c r="T1074" s="60" t="str">
        <f>IF(P1074&lt;&gt;"",
    IF(OR(O1074="", Q1074="", R1074=""),
        "Fill all the required columns",
        IFERROR(
            IF(OR(
                AND(R1074="Marine Protected", VLOOKUP(O1074, Reference!$A$2:$D$34, 4, FALSE) &lt;= P1074),
                AND(R1074="General Use", VLOOKUP(O1074, Reference!$A$2:$D$34, 3, FALSE) &lt;= P1074)
            ),
                "Exceeded",
                "OK"
            ),
            "No Regulation defined"
        )
    ),
    ""
)</f>
        <v/>
      </c>
      <c r="AB1074" s="62" t="str">
        <f t="shared" si="16"/>
        <v/>
      </c>
    </row>
    <row r="1075" spans="3:28" x14ac:dyDescent="0.2">
      <c r="C1075" s="69"/>
      <c r="D1075" s="70"/>
      <c r="S1075" s="34"/>
      <c r="T1075" s="60" t="str">
        <f>IF(P1075&lt;&gt;"",
    IF(OR(O1075="", Q1075="", R1075=""),
        "Fill all the required columns",
        IFERROR(
            IF(OR(
                AND(R1075="Marine Protected", VLOOKUP(O1075, Reference!$A$2:$D$34, 4, FALSE) &lt;= P1075),
                AND(R1075="General Use", VLOOKUP(O1075, Reference!$A$2:$D$34, 3, FALSE) &lt;= P1075)
            ),
                "Exceeded",
                "OK"
            ),
            "No Regulation defined"
        )
    ),
    ""
)</f>
        <v/>
      </c>
      <c r="AB1075" s="62" t="str">
        <f t="shared" si="16"/>
        <v/>
      </c>
    </row>
    <row r="1076" spans="3:28" x14ac:dyDescent="0.2">
      <c r="C1076" s="69"/>
      <c r="D1076" s="70"/>
      <c r="S1076" s="34"/>
      <c r="T1076" s="60" t="str">
        <f>IF(P1076&lt;&gt;"",
    IF(OR(O1076="", Q1076="", R1076=""),
        "Fill all the required columns",
        IFERROR(
            IF(OR(
                AND(R1076="Marine Protected", VLOOKUP(O1076, Reference!$A$2:$D$34, 4, FALSE) &lt;= P1076),
                AND(R1076="General Use", VLOOKUP(O1076, Reference!$A$2:$D$34, 3, FALSE) &lt;= P1076)
            ),
                "Exceeded",
                "OK"
            ),
            "No Regulation defined"
        )
    ),
    ""
)</f>
        <v/>
      </c>
      <c r="AB1076" s="62" t="str">
        <f t="shared" si="16"/>
        <v/>
      </c>
    </row>
    <row r="1077" spans="3:28" x14ac:dyDescent="0.2">
      <c r="C1077" s="69"/>
      <c r="D1077" s="70"/>
      <c r="S1077" s="34"/>
      <c r="T1077" s="60" t="str">
        <f>IF(P1077&lt;&gt;"",
    IF(OR(O1077="", Q1077="", R1077=""),
        "Fill all the required columns",
        IFERROR(
            IF(OR(
                AND(R1077="Marine Protected", VLOOKUP(O1077, Reference!$A$2:$D$34, 4, FALSE) &lt;= P1077),
                AND(R1077="General Use", VLOOKUP(O1077, Reference!$A$2:$D$34, 3, FALSE) &lt;= P1077)
            ),
                "Exceeded",
                "OK"
            ),
            "No Regulation defined"
        )
    ),
    ""
)</f>
        <v/>
      </c>
      <c r="AB1077" s="62" t="str">
        <f t="shared" si="16"/>
        <v/>
      </c>
    </row>
    <row r="1078" spans="3:28" x14ac:dyDescent="0.2">
      <c r="C1078" s="69"/>
      <c r="D1078" s="70"/>
      <c r="S1078" s="34"/>
      <c r="T1078" s="60" t="str">
        <f>IF(P1078&lt;&gt;"",
    IF(OR(O1078="", Q1078="", R1078=""),
        "Fill all the required columns",
        IFERROR(
            IF(OR(
                AND(R1078="Marine Protected", VLOOKUP(O1078, Reference!$A$2:$D$34, 4, FALSE) &lt;= P1078),
                AND(R1078="General Use", VLOOKUP(O1078, Reference!$A$2:$D$34, 3, FALSE) &lt;= P1078)
            ),
                "Exceeded",
                "OK"
            ),
            "No Regulation defined"
        )
    ),
    ""
)</f>
        <v/>
      </c>
      <c r="AB1078" s="62" t="str">
        <f t="shared" si="16"/>
        <v/>
      </c>
    </row>
    <row r="1079" spans="3:28" x14ac:dyDescent="0.2">
      <c r="C1079" s="69"/>
      <c r="D1079" s="70"/>
      <c r="S1079" s="34"/>
      <c r="T1079" s="60" t="str">
        <f>IF(P1079&lt;&gt;"",
    IF(OR(O1079="", Q1079="", R1079=""),
        "Fill all the required columns",
        IFERROR(
            IF(OR(
                AND(R1079="Marine Protected", VLOOKUP(O1079, Reference!$A$2:$D$34, 4, FALSE) &lt;= P1079),
                AND(R1079="General Use", VLOOKUP(O1079, Reference!$A$2:$D$34, 3, FALSE) &lt;= P1079)
            ),
                "Exceeded",
                "OK"
            ),
            "No Regulation defined"
        )
    ),
    ""
)</f>
        <v/>
      </c>
      <c r="AB1079" s="62" t="str">
        <f t="shared" si="16"/>
        <v/>
      </c>
    </row>
    <row r="1080" spans="3:28" x14ac:dyDescent="0.2">
      <c r="C1080" s="69"/>
      <c r="D1080" s="70"/>
      <c r="S1080" s="34"/>
      <c r="T1080" s="60" t="str">
        <f>IF(P1080&lt;&gt;"",
    IF(OR(O1080="", Q1080="", R1080=""),
        "Fill all the required columns",
        IFERROR(
            IF(OR(
                AND(R1080="Marine Protected", VLOOKUP(O1080, Reference!$A$2:$D$34, 4, FALSE) &lt;= P1080),
                AND(R1080="General Use", VLOOKUP(O1080, Reference!$A$2:$D$34, 3, FALSE) &lt;= P1080)
            ),
                "Exceeded",
                "OK"
            ),
            "No Regulation defined"
        )
    ),
    ""
)</f>
        <v/>
      </c>
      <c r="AB1080" s="62" t="str">
        <f t="shared" si="16"/>
        <v/>
      </c>
    </row>
    <row r="1081" spans="3:28" x14ac:dyDescent="0.2">
      <c r="C1081" s="69"/>
      <c r="D1081" s="70"/>
      <c r="S1081" s="34"/>
      <c r="T1081" s="60" t="str">
        <f>IF(P1081&lt;&gt;"",
    IF(OR(O1081="", Q1081="", R1081=""),
        "Fill all the required columns",
        IFERROR(
            IF(OR(
                AND(R1081="Marine Protected", VLOOKUP(O1081, Reference!$A$2:$D$34, 4, FALSE) &lt;= P1081),
                AND(R1081="General Use", VLOOKUP(O1081, Reference!$A$2:$D$34, 3, FALSE) &lt;= P1081)
            ),
                "Exceeded",
                "OK"
            ),
            "No Regulation defined"
        )
    ),
    ""
)</f>
        <v/>
      </c>
      <c r="AB1081" s="62" t="str">
        <f t="shared" si="16"/>
        <v/>
      </c>
    </row>
    <row r="1082" spans="3:28" x14ac:dyDescent="0.2">
      <c r="C1082" s="69"/>
      <c r="D1082" s="70"/>
      <c r="S1082" s="34"/>
      <c r="T1082" s="60" t="str">
        <f>IF(P1082&lt;&gt;"",
    IF(OR(O1082="", Q1082="", R1082=""),
        "Fill all the required columns",
        IFERROR(
            IF(OR(
                AND(R1082="Marine Protected", VLOOKUP(O1082, Reference!$A$2:$D$34, 4, FALSE) &lt;= P1082),
                AND(R1082="General Use", VLOOKUP(O1082, Reference!$A$2:$D$34, 3, FALSE) &lt;= P1082)
            ),
                "Exceeded",
                "OK"
            ),
            "No Regulation defined"
        )
    ),
    ""
)</f>
        <v/>
      </c>
      <c r="AB1082" s="62" t="str">
        <f t="shared" si="16"/>
        <v/>
      </c>
    </row>
    <row r="1083" spans="3:28" x14ac:dyDescent="0.2">
      <c r="C1083" s="69"/>
      <c r="D1083" s="70"/>
      <c r="S1083" s="34"/>
      <c r="T1083" s="60" t="str">
        <f>IF(P1083&lt;&gt;"",
    IF(OR(O1083="", Q1083="", R1083=""),
        "Fill all the required columns",
        IFERROR(
            IF(OR(
                AND(R1083="Marine Protected", VLOOKUP(O1083, Reference!$A$2:$D$34, 4, FALSE) &lt;= P1083),
                AND(R1083="General Use", VLOOKUP(O1083, Reference!$A$2:$D$34, 3, FALSE) &lt;= P1083)
            ),
                "Exceeded",
                "OK"
            ),
            "No Regulation defined"
        )
    ),
    ""
)</f>
        <v/>
      </c>
      <c r="AB1083" s="62" t="str">
        <f t="shared" si="16"/>
        <v/>
      </c>
    </row>
    <row r="1084" spans="3:28" x14ac:dyDescent="0.2">
      <c r="C1084" s="69"/>
      <c r="D1084" s="70"/>
      <c r="S1084" s="34"/>
      <c r="T1084" s="60" t="str">
        <f>IF(P1084&lt;&gt;"",
    IF(OR(O1084="", Q1084="", R1084=""),
        "Fill all the required columns",
        IFERROR(
            IF(OR(
                AND(R1084="Marine Protected", VLOOKUP(O1084, Reference!$A$2:$D$34, 4, FALSE) &lt;= P1084),
                AND(R1084="General Use", VLOOKUP(O1084, Reference!$A$2:$D$34, 3, FALSE) &lt;= P1084)
            ),
                "Exceeded",
                "OK"
            ),
            "No Regulation defined"
        )
    ),
    ""
)</f>
        <v/>
      </c>
      <c r="AB1084" s="62" t="str">
        <f t="shared" si="16"/>
        <v/>
      </c>
    </row>
    <row r="1085" spans="3:28" x14ac:dyDescent="0.2">
      <c r="C1085" s="69"/>
      <c r="D1085" s="70"/>
      <c r="S1085" s="34"/>
      <c r="T1085" s="60" t="str">
        <f>IF(P1085&lt;&gt;"",
    IF(OR(O1085="", Q1085="", R1085=""),
        "Fill all the required columns",
        IFERROR(
            IF(OR(
                AND(R1085="Marine Protected", VLOOKUP(O1085, Reference!$A$2:$D$34, 4, FALSE) &lt;= P1085),
                AND(R1085="General Use", VLOOKUP(O1085, Reference!$A$2:$D$34, 3, FALSE) &lt;= P1085)
            ),
                "Exceeded",
                "OK"
            ),
            "No Regulation defined"
        )
    ),
    ""
)</f>
        <v/>
      </c>
      <c r="AB1085" s="62" t="str">
        <f t="shared" si="16"/>
        <v/>
      </c>
    </row>
    <row r="1086" spans="3:28" x14ac:dyDescent="0.2">
      <c r="C1086" s="69"/>
      <c r="D1086" s="70"/>
      <c r="S1086" s="34"/>
      <c r="T1086" s="60" t="str">
        <f>IF(P1086&lt;&gt;"",
    IF(OR(O1086="", Q1086="", R1086=""),
        "Fill all the required columns",
        IFERROR(
            IF(OR(
                AND(R1086="Marine Protected", VLOOKUP(O1086, Reference!$A$2:$D$34, 4, FALSE) &lt;= P1086),
                AND(R1086="General Use", VLOOKUP(O1086, Reference!$A$2:$D$34, 3, FALSE) &lt;= P1086)
            ),
                "Exceeded",
                "OK"
            ),
            "No Regulation defined"
        )
    ),
    ""
)</f>
        <v/>
      </c>
      <c r="AB1086" s="62" t="str">
        <f t="shared" si="16"/>
        <v/>
      </c>
    </row>
    <row r="1087" spans="3:28" x14ac:dyDescent="0.2">
      <c r="C1087" s="69"/>
      <c r="D1087" s="70"/>
      <c r="S1087" s="34"/>
      <c r="T1087" s="60" t="str">
        <f>IF(P1087&lt;&gt;"",
    IF(OR(O1087="", Q1087="", R1087=""),
        "Fill all the required columns",
        IFERROR(
            IF(OR(
                AND(R1087="Marine Protected", VLOOKUP(O1087, Reference!$A$2:$D$34, 4, FALSE) &lt;= P1087),
                AND(R1087="General Use", VLOOKUP(O1087, Reference!$A$2:$D$34, 3, FALSE) &lt;= P1087)
            ),
                "Exceeded",
                "OK"
            ),
            "No Regulation defined"
        )
    ),
    ""
)</f>
        <v/>
      </c>
      <c r="AB1087" s="62" t="str">
        <f t="shared" si="16"/>
        <v/>
      </c>
    </row>
    <row r="1088" spans="3:28" x14ac:dyDescent="0.2">
      <c r="C1088" s="69"/>
      <c r="D1088" s="70"/>
      <c r="S1088" s="34"/>
      <c r="T1088" s="60" t="str">
        <f>IF(P1088&lt;&gt;"",
    IF(OR(O1088="", Q1088="", R1088=""),
        "Fill all the required columns",
        IFERROR(
            IF(OR(
                AND(R1088="Marine Protected", VLOOKUP(O1088, Reference!$A$2:$D$34, 4, FALSE) &lt;= P1088),
                AND(R1088="General Use", VLOOKUP(O1088, Reference!$A$2:$D$34, 3, FALSE) &lt;= P1088)
            ),
                "Exceeded",
                "OK"
            ),
            "No Regulation defined"
        )
    ),
    ""
)</f>
        <v/>
      </c>
      <c r="AB1088" s="62" t="str">
        <f t="shared" si="16"/>
        <v/>
      </c>
    </row>
    <row r="1089" spans="3:28" x14ac:dyDescent="0.2">
      <c r="C1089" s="69"/>
      <c r="D1089" s="70"/>
      <c r="S1089" s="34"/>
      <c r="T1089" s="60" t="str">
        <f>IF(P1089&lt;&gt;"",
    IF(OR(O1089="", Q1089="", R1089=""),
        "Fill all the required columns",
        IFERROR(
            IF(OR(
                AND(R1089="Marine Protected", VLOOKUP(O1089, Reference!$A$2:$D$34, 4, FALSE) &lt;= P1089),
                AND(R1089="General Use", VLOOKUP(O1089, Reference!$A$2:$D$34, 3, FALSE) &lt;= P1089)
            ),
                "Exceeded",
                "OK"
            ),
            "No Regulation defined"
        )
    ),
    ""
)</f>
        <v/>
      </c>
      <c r="AB1089" s="62" t="str">
        <f t="shared" si="16"/>
        <v/>
      </c>
    </row>
    <row r="1090" spans="3:28" x14ac:dyDescent="0.2">
      <c r="C1090" s="69"/>
      <c r="D1090" s="70"/>
      <c r="S1090" s="34"/>
      <c r="T1090" s="60" t="str">
        <f>IF(P1090&lt;&gt;"",
    IF(OR(O1090="", Q1090="", R1090=""),
        "Fill all the required columns",
        IFERROR(
            IF(OR(
                AND(R1090="Marine Protected", VLOOKUP(O1090, Reference!$A$2:$D$34, 4, FALSE) &lt;= P1090),
                AND(R1090="General Use", VLOOKUP(O1090, Reference!$A$2:$D$34, 3, FALSE) &lt;= P1090)
            ),
                "Exceeded",
                "OK"
            ),
            "No Regulation defined"
        )
    ),
    ""
)</f>
        <v/>
      </c>
      <c r="AB1090" s="62" t="str">
        <f t="shared" si="16"/>
        <v/>
      </c>
    </row>
    <row r="1091" spans="3:28" x14ac:dyDescent="0.2">
      <c r="C1091" s="69"/>
      <c r="D1091" s="70"/>
      <c r="S1091" s="34"/>
      <c r="T1091" s="60" t="str">
        <f>IF(P1091&lt;&gt;"",
    IF(OR(O1091="", Q1091="", R1091=""),
        "Fill all the required columns",
        IFERROR(
            IF(OR(
                AND(R1091="Marine Protected", VLOOKUP(O1091, Reference!$A$2:$D$34, 4, FALSE) &lt;= P1091),
                AND(R1091="General Use", VLOOKUP(O1091, Reference!$A$2:$D$34, 3, FALSE) &lt;= P1091)
            ),
                "Exceeded",
                "OK"
            ),
            "No Regulation defined"
        )
    ),
    ""
)</f>
        <v/>
      </c>
      <c r="AB1091" s="62" t="str">
        <f t="shared" ref="AB1091:AB1154" si="17">IF(COUNTA(A1091, E1091, F1091, H1091, I1091, O1091, P1091, Q1091, R1091,S1091) = 0, "", IF(COUNTA(A1091, E1091, F1091, H1091, I1091, O1091, P1091, Q1091, R1091,S1091) = 10, "OK", "Incomplete"))</f>
        <v/>
      </c>
    </row>
    <row r="1092" spans="3:28" x14ac:dyDescent="0.2">
      <c r="C1092" s="69"/>
      <c r="D1092" s="70"/>
      <c r="S1092" s="34"/>
      <c r="T1092" s="60" t="str">
        <f>IF(P1092&lt;&gt;"",
    IF(OR(O1092="", Q1092="", R1092=""),
        "Fill all the required columns",
        IFERROR(
            IF(OR(
                AND(R1092="Marine Protected", VLOOKUP(O1092, Reference!$A$2:$D$34, 4, FALSE) &lt;= P1092),
                AND(R1092="General Use", VLOOKUP(O1092, Reference!$A$2:$D$34, 3, FALSE) &lt;= P1092)
            ),
                "Exceeded",
                "OK"
            ),
            "No Regulation defined"
        )
    ),
    ""
)</f>
        <v/>
      </c>
      <c r="AB1092" s="62" t="str">
        <f t="shared" si="17"/>
        <v/>
      </c>
    </row>
    <row r="1093" spans="3:28" x14ac:dyDescent="0.2">
      <c r="C1093" s="69"/>
      <c r="D1093" s="70"/>
      <c r="S1093" s="34"/>
      <c r="T1093" s="60" t="str">
        <f>IF(P1093&lt;&gt;"",
    IF(OR(O1093="", Q1093="", R1093=""),
        "Fill all the required columns",
        IFERROR(
            IF(OR(
                AND(R1093="Marine Protected", VLOOKUP(O1093, Reference!$A$2:$D$34, 4, FALSE) &lt;= P1093),
                AND(R1093="General Use", VLOOKUP(O1093, Reference!$A$2:$D$34, 3, FALSE) &lt;= P1093)
            ),
                "Exceeded",
                "OK"
            ),
            "No Regulation defined"
        )
    ),
    ""
)</f>
        <v/>
      </c>
      <c r="AB1093" s="62" t="str">
        <f t="shared" si="17"/>
        <v/>
      </c>
    </row>
    <row r="1094" spans="3:28" x14ac:dyDescent="0.2">
      <c r="C1094" s="69"/>
      <c r="D1094" s="70"/>
      <c r="S1094" s="34"/>
      <c r="T1094" s="60" t="str">
        <f>IF(P1094&lt;&gt;"",
    IF(OR(O1094="", Q1094="", R1094=""),
        "Fill all the required columns",
        IFERROR(
            IF(OR(
                AND(R1094="Marine Protected", VLOOKUP(O1094, Reference!$A$2:$D$34, 4, FALSE) &lt;= P1094),
                AND(R1094="General Use", VLOOKUP(O1094, Reference!$A$2:$D$34, 3, FALSE) &lt;= P1094)
            ),
                "Exceeded",
                "OK"
            ),
            "No Regulation defined"
        )
    ),
    ""
)</f>
        <v/>
      </c>
      <c r="AB1094" s="62" t="str">
        <f t="shared" si="17"/>
        <v/>
      </c>
    </row>
    <row r="1095" spans="3:28" x14ac:dyDescent="0.2">
      <c r="C1095" s="69"/>
      <c r="D1095" s="70"/>
      <c r="S1095" s="34"/>
      <c r="T1095" s="60" t="str">
        <f>IF(P1095&lt;&gt;"",
    IF(OR(O1095="", Q1095="", R1095=""),
        "Fill all the required columns",
        IFERROR(
            IF(OR(
                AND(R1095="Marine Protected", VLOOKUP(O1095, Reference!$A$2:$D$34, 4, FALSE) &lt;= P1095),
                AND(R1095="General Use", VLOOKUP(O1095, Reference!$A$2:$D$34, 3, FALSE) &lt;= P1095)
            ),
                "Exceeded",
                "OK"
            ),
            "No Regulation defined"
        )
    ),
    ""
)</f>
        <v/>
      </c>
      <c r="AB1095" s="62" t="str">
        <f t="shared" si="17"/>
        <v/>
      </c>
    </row>
    <row r="1096" spans="3:28" x14ac:dyDescent="0.2">
      <c r="C1096" s="69"/>
      <c r="D1096" s="70"/>
      <c r="S1096" s="34"/>
      <c r="T1096" s="60" t="str">
        <f>IF(P1096&lt;&gt;"",
    IF(OR(O1096="", Q1096="", R1096=""),
        "Fill all the required columns",
        IFERROR(
            IF(OR(
                AND(R1096="Marine Protected", VLOOKUP(O1096, Reference!$A$2:$D$34, 4, FALSE) &lt;= P1096),
                AND(R1096="General Use", VLOOKUP(O1096, Reference!$A$2:$D$34, 3, FALSE) &lt;= P1096)
            ),
                "Exceeded",
                "OK"
            ),
            "No Regulation defined"
        )
    ),
    ""
)</f>
        <v/>
      </c>
      <c r="AB1096" s="62" t="str">
        <f t="shared" si="17"/>
        <v/>
      </c>
    </row>
    <row r="1097" spans="3:28" x14ac:dyDescent="0.2">
      <c r="C1097" s="69"/>
      <c r="D1097" s="70"/>
      <c r="S1097" s="34"/>
      <c r="T1097" s="60" t="str">
        <f>IF(P1097&lt;&gt;"",
    IF(OR(O1097="", Q1097="", R1097=""),
        "Fill all the required columns",
        IFERROR(
            IF(OR(
                AND(R1097="Marine Protected", VLOOKUP(O1097, Reference!$A$2:$D$34, 4, FALSE) &lt;= P1097),
                AND(R1097="General Use", VLOOKUP(O1097, Reference!$A$2:$D$34, 3, FALSE) &lt;= P1097)
            ),
                "Exceeded",
                "OK"
            ),
            "No Regulation defined"
        )
    ),
    ""
)</f>
        <v/>
      </c>
      <c r="AB1097" s="62" t="str">
        <f t="shared" si="17"/>
        <v/>
      </c>
    </row>
    <row r="1098" spans="3:28" x14ac:dyDescent="0.2">
      <c r="C1098" s="69"/>
      <c r="D1098" s="70"/>
      <c r="S1098" s="34"/>
      <c r="T1098" s="60" t="str">
        <f>IF(P1098&lt;&gt;"",
    IF(OR(O1098="", Q1098="", R1098=""),
        "Fill all the required columns",
        IFERROR(
            IF(OR(
                AND(R1098="Marine Protected", VLOOKUP(O1098, Reference!$A$2:$D$34, 4, FALSE) &lt;= P1098),
                AND(R1098="General Use", VLOOKUP(O1098, Reference!$A$2:$D$34, 3, FALSE) &lt;= P1098)
            ),
                "Exceeded",
                "OK"
            ),
            "No Regulation defined"
        )
    ),
    ""
)</f>
        <v/>
      </c>
      <c r="AB1098" s="62" t="str">
        <f t="shared" si="17"/>
        <v/>
      </c>
    </row>
    <row r="1099" spans="3:28" x14ac:dyDescent="0.2">
      <c r="C1099" s="69"/>
      <c r="D1099" s="70"/>
      <c r="S1099" s="34"/>
      <c r="T1099" s="60" t="str">
        <f>IF(P1099&lt;&gt;"",
    IF(OR(O1099="", Q1099="", R1099=""),
        "Fill all the required columns",
        IFERROR(
            IF(OR(
                AND(R1099="Marine Protected", VLOOKUP(O1099, Reference!$A$2:$D$34, 4, FALSE) &lt;= P1099),
                AND(R1099="General Use", VLOOKUP(O1099, Reference!$A$2:$D$34, 3, FALSE) &lt;= P1099)
            ),
                "Exceeded",
                "OK"
            ),
            "No Regulation defined"
        )
    ),
    ""
)</f>
        <v/>
      </c>
      <c r="AB1099" s="62" t="str">
        <f t="shared" si="17"/>
        <v/>
      </c>
    </row>
    <row r="1100" spans="3:28" x14ac:dyDescent="0.2">
      <c r="C1100" s="69"/>
      <c r="D1100" s="70"/>
      <c r="S1100" s="34"/>
      <c r="T1100" s="60" t="str">
        <f>IF(P1100&lt;&gt;"",
    IF(OR(O1100="", Q1100="", R1100=""),
        "Fill all the required columns",
        IFERROR(
            IF(OR(
                AND(R1100="Marine Protected", VLOOKUP(O1100, Reference!$A$2:$D$34, 4, FALSE) &lt;= P1100),
                AND(R1100="General Use", VLOOKUP(O1100, Reference!$A$2:$D$34, 3, FALSE) &lt;= P1100)
            ),
                "Exceeded",
                "OK"
            ),
            "No Regulation defined"
        )
    ),
    ""
)</f>
        <v/>
      </c>
      <c r="AB1100" s="62" t="str">
        <f t="shared" si="17"/>
        <v/>
      </c>
    </row>
    <row r="1101" spans="3:28" x14ac:dyDescent="0.2">
      <c r="C1101" s="69"/>
      <c r="D1101" s="70"/>
      <c r="S1101" s="34"/>
      <c r="T1101" s="60" t="str">
        <f>IF(P1101&lt;&gt;"",
    IF(OR(O1101="", Q1101="", R1101=""),
        "Fill all the required columns",
        IFERROR(
            IF(OR(
                AND(R1101="Marine Protected", VLOOKUP(O1101, Reference!$A$2:$D$34, 4, FALSE) &lt;= P1101),
                AND(R1101="General Use", VLOOKUP(O1101, Reference!$A$2:$D$34, 3, FALSE) &lt;= P1101)
            ),
                "Exceeded",
                "OK"
            ),
            "No Regulation defined"
        )
    ),
    ""
)</f>
        <v/>
      </c>
      <c r="AB1101" s="62" t="str">
        <f t="shared" si="17"/>
        <v/>
      </c>
    </row>
    <row r="1102" spans="3:28" x14ac:dyDescent="0.2">
      <c r="C1102" s="69"/>
      <c r="D1102" s="70"/>
      <c r="S1102" s="34"/>
      <c r="T1102" s="60" t="str">
        <f>IF(P1102&lt;&gt;"",
    IF(OR(O1102="", Q1102="", R1102=""),
        "Fill all the required columns",
        IFERROR(
            IF(OR(
                AND(R1102="Marine Protected", VLOOKUP(O1102, Reference!$A$2:$D$34, 4, FALSE) &lt;= P1102),
                AND(R1102="General Use", VLOOKUP(O1102, Reference!$A$2:$D$34, 3, FALSE) &lt;= P1102)
            ),
                "Exceeded",
                "OK"
            ),
            "No Regulation defined"
        )
    ),
    ""
)</f>
        <v/>
      </c>
      <c r="AB1102" s="62" t="str">
        <f t="shared" si="17"/>
        <v/>
      </c>
    </row>
    <row r="1103" spans="3:28" x14ac:dyDescent="0.2">
      <c r="C1103" s="69"/>
      <c r="D1103" s="70"/>
      <c r="S1103" s="34"/>
      <c r="T1103" s="60" t="str">
        <f>IF(P1103&lt;&gt;"",
    IF(OR(O1103="", Q1103="", R1103=""),
        "Fill all the required columns",
        IFERROR(
            IF(OR(
                AND(R1103="Marine Protected", VLOOKUP(O1103, Reference!$A$2:$D$34, 4, FALSE) &lt;= P1103),
                AND(R1103="General Use", VLOOKUP(O1103, Reference!$A$2:$D$34, 3, FALSE) &lt;= P1103)
            ),
                "Exceeded",
                "OK"
            ),
            "No Regulation defined"
        )
    ),
    ""
)</f>
        <v/>
      </c>
      <c r="AB1103" s="62" t="str">
        <f t="shared" si="17"/>
        <v/>
      </c>
    </row>
    <row r="1104" spans="3:28" x14ac:dyDescent="0.2">
      <c r="C1104" s="69"/>
      <c r="D1104" s="70"/>
      <c r="S1104" s="34"/>
      <c r="T1104" s="60" t="str">
        <f>IF(P1104&lt;&gt;"",
    IF(OR(O1104="", Q1104="", R1104=""),
        "Fill all the required columns",
        IFERROR(
            IF(OR(
                AND(R1104="Marine Protected", VLOOKUP(O1104, Reference!$A$2:$D$34, 4, FALSE) &lt;= P1104),
                AND(R1104="General Use", VLOOKUP(O1104, Reference!$A$2:$D$34, 3, FALSE) &lt;= P1104)
            ),
                "Exceeded",
                "OK"
            ),
            "No Regulation defined"
        )
    ),
    ""
)</f>
        <v/>
      </c>
      <c r="AB1104" s="62" t="str">
        <f t="shared" si="17"/>
        <v/>
      </c>
    </row>
    <row r="1105" spans="3:28" x14ac:dyDescent="0.2">
      <c r="C1105" s="69"/>
      <c r="D1105" s="70"/>
      <c r="S1105" s="34"/>
      <c r="T1105" s="60" t="str">
        <f>IF(P1105&lt;&gt;"",
    IF(OR(O1105="", Q1105="", R1105=""),
        "Fill all the required columns",
        IFERROR(
            IF(OR(
                AND(R1105="Marine Protected", VLOOKUP(O1105, Reference!$A$2:$D$34, 4, FALSE) &lt;= P1105),
                AND(R1105="General Use", VLOOKUP(O1105, Reference!$A$2:$D$34, 3, FALSE) &lt;= P1105)
            ),
                "Exceeded",
                "OK"
            ),
            "No Regulation defined"
        )
    ),
    ""
)</f>
        <v/>
      </c>
      <c r="AB1105" s="62" t="str">
        <f t="shared" si="17"/>
        <v/>
      </c>
    </row>
    <row r="1106" spans="3:28" x14ac:dyDescent="0.2">
      <c r="C1106" s="69"/>
      <c r="D1106" s="70"/>
      <c r="S1106" s="34"/>
      <c r="T1106" s="60" t="str">
        <f>IF(P1106&lt;&gt;"",
    IF(OR(O1106="", Q1106="", R1106=""),
        "Fill all the required columns",
        IFERROR(
            IF(OR(
                AND(R1106="Marine Protected", VLOOKUP(O1106, Reference!$A$2:$D$34, 4, FALSE) &lt;= P1106),
                AND(R1106="General Use", VLOOKUP(O1106, Reference!$A$2:$D$34, 3, FALSE) &lt;= P1106)
            ),
                "Exceeded",
                "OK"
            ),
            "No Regulation defined"
        )
    ),
    ""
)</f>
        <v/>
      </c>
      <c r="AB1106" s="62" t="str">
        <f t="shared" si="17"/>
        <v/>
      </c>
    </row>
    <row r="1107" spans="3:28" x14ac:dyDescent="0.2">
      <c r="C1107" s="69"/>
      <c r="D1107" s="70"/>
      <c r="S1107" s="34"/>
      <c r="T1107" s="60" t="str">
        <f>IF(P1107&lt;&gt;"",
    IF(OR(O1107="", Q1107="", R1107=""),
        "Fill all the required columns",
        IFERROR(
            IF(OR(
                AND(R1107="Marine Protected", VLOOKUP(O1107, Reference!$A$2:$D$34, 4, FALSE) &lt;= P1107),
                AND(R1107="General Use", VLOOKUP(O1107, Reference!$A$2:$D$34, 3, FALSE) &lt;= P1107)
            ),
                "Exceeded",
                "OK"
            ),
            "No Regulation defined"
        )
    ),
    ""
)</f>
        <v/>
      </c>
      <c r="AB1107" s="62" t="str">
        <f t="shared" si="17"/>
        <v/>
      </c>
    </row>
    <row r="1108" spans="3:28" x14ac:dyDescent="0.2">
      <c r="C1108" s="69"/>
      <c r="D1108" s="70"/>
      <c r="S1108" s="34"/>
      <c r="T1108" s="60" t="str">
        <f>IF(P1108&lt;&gt;"",
    IF(OR(O1108="", Q1108="", R1108=""),
        "Fill all the required columns",
        IFERROR(
            IF(OR(
                AND(R1108="Marine Protected", VLOOKUP(O1108, Reference!$A$2:$D$34, 4, FALSE) &lt;= P1108),
                AND(R1108="General Use", VLOOKUP(O1108, Reference!$A$2:$D$34, 3, FALSE) &lt;= P1108)
            ),
                "Exceeded",
                "OK"
            ),
            "No Regulation defined"
        )
    ),
    ""
)</f>
        <v/>
      </c>
      <c r="AB1108" s="62" t="str">
        <f t="shared" si="17"/>
        <v/>
      </c>
    </row>
    <row r="1109" spans="3:28" x14ac:dyDescent="0.2">
      <c r="C1109" s="69"/>
      <c r="D1109" s="70"/>
      <c r="S1109" s="34"/>
      <c r="T1109" s="60" t="str">
        <f>IF(P1109&lt;&gt;"",
    IF(OR(O1109="", Q1109="", R1109=""),
        "Fill all the required columns",
        IFERROR(
            IF(OR(
                AND(R1109="Marine Protected", VLOOKUP(O1109, Reference!$A$2:$D$34, 4, FALSE) &lt;= P1109),
                AND(R1109="General Use", VLOOKUP(O1109, Reference!$A$2:$D$34, 3, FALSE) &lt;= P1109)
            ),
                "Exceeded",
                "OK"
            ),
            "No Regulation defined"
        )
    ),
    ""
)</f>
        <v/>
      </c>
      <c r="AB1109" s="62" t="str">
        <f t="shared" si="17"/>
        <v/>
      </c>
    </row>
    <row r="1110" spans="3:28" x14ac:dyDescent="0.2">
      <c r="C1110" s="69"/>
      <c r="D1110" s="70"/>
      <c r="S1110" s="34"/>
      <c r="T1110" s="60" t="str">
        <f>IF(P1110&lt;&gt;"",
    IF(OR(O1110="", Q1110="", R1110=""),
        "Fill all the required columns",
        IFERROR(
            IF(OR(
                AND(R1110="Marine Protected", VLOOKUP(O1110, Reference!$A$2:$D$34, 4, FALSE) &lt;= P1110),
                AND(R1110="General Use", VLOOKUP(O1110, Reference!$A$2:$D$34, 3, FALSE) &lt;= P1110)
            ),
                "Exceeded",
                "OK"
            ),
            "No Regulation defined"
        )
    ),
    ""
)</f>
        <v/>
      </c>
      <c r="AB1110" s="62" t="str">
        <f t="shared" si="17"/>
        <v/>
      </c>
    </row>
    <row r="1111" spans="3:28" x14ac:dyDescent="0.2">
      <c r="C1111" s="69"/>
      <c r="D1111" s="70"/>
      <c r="S1111" s="34"/>
      <c r="T1111" s="60" t="str">
        <f>IF(P1111&lt;&gt;"",
    IF(OR(O1111="", Q1111="", R1111=""),
        "Fill all the required columns",
        IFERROR(
            IF(OR(
                AND(R1111="Marine Protected", VLOOKUP(O1111, Reference!$A$2:$D$34, 4, FALSE) &lt;= P1111),
                AND(R1111="General Use", VLOOKUP(O1111, Reference!$A$2:$D$34, 3, FALSE) &lt;= P1111)
            ),
                "Exceeded",
                "OK"
            ),
            "No Regulation defined"
        )
    ),
    ""
)</f>
        <v/>
      </c>
      <c r="AB1111" s="62" t="str">
        <f t="shared" si="17"/>
        <v/>
      </c>
    </row>
    <row r="1112" spans="3:28" x14ac:dyDescent="0.2">
      <c r="C1112" s="69"/>
      <c r="D1112" s="70"/>
      <c r="S1112" s="34"/>
      <c r="T1112" s="60" t="str">
        <f>IF(P1112&lt;&gt;"",
    IF(OR(O1112="", Q1112="", R1112=""),
        "Fill all the required columns",
        IFERROR(
            IF(OR(
                AND(R1112="Marine Protected", VLOOKUP(O1112, Reference!$A$2:$D$34, 4, FALSE) &lt;= P1112),
                AND(R1112="General Use", VLOOKUP(O1112, Reference!$A$2:$D$34, 3, FALSE) &lt;= P1112)
            ),
                "Exceeded",
                "OK"
            ),
            "No Regulation defined"
        )
    ),
    ""
)</f>
        <v/>
      </c>
      <c r="AB1112" s="62" t="str">
        <f t="shared" si="17"/>
        <v/>
      </c>
    </row>
    <row r="1113" spans="3:28" x14ac:dyDescent="0.2">
      <c r="C1113" s="69"/>
      <c r="D1113" s="70"/>
      <c r="S1113" s="34"/>
      <c r="T1113" s="60" t="str">
        <f>IF(P1113&lt;&gt;"",
    IF(OR(O1113="", Q1113="", R1113=""),
        "Fill all the required columns",
        IFERROR(
            IF(OR(
                AND(R1113="Marine Protected", VLOOKUP(O1113, Reference!$A$2:$D$34, 4, FALSE) &lt;= P1113),
                AND(R1113="General Use", VLOOKUP(O1113, Reference!$A$2:$D$34, 3, FALSE) &lt;= P1113)
            ),
                "Exceeded",
                "OK"
            ),
            "No Regulation defined"
        )
    ),
    ""
)</f>
        <v/>
      </c>
      <c r="AB1113" s="62" t="str">
        <f t="shared" si="17"/>
        <v/>
      </c>
    </row>
    <row r="1114" spans="3:28" x14ac:dyDescent="0.2">
      <c r="C1114" s="69"/>
      <c r="D1114" s="70"/>
      <c r="S1114" s="34"/>
      <c r="T1114" s="60" t="str">
        <f>IF(P1114&lt;&gt;"",
    IF(OR(O1114="", Q1114="", R1114=""),
        "Fill all the required columns",
        IFERROR(
            IF(OR(
                AND(R1114="Marine Protected", VLOOKUP(O1114, Reference!$A$2:$D$34, 4, FALSE) &lt;= P1114),
                AND(R1114="General Use", VLOOKUP(O1114, Reference!$A$2:$D$34, 3, FALSE) &lt;= P1114)
            ),
                "Exceeded",
                "OK"
            ),
            "No Regulation defined"
        )
    ),
    ""
)</f>
        <v/>
      </c>
      <c r="AB1114" s="62" t="str">
        <f t="shared" si="17"/>
        <v/>
      </c>
    </row>
    <row r="1115" spans="3:28" x14ac:dyDescent="0.2">
      <c r="C1115" s="69"/>
      <c r="D1115" s="70"/>
      <c r="S1115" s="34"/>
      <c r="T1115" s="60" t="str">
        <f>IF(P1115&lt;&gt;"",
    IF(OR(O1115="", Q1115="", R1115=""),
        "Fill all the required columns",
        IFERROR(
            IF(OR(
                AND(R1115="Marine Protected", VLOOKUP(O1115, Reference!$A$2:$D$34, 4, FALSE) &lt;= P1115),
                AND(R1115="General Use", VLOOKUP(O1115, Reference!$A$2:$D$34, 3, FALSE) &lt;= P1115)
            ),
                "Exceeded",
                "OK"
            ),
            "No Regulation defined"
        )
    ),
    ""
)</f>
        <v/>
      </c>
      <c r="AB1115" s="62" t="str">
        <f t="shared" si="17"/>
        <v/>
      </c>
    </row>
    <row r="1116" spans="3:28" x14ac:dyDescent="0.2">
      <c r="C1116" s="69"/>
      <c r="D1116" s="70"/>
      <c r="S1116" s="34"/>
      <c r="T1116" s="60" t="str">
        <f>IF(P1116&lt;&gt;"",
    IF(OR(O1116="", Q1116="", R1116=""),
        "Fill all the required columns",
        IFERROR(
            IF(OR(
                AND(R1116="Marine Protected", VLOOKUP(O1116, Reference!$A$2:$D$34, 4, FALSE) &lt;= P1116),
                AND(R1116="General Use", VLOOKUP(O1116, Reference!$A$2:$D$34, 3, FALSE) &lt;= P1116)
            ),
                "Exceeded",
                "OK"
            ),
            "No Regulation defined"
        )
    ),
    ""
)</f>
        <v/>
      </c>
      <c r="AB1116" s="62" t="str">
        <f t="shared" si="17"/>
        <v/>
      </c>
    </row>
    <row r="1117" spans="3:28" x14ac:dyDescent="0.2">
      <c r="C1117" s="69"/>
      <c r="D1117" s="70"/>
      <c r="S1117" s="34"/>
      <c r="T1117" s="60" t="str">
        <f>IF(P1117&lt;&gt;"",
    IF(OR(O1117="", Q1117="", R1117=""),
        "Fill all the required columns",
        IFERROR(
            IF(OR(
                AND(R1117="Marine Protected", VLOOKUP(O1117, Reference!$A$2:$D$34, 4, FALSE) &lt;= P1117),
                AND(R1117="General Use", VLOOKUP(O1117, Reference!$A$2:$D$34, 3, FALSE) &lt;= P1117)
            ),
                "Exceeded",
                "OK"
            ),
            "No Regulation defined"
        )
    ),
    ""
)</f>
        <v/>
      </c>
      <c r="AB1117" s="62" t="str">
        <f t="shared" si="17"/>
        <v/>
      </c>
    </row>
    <row r="1118" spans="3:28" x14ac:dyDescent="0.2">
      <c r="C1118" s="69"/>
      <c r="D1118" s="70"/>
      <c r="S1118" s="34"/>
      <c r="T1118" s="60" t="str">
        <f>IF(P1118&lt;&gt;"",
    IF(OR(O1118="", Q1118="", R1118=""),
        "Fill all the required columns",
        IFERROR(
            IF(OR(
                AND(R1118="Marine Protected", VLOOKUP(O1118, Reference!$A$2:$D$34, 4, FALSE) &lt;= P1118),
                AND(R1118="General Use", VLOOKUP(O1118, Reference!$A$2:$D$34, 3, FALSE) &lt;= P1118)
            ),
                "Exceeded",
                "OK"
            ),
            "No Regulation defined"
        )
    ),
    ""
)</f>
        <v/>
      </c>
      <c r="AB1118" s="62" t="str">
        <f t="shared" si="17"/>
        <v/>
      </c>
    </row>
    <row r="1119" spans="3:28" x14ac:dyDescent="0.2">
      <c r="C1119" s="69"/>
      <c r="D1119" s="70"/>
      <c r="S1119" s="34"/>
      <c r="T1119" s="60" t="str">
        <f>IF(P1119&lt;&gt;"",
    IF(OR(O1119="", Q1119="", R1119=""),
        "Fill all the required columns",
        IFERROR(
            IF(OR(
                AND(R1119="Marine Protected", VLOOKUP(O1119, Reference!$A$2:$D$34, 4, FALSE) &lt;= P1119),
                AND(R1119="General Use", VLOOKUP(O1119, Reference!$A$2:$D$34, 3, FALSE) &lt;= P1119)
            ),
                "Exceeded",
                "OK"
            ),
            "No Regulation defined"
        )
    ),
    ""
)</f>
        <v/>
      </c>
      <c r="AB1119" s="62" t="str">
        <f t="shared" si="17"/>
        <v/>
      </c>
    </row>
    <row r="1120" spans="3:28" x14ac:dyDescent="0.2">
      <c r="C1120" s="69"/>
      <c r="D1120" s="70"/>
      <c r="S1120" s="34"/>
      <c r="T1120" s="60" t="str">
        <f>IF(P1120&lt;&gt;"",
    IF(OR(O1120="", Q1120="", R1120=""),
        "Fill all the required columns",
        IFERROR(
            IF(OR(
                AND(R1120="Marine Protected", VLOOKUP(O1120, Reference!$A$2:$D$34, 4, FALSE) &lt;= P1120),
                AND(R1120="General Use", VLOOKUP(O1120, Reference!$A$2:$D$34, 3, FALSE) &lt;= P1120)
            ),
                "Exceeded",
                "OK"
            ),
            "No Regulation defined"
        )
    ),
    ""
)</f>
        <v/>
      </c>
      <c r="AB1120" s="62" t="str">
        <f t="shared" si="17"/>
        <v/>
      </c>
    </row>
    <row r="1121" spans="3:28" x14ac:dyDescent="0.2">
      <c r="C1121" s="69"/>
      <c r="D1121" s="70"/>
      <c r="S1121" s="34"/>
      <c r="T1121" s="60" t="str">
        <f>IF(P1121&lt;&gt;"",
    IF(OR(O1121="", Q1121="", R1121=""),
        "Fill all the required columns",
        IFERROR(
            IF(OR(
                AND(R1121="Marine Protected", VLOOKUP(O1121, Reference!$A$2:$D$34, 4, FALSE) &lt;= P1121),
                AND(R1121="General Use", VLOOKUP(O1121, Reference!$A$2:$D$34, 3, FALSE) &lt;= P1121)
            ),
                "Exceeded",
                "OK"
            ),
            "No Regulation defined"
        )
    ),
    ""
)</f>
        <v/>
      </c>
      <c r="AB1121" s="62" t="str">
        <f t="shared" si="17"/>
        <v/>
      </c>
    </row>
    <row r="1122" spans="3:28" x14ac:dyDescent="0.2">
      <c r="C1122" s="69"/>
      <c r="D1122" s="70"/>
      <c r="S1122" s="34"/>
      <c r="T1122" s="60" t="str">
        <f>IF(P1122&lt;&gt;"",
    IF(OR(O1122="", Q1122="", R1122=""),
        "Fill all the required columns",
        IFERROR(
            IF(OR(
                AND(R1122="Marine Protected", VLOOKUP(O1122, Reference!$A$2:$D$34, 4, FALSE) &lt;= P1122),
                AND(R1122="General Use", VLOOKUP(O1122, Reference!$A$2:$D$34, 3, FALSE) &lt;= P1122)
            ),
                "Exceeded",
                "OK"
            ),
            "No Regulation defined"
        )
    ),
    ""
)</f>
        <v/>
      </c>
      <c r="AB1122" s="62" t="str">
        <f t="shared" si="17"/>
        <v/>
      </c>
    </row>
    <row r="1123" spans="3:28" x14ac:dyDescent="0.2">
      <c r="C1123" s="69"/>
      <c r="D1123" s="70"/>
      <c r="S1123" s="34"/>
      <c r="T1123" s="60" t="str">
        <f>IF(P1123&lt;&gt;"",
    IF(OR(O1123="", Q1123="", R1123=""),
        "Fill all the required columns",
        IFERROR(
            IF(OR(
                AND(R1123="Marine Protected", VLOOKUP(O1123, Reference!$A$2:$D$34, 4, FALSE) &lt;= P1123),
                AND(R1123="General Use", VLOOKUP(O1123, Reference!$A$2:$D$34, 3, FALSE) &lt;= P1123)
            ),
                "Exceeded",
                "OK"
            ),
            "No Regulation defined"
        )
    ),
    ""
)</f>
        <v/>
      </c>
      <c r="AB1123" s="62" t="str">
        <f t="shared" si="17"/>
        <v/>
      </c>
    </row>
    <row r="1124" spans="3:28" x14ac:dyDescent="0.2">
      <c r="C1124" s="69"/>
      <c r="D1124" s="70"/>
      <c r="S1124" s="34"/>
      <c r="T1124" s="60" t="str">
        <f>IF(P1124&lt;&gt;"",
    IF(OR(O1124="", Q1124="", R1124=""),
        "Fill all the required columns",
        IFERROR(
            IF(OR(
                AND(R1124="Marine Protected", VLOOKUP(O1124, Reference!$A$2:$D$34, 4, FALSE) &lt;= P1124),
                AND(R1124="General Use", VLOOKUP(O1124, Reference!$A$2:$D$34, 3, FALSE) &lt;= P1124)
            ),
                "Exceeded",
                "OK"
            ),
            "No Regulation defined"
        )
    ),
    ""
)</f>
        <v/>
      </c>
      <c r="AB1124" s="62" t="str">
        <f t="shared" si="17"/>
        <v/>
      </c>
    </row>
    <row r="1125" spans="3:28" x14ac:dyDescent="0.2">
      <c r="C1125" s="69"/>
      <c r="D1125" s="70"/>
      <c r="S1125" s="34"/>
      <c r="T1125" s="60" t="str">
        <f>IF(P1125&lt;&gt;"",
    IF(OR(O1125="", Q1125="", R1125=""),
        "Fill all the required columns",
        IFERROR(
            IF(OR(
                AND(R1125="Marine Protected", VLOOKUP(O1125, Reference!$A$2:$D$34, 4, FALSE) &lt;= P1125),
                AND(R1125="General Use", VLOOKUP(O1125, Reference!$A$2:$D$34, 3, FALSE) &lt;= P1125)
            ),
                "Exceeded",
                "OK"
            ),
            "No Regulation defined"
        )
    ),
    ""
)</f>
        <v/>
      </c>
      <c r="AB1125" s="62" t="str">
        <f t="shared" si="17"/>
        <v/>
      </c>
    </row>
    <row r="1126" spans="3:28" x14ac:dyDescent="0.2">
      <c r="C1126" s="69"/>
      <c r="D1126" s="70"/>
      <c r="S1126" s="34"/>
      <c r="T1126" s="60" t="str">
        <f>IF(P1126&lt;&gt;"",
    IF(OR(O1126="", Q1126="", R1126=""),
        "Fill all the required columns",
        IFERROR(
            IF(OR(
                AND(R1126="Marine Protected", VLOOKUP(O1126, Reference!$A$2:$D$34, 4, FALSE) &lt;= P1126),
                AND(R1126="General Use", VLOOKUP(O1126, Reference!$A$2:$D$34, 3, FALSE) &lt;= P1126)
            ),
                "Exceeded",
                "OK"
            ),
            "No Regulation defined"
        )
    ),
    ""
)</f>
        <v/>
      </c>
      <c r="AB1126" s="62" t="str">
        <f t="shared" si="17"/>
        <v/>
      </c>
    </row>
    <row r="1127" spans="3:28" x14ac:dyDescent="0.2">
      <c r="C1127" s="69"/>
      <c r="D1127" s="70"/>
      <c r="S1127" s="34"/>
      <c r="T1127" s="60" t="str">
        <f>IF(P1127&lt;&gt;"",
    IF(OR(O1127="", Q1127="", R1127=""),
        "Fill all the required columns",
        IFERROR(
            IF(OR(
                AND(R1127="Marine Protected", VLOOKUP(O1127, Reference!$A$2:$D$34, 4, FALSE) &lt;= P1127),
                AND(R1127="General Use", VLOOKUP(O1127, Reference!$A$2:$D$34, 3, FALSE) &lt;= P1127)
            ),
                "Exceeded",
                "OK"
            ),
            "No Regulation defined"
        )
    ),
    ""
)</f>
        <v/>
      </c>
      <c r="AB1127" s="62" t="str">
        <f t="shared" si="17"/>
        <v/>
      </c>
    </row>
    <row r="1128" spans="3:28" x14ac:dyDescent="0.2">
      <c r="C1128" s="69"/>
      <c r="D1128" s="70"/>
      <c r="S1128" s="34"/>
      <c r="T1128" s="60" t="str">
        <f>IF(P1128&lt;&gt;"",
    IF(OR(O1128="", Q1128="", R1128=""),
        "Fill all the required columns",
        IFERROR(
            IF(OR(
                AND(R1128="Marine Protected", VLOOKUP(O1128, Reference!$A$2:$D$34, 4, FALSE) &lt;= P1128),
                AND(R1128="General Use", VLOOKUP(O1128, Reference!$A$2:$D$34, 3, FALSE) &lt;= P1128)
            ),
                "Exceeded",
                "OK"
            ),
            "No Regulation defined"
        )
    ),
    ""
)</f>
        <v/>
      </c>
      <c r="AB1128" s="62" t="str">
        <f t="shared" si="17"/>
        <v/>
      </c>
    </row>
    <row r="1129" spans="3:28" x14ac:dyDescent="0.2">
      <c r="C1129" s="69"/>
      <c r="D1129" s="70"/>
      <c r="S1129" s="34"/>
      <c r="T1129" s="60" t="str">
        <f>IF(P1129&lt;&gt;"",
    IF(OR(O1129="", Q1129="", R1129=""),
        "Fill all the required columns",
        IFERROR(
            IF(OR(
                AND(R1129="Marine Protected", VLOOKUP(O1129, Reference!$A$2:$D$34, 4, FALSE) &lt;= P1129),
                AND(R1129="General Use", VLOOKUP(O1129, Reference!$A$2:$D$34, 3, FALSE) &lt;= P1129)
            ),
                "Exceeded",
                "OK"
            ),
            "No Regulation defined"
        )
    ),
    ""
)</f>
        <v/>
      </c>
      <c r="AB1129" s="62" t="str">
        <f t="shared" si="17"/>
        <v/>
      </c>
    </row>
    <row r="1130" spans="3:28" x14ac:dyDescent="0.2">
      <c r="C1130" s="69"/>
      <c r="D1130" s="70"/>
      <c r="S1130" s="34"/>
      <c r="T1130" s="60" t="str">
        <f>IF(P1130&lt;&gt;"",
    IF(OR(O1130="", Q1130="", R1130=""),
        "Fill all the required columns",
        IFERROR(
            IF(OR(
                AND(R1130="Marine Protected", VLOOKUP(O1130, Reference!$A$2:$D$34, 4, FALSE) &lt;= P1130),
                AND(R1130="General Use", VLOOKUP(O1130, Reference!$A$2:$D$34, 3, FALSE) &lt;= P1130)
            ),
                "Exceeded",
                "OK"
            ),
            "No Regulation defined"
        )
    ),
    ""
)</f>
        <v/>
      </c>
      <c r="AB1130" s="62" t="str">
        <f t="shared" si="17"/>
        <v/>
      </c>
    </row>
    <row r="1131" spans="3:28" x14ac:dyDescent="0.2">
      <c r="C1131" s="69"/>
      <c r="D1131" s="70"/>
      <c r="S1131" s="34"/>
      <c r="T1131" s="60" t="str">
        <f>IF(P1131&lt;&gt;"",
    IF(OR(O1131="", Q1131="", R1131=""),
        "Fill all the required columns",
        IFERROR(
            IF(OR(
                AND(R1131="Marine Protected", VLOOKUP(O1131, Reference!$A$2:$D$34, 4, FALSE) &lt;= P1131),
                AND(R1131="General Use", VLOOKUP(O1131, Reference!$A$2:$D$34, 3, FALSE) &lt;= P1131)
            ),
                "Exceeded",
                "OK"
            ),
            "No Regulation defined"
        )
    ),
    ""
)</f>
        <v/>
      </c>
      <c r="AB1131" s="62" t="str">
        <f t="shared" si="17"/>
        <v/>
      </c>
    </row>
    <row r="1132" spans="3:28" x14ac:dyDescent="0.2">
      <c r="C1132" s="69"/>
      <c r="D1132" s="70"/>
      <c r="S1132" s="34"/>
      <c r="T1132" s="60" t="str">
        <f>IF(P1132&lt;&gt;"",
    IF(OR(O1132="", Q1132="", R1132=""),
        "Fill all the required columns",
        IFERROR(
            IF(OR(
                AND(R1132="Marine Protected", VLOOKUP(O1132, Reference!$A$2:$D$34, 4, FALSE) &lt;= P1132),
                AND(R1132="General Use", VLOOKUP(O1132, Reference!$A$2:$D$34, 3, FALSE) &lt;= P1132)
            ),
                "Exceeded",
                "OK"
            ),
            "No Regulation defined"
        )
    ),
    ""
)</f>
        <v/>
      </c>
      <c r="AB1132" s="62" t="str">
        <f t="shared" si="17"/>
        <v/>
      </c>
    </row>
    <row r="1133" spans="3:28" x14ac:dyDescent="0.2">
      <c r="C1133" s="69"/>
      <c r="D1133" s="70"/>
      <c r="S1133" s="34"/>
      <c r="T1133" s="60" t="str">
        <f>IF(P1133&lt;&gt;"",
    IF(OR(O1133="", Q1133="", R1133=""),
        "Fill all the required columns",
        IFERROR(
            IF(OR(
                AND(R1133="Marine Protected", VLOOKUP(O1133, Reference!$A$2:$D$34, 4, FALSE) &lt;= P1133),
                AND(R1133="General Use", VLOOKUP(O1133, Reference!$A$2:$D$34, 3, FALSE) &lt;= P1133)
            ),
                "Exceeded",
                "OK"
            ),
            "No Regulation defined"
        )
    ),
    ""
)</f>
        <v/>
      </c>
      <c r="AB1133" s="62" t="str">
        <f t="shared" si="17"/>
        <v/>
      </c>
    </row>
    <row r="1134" spans="3:28" x14ac:dyDescent="0.2">
      <c r="C1134" s="69"/>
      <c r="D1134" s="70"/>
      <c r="S1134" s="34"/>
      <c r="T1134" s="60" t="str">
        <f>IF(P1134&lt;&gt;"",
    IF(OR(O1134="", Q1134="", R1134=""),
        "Fill all the required columns",
        IFERROR(
            IF(OR(
                AND(R1134="Marine Protected", VLOOKUP(O1134, Reference!$A$2:$D$34, 4, FALSE) &lt;= P1134),
                AND(R1134="General Use", VLOOKUP(O1134, Reference!$A$2:$D$34, 3, FALSE) &lt;= P1134)
            ),
                "Exceeded",
                "OK"
            ),
            "No Regulation defined"
        )
    ),
    ""
)</f>
        <v/>
      </c>
      <c r="AB1134" s="62" t="str">
        <f t="shared" si="17"/>
        <v/>
      </c>
    </row>
    <row r="1135" spans="3:28" x14ac:dyDescent="0.2">
      <c r="C1135" s="69"/>
      <c r="D1135" s="70"/>
      <c r="S1135" s="34"/>
      <c r="T1135" s="60" t="str">
        <f>IF(P1135&lt;&gt;"",
    IF(OR(O1135="", Q1135="", R1135=""),
        "Fill all the required columns",
        IFERROR(
            IF(OR(
                AND(R1135="Marine Protected", VLOOKUP(O1135, Reference!$A$2:$D$34, 4, FALSE) &lt;= P1135),
                AND(R1135="General Use", VLOOKUP(O1135, Reference!$A$2:$D$34, 3, FALSE) &lt;= P1135)
            ),
                "Exceeded",
                "OK"
            ),
            "No Regulation defined"
        )
    ),
    ""
)</f>
        <v/>
      </c>
      <c r="AB1135" s="62" t="str">
        <f t="shared" si="17"/>
        <v/>
      </c>
    </row>
    <row r="1136" spans="3:28" x14ac:dyDescent="0.2">
      <c r="C1136" s="69"/>
      <c r="D1136" s="70"/>
      <c r="S1136" s="34"/>
      <c r="T1136" s="60" t="str">
        <f>IF(P1136&lt;&gt;"",
    IF(OR(O1136="", Q1136="", R1136=""),
        "Fill all the required columns",
        IFERROR(
            IF(OR(
                AND(R1136="Marine Protected", VLOOKUP(O1136, Reference!$A$2:$D$34, 4, FALSE) &lt;= P1136),
                AND(R1136="General Use", VLOOKUP(O1136, Reference!$A$2:$D$34, 3, FALSE) &lt;= P1136)
            ),
                "Exceeded",
                "OK"
            ),
            "No Regulation defined"
        )
    ),
    ""
)</f>
        <v/>
      </c>
      <c r="AB1136" s="62" t="str">
        <f t="shared" si="17"/>
        <v/>
      </c>
    </row>
    <row r="1137" spans="3:28" x14ac:dyDescent="0.2">
      <c r="C1137" s="69"/>
      <c r="D1137" s="70"/>
      <c r="S1137" s="34"/>
      <c r="T1137" s="60" t="str">
        <f>IF(P1137&lt;&gt;"",
    IF(OR(O1137="", Q1137="", R1137=""),
        "Fill all the required columns",
        IFERROR(
            IF(OR(
                AND(R1137="Marine Protected", VLOOKUP(O1137, Reference!$A$2:$D$34, 4, FALSE) &lt;= P1137),
                AND(R1137="General Use", VLOOKUP(O1137, Reference!$A$2:$D$34, 3, FALSE) &lt;= P1137)
            ),
                "Exceeded",
                "OK"
            ),
            "No Regulation defined"
        )
    ),
    ""
)</f>
        <v/>
      </c>
      <c r="AB1137" s="62" t="str">
        <f t="shared" si="17"/>
        <v/>
      </c>
    </row>
    <row r="1138" spans="3:28" x14ac:dyDescent="0.2">
      <c r="C1138" s="69"/>
      <c r="D1138" s="70"/>
      <c r="S1138" s="34"/>
      <c r="T1138" s="60" t="str">
        <f>IF(P1138&lt;&gt;"",
    IF(OR(O1138="", Q1138="", R1138=""),
        "Fill all the required columns",
        IFERROR(
            IF(OR(
                AND(R1138="Marine Protected", VLOOKUP(O1138, Reference!$A$2:$D$34, 4, FALSE) &lt;= P1138),
                AND(R1138="General Use", VLOOKUP(O1138, Reference!$A$2:$D$34, 3, FALSE) &lt;= P1138)
            ),
                "Exceeded",
                "OK"
            ),
            "No Regulation defined"
        )
    ),
    ""
)</f>
        <v/>
      </c>
      <c r="AB1138" s="62" t="str">
        <f t="shared" si="17"/>
        <v/>
      </c>
    </row>
    <row r="1139" spans="3:28" x14ac:dyDescent="0.2">
      <c r="C1139" s="69"/>
      <c r="D1139" s="70"/>
      <c r="S1139" s="34"/>
      <c r="T1139" s="60" t="str">
        <f>IF(P1139&lt;&gt;"",
    IF(OR(O1139="", Q1139="", R1139=""),
        "Fill all the required columns",
        IFERROR(
            IF(OR(
                AND(R1139="Marine Protected", VLOOKUP(O1139, Reference!$A$2:$D$34, 4, FALSE) &lt;= P1139),
                AND(R1139="General Use", VLOOKUP(O1139, Reference!$A$2:$D$34, 3, FALSE) &lt;= P1139)
            ),
                "Exceeded",
                "OK"
            ),
            "No Regulation defined"
        )
    ),
    ""
)</f>
        <v/>
      </c>
      <c r="AB1139" s="62" t="str">
        <f t="shared" si="17"/>
        <v/>
      </c>
    </row>
    <row r="1140" spans="3:28" x14ac:dyDescent="0.2">
      <c r="C1140" s="69"/>
      <c r="D1140" s="70"/>
      <c r="S1140" s="34"/>
      <c r="T1140" s="60" t="str">
        <f>IF(P1140&lt;&gt;"",
    IF(OR(O1140="", Q1140="", R1140=""),
        "Fill all the required columns",
        IFERROR(
            IF(OR(
                AND(R1140="Marine Protected", VLOOKUP(O1140, Reference!$A$2:$D$34, 4, FALSE) &lt;= P1140),
                AND(R1140="General Use", VLOOKUP(O1140, Reference!$A$2:$D$34, 3, FALSE) &lt;= P1140)
            ),
                "Exceeded",
                "OK"
            ),
            "No Regulation defined"
        )
    ),
    ""
)</f>
        <v/>
      </c>
      <c r="AB1140" s="62" t="str">
        <f t="shared" si="17"/>
        <v/>
      </c>
    </row>
    <row r="1141" spans="3:28" x14ac:dyDescent="0.2">
      <c r="C1141" s="69"/>
      <c r="D1141" s="70"/>
      <c r="S1141" s="34"/>
      <c r="T1141" s="60" t="str">
        <f>IF(P1141&lt;&gt;"",
    IF(OR(O1141="", Q1141="", R1141=""),
        "Fill all the required columns",
        IFERROR(
            IF(OR(
                AND(R1141="Marine Protected", VLOOKUP(O1141, Reference!$A$2:$D$34, 4, FALSE) &lt;= P1141),
                AND(R1141="General Use", VLOOKUP(O1141, Reference!$A$2:$D$34, 3, FALSE) &lt;= P1141)
            ),
                "Exceeded",
                "OK"
            ),
            "No Regulation defined"
        )
    ),
    ""
)</f>
        <v/>
      </c>
      <c r="AB1141" s="62" t="str">
        <f t="shared" si="17"/>
        <v/>
      </c>
    </row>
    <row r="1142" spans="3:28" x14ac:dyDescent="0.2">
      <c r="C1142" s="69"/>
      <c r="D1142" s="70"/>
      <c r="S1142" s="34"/>
      <c r="T1142" s="60" t="str">
        <f>IF(P1142&lt;&gt;"",
    IF(OR(O1142="", Q1142="", R1142=""),
        "Fill all the required columns",
        IFERROR(
            IF(OR(
                AND(R1142="Marine Protected", VLOOKUP(O1142, Reference!$A$2:$D$34, 4, FALSE) &lt;= P1142),
                AND(R1142="General Use", VLOOKUP(O1142, Reference!$A$2:$D$34, 3, FALSE) &lt;= P1142)
            ),
                "Exceeded",
                "OK"
            ),
            "No Regulation defined"
        )
    ),
    ""
)</f>
        <v/>
      </c>
      <c r="AB1142" s="62" t="str">
        <f t="shared" si="17"/>
        <v/>
      </c>
    </row>
    <row r="1143" spans="3:28" x14ac:dyDescent="0.2">
      <c r="C1143" s="69"/>
      <c r="D1143" s="70"/>
      <c r="S1143" s="34"/>
      <c r="T1143" s="60" t="str">
        <f>IF(P1143&lt;&gt;"",
    IF(OR(O1143="", Q1143="", R1143=""),
        "Fill all the required columns",
        IFERROR(
            IF(OR(
                AND(R1143="Marine Protected", VLOOKUP(O1143, Reference!$A$2:$D$34, 4, FALSE) &lt;= P1143),
                AND(R1143="General Use", VLOOKUP(O1143, Reference!$A$2:$D$34, 3, FALSE) &lt;= P1143)
            ),
                "Exceeded",
                "OK"
            ),
            "No Regulation defined"
        )
    ),
    ""
)</f>
        <v/>
      </c>
      <c r="AB1143" s="62" t="str">
        <f t="shared" si="17"/>
        <v/>
      </c>
    </row>
    <row r="1144" spans="3:28" x14ac:dyDescent="0.2">
      <c r="C1144" s="69"/>
      <c r="D1144" s="70"/>
      <c r="S1144" s="34"/>
      <c r="T1144" s="60" t="str">
        <f>IF(P1144&lt;&gt;"",
    IF(OR(O1144="", Q1144="", R1144=""),
        "Fill all the required columns",
        IFERROR(
            IF(OR(
                AND(R1144="Marine Protected", VLOOKUP(O1144, Reference!$A$2:$D$34, 4, FALSE) &lt;= P1144),
                AND(R1144="General Use", VLOOKUP(O1144, Reference!$A$2:$D$34, 3, FALSE) &lt;= P1144)
            ),
                "Exceeded",
                "OK"
            ),
            "No Regulation defined"
        )
    ),
    ""
)</f>
        <v/>
      </c>
      <c r="AB1144" s="62" t="str">
        <f t="shared" si="17"/>
        <v/>
      </c>
    </row>
    <row r="1145" spans="3:28" x14ac:dyDescent="0.2">
      <c r="C1145" s="69"/>
      <c r="D1145" s="70"/>
      <c r="S1145" s="34"/>
      <c r="T1145" s="60" t="str">
        <f>IF(P1145&lt;&gt;"",
    IF(OR(O1145="", Q1145="", R1145=""),
        "Fill all the required columns",
        IFERROR(
            IF(OR(
                AND(R1145="Marine Protected", VLOOKUP(O1145, Reference!$A$2:$D$34, 4, FALSE) &lt;= P1145),
                AND(R1145="General Use", VLOOKUP(O1145, Reference!$A$2:$D$34, 3, FALSE) &lt;= P1145)
            ),
                "Exceeded",
                "OK"
            ),
            "No Regulation defined"
        )
    ),
    ""
)</f>
        <v/>
      </c>
      <c r="AB1145" s="62" t="str">
        <f t="shared" si="17"/>
        <v/>
      </c>
    </row>
    <row r="1146" spans="3:28" x14ac:dyDescent="0.2">
      <c r="C1146" s="69"/>
      <c r="D1146" s="70"/>
      <c r="S1146" s="34"/>
      <c r="T1146" s="60" t="str">
        <f>IF(P1146&lt;&gt;"",
    IF(OR(O1146="", Q1146="", R1146=""),
        "Fill all the required columns",
        IFERROR(
            IF(OR(
                AND(R1146="Marine Protected", VLOOKUP(O1146, Reference!$A$2:$D$34, 4, FALSE) &lt;= P1146),
                AND(R1146="General Use", VLOOKUP(O1146, Reference!$A$2:$D$34, 3, FALSE) &lt;= P1146)
            ),
                "Exceeded",
                "OK"
            ),
            "No Regulation defined"
        )
    ),
    ""
)</f>
        <v/>
      </c>
      <c r="AB1146" s="62" t="str">
        <f t="shared" si="17"/>
        <v/>
      </c>
    </row>
    <row r="1147" spans="3:28" x14ac:dyDescent="0.2">
      <c r="C1147" s="69"/>
      <c r="D1147" s="70"/>
      <c r="S1147" s="34"/>
      <c r="T1147" s="60" t="str">
        <f>IF(P1147&lt;&gt;"",
    IF(OR(O1147="", Q1147="", R1147=""),
        "Fill all the required columns",
        IFERROR(
            IF(OR(
                AND(R1147="Marine Protected", VLOOKUP(O1147, Reference!$A$2:$D$34, 4, FALSE) &lt;= P1147),
                AND(R1147="General Use", VLOOKUP(O1147, Reference!$A$2:$D$34, 3, FALSE) &lt;= P1147)
            ),
                "Exceeded",
                "OK"
            ),
            "No Regulation defined"
        )
    ),
    ""
)</f>
        <v/>
      </c>
      <c r="AB1147" s="62" t="str">
        <f t="shared" si="17"/>
        <v/>
      </c>
    </row>
    <row r="1148" spans="3:28" x14ac:dyDescent="0.2">
      <c r="C1148" s="69"/>
      <c r="D1148" s="70"/>
      <c r="S1148" s="34"/>
      <c r="T1148" s="60" t="str">
        <f>IF(P1148&lt;&gt;"",
    IF(OR(O1148="", Q1148="", R1148=""),
        "Fill all the required columns",
        IFERROR(
            IF(OR(
                AND(R1148="Marine Protected", VLOOKUP(O1148, Reference!$A$2:$D$34, 4, FALSE) &lt;= P1148),
                AND(R1148="General Use", VLOOKUP(O1148, Reference!$A$2:$D$34, 3, FALSE) &lt;= P1148)
            ),
                "Exceeded",
                "OK"
            ),
            "No Regulation defined"
        )
    ),
    ""
)</f>
        <v/>
      </c>
      <c r="AB1148" s="62" t="str">
        <f t="shared" si="17"/>
        <v/>
      </c>
    </row>
    <row r="1149" spans="3:28" x14ac:dyDescent="0.2">
      <c r="C1149" s="69"/>
      <c r="D1149" s="70"/>
      <c r="S1149" s="34"/>
      <c r="T1149" s="60" t="str">
        <f>IF(P1149&lt;&gt;"",
    IF(OR(O1149="", Q1149="", R1149=""),
        "Fill all the required columns",
        IFERROR(
            IF(OR(
                AND(R1149="Marine Protected", VLOOKUP(O1149, Reference!$A$2:$D$34, 4, FALSE) &lt;= P1149),
                AND(R1149="General Use", VLOOKUP(O1149, Reference!$A$2:$D$34, 3, FALSE) &lt;= P1149)
            ),
                "Exceeded",
                "OK"
            ),
            "No Regulation defined"
        )
    ),
    ""
)</f>
        <v/>
      </c>
      <c r="AB1149" s="62" t="str">
        <f t="shared" si="17"/>
        <v/>
      </c>
    </row>
    <row r="1150" spans="3:28" x14ac:dyDescent="0.2">
      <c r="C1150" s="69"/>
      <c r="D1150" s="70"/>
      <c r="S1150" s="34"/>
      <c r="T1150" s="60" t="str">
        <f>IF(P1150&lt;&gt;"",
    IF(OR(O1150="", Q1150="", R1150=""),
        "Fill all the required columns",
        IFERROR(
            IF(OR(
                AND(R1150="Marine Protected", VLOOKUP(O1150, Reference!$A$2:$D$34, 4, FALSE) &lt;= P1150),
                AND(R1150="General Use", VLOOKUP(O1150, Reference!$A$2:$D$34, 3, FALSE) &lt;= P1150)
            ),
                "Exceeded",
                "OK"
            ),
            "No Regulation defined"
        )
    ),
    ""
)</f>
        <v/>
      </c>
      <c r="AB1150" s="62" t="str">
        <f t="shared" si="17"/>
        <v/>
      </c>
    </row>
    <row r="1151" spans="3:28" x14ac:dyDescent="0.2">
      <c r="C1151" s="69"/>
      <c r="D1151" s="70"/>
      <c r="S1151" s="34"/>
      <c r="T1151" s="60" t="str">
        <f>IF(P1151&lt;&gt;"",
    IF(OR(O1151="", Q1151="", R1151=""),
        "Fill all the required columns",
        IFERROR(
            IF(OR(
                AND(R1151="Marine Protected", VLOOKUP(O1151, Reference!$A$2:$D$34, 4, FALSE) &lt;= P1151),
                AND(R1151="General Use", VLOOKUP(O1151, Reference!$A$2:$D$34, 3, FALSE) &lt;= P1151)
            ),
                "Exceeded",
                "OK"
            ),
            "No Regulation defined"
        )
    ),
    ""
)</f>
        <v/>
      </c>
      <c r="AB1151" s="62" t="str">
        <f t="shared" si="17"/>
        <v/>
      </c>
    </row>
    <row r="1152" spans="3:28" x14ac:dyDescent="0.2">
      <c r="C1152" s="69"/>
      <c r="D1152" s="70"/>
      <c r="S1152" s="34"/>
      <c r="T1152" s="60" t="str">
        <f>IF(P1152&lt;&gt;"",
    IF(OR(O1152="", Q1152="", R1152=""),
        "Fill all the required columns",
        IFERROR(
            IF(OR(
                AND(R1152="Marine Protected", VLOOKUP(O1152, Reference!$A$2:$D$34, 4, FALSE) &lt;= P1152),
                AND(R1152="General Use", VLOOKUP(O1152, Reference!$A$2:$D$34, 3, FALSE) &lt;= P1152)
            ),
                "Exceeded",
                "OK"
            ),
            "No Regulation defined"
        )
    ),
    ""
)</f>
        <v/>
      </c>
      <c r="AB1152" s="62" t="str">
        <f t="shared" si="17"/>
        <v/>
      </c>
    </row>
    <row r="1153" spans="3:28" x14ac:dyDescent="0.2">
      <c r="C1153" s="69"/>
      <c r="D1153" s="70"/>
      <c r="S1153" s="34"/>
      <c r="T1153" s="60" t="str">
        <f>IF(P1153&lt;&gt;"",
    IF(OR(O1153="", Q1153="", R1153=""),
        "Fill all the required columns",
        IFERROR(
            IF(OR(
                AND(R1153="Marine Protected", VLOOKUP(O1153, Reference!$A$2:$D$34, 4, FALSE) &lt;= P1153),
                AND(R1153="General Use", VLOOKUP(O1153, Reference!$A$2:$D$34, 3, FALSE) &lt;= P1153)
            ),
                "Exceeded",
                "OK"
            ),
            "No Regulation defined"
        )
    ),
    ""
)</f>
        <v/>
      </c>
      <c r="AB1153" s="62" t="str">
        <f t="shared" si="17"/>
        <v/>
      </c>
    </row>
    <row r="1154" spans="3:28" x14ac:dyDescent="0.2">
      <c r="C1154" s="69"/>
      <c r="D1154" s="70"/>
      <c r="S1154" s="34"/>
      <c r="T1154" s="60" t="str">
        <f>IF(P1154&lt;&gt;"",
    IF(OR(O1154="", Q1154="", R1154=""),
        "Fill all the required columns",
        IFERROR(
            IF(OR(
                AND(R1154="Marine Protected", VLOOKUP(O1154, Reference!$A$2:$D$34, 4, FALSE) &lt;= P1154),
                AND(R1154="General Use", VLOOKUP(O1154, Reference!$A$2:$D$34, 3, FALSE) &lt;= P1154)
            ),
                "Exceeded",
                "OK"
            ),
            "No Regulation defined"
        )
    ),
    ""
)</f>
        <v/>
      </c>
      <c r="AB1154" s="62" t="str">
        <f t="shared" si="17"/>
        <v/>
      </c>
    </row>
    <row r="1155" spans="3:28" x14ac:dyDescent="0.2">
      <c r="C1155" s="69"/>
      <c r="D1155" s="70"/>
      <c r="S1155" s="34"/>
      <c r="T1155" s="60" t="str">
        <f>IF(P1155&lt;&gt;"",
    IF(OR(O1155="", Q1155="", R1155=""),
        "Fill all the required columns",
        IFERROR(
            IF(OR(
                AND(R1155="Marine Protected", VLOOKUP(O1155, Reference!$A$2:$D$34, 4, FALSE) &lt;= P1155),
                AND(R1155="General Use", VLOOKUP(O1155, Reference!$A$2:$D$34, 3, FALSE) &lt;= P1155)
            ),
                "Exceeded",
                "OK"
            ),
            "No Regulation defined"
        )
    ),
    ""
)</f>
        <v/>
      </c>
      <c r="AB1155" s="62" t="str">
        <f t="shared" ref="AB1155:AB1218" si="18">IF(COUNTA(A1155, E1155, F1155, H1155, I1155, O1155, P1155, Q1155, R1155,S1155) = 0, "", IF(COUNTA(A1155, E1155, F1155, H1155, I1155, O1155, P1155, Q1155, R1155,S1155) = 10, "OK", "Incomplete"))</f>
        <v/>
      </c>
    </row>
    <row r="1156" spans="3:28" x14ac:dyDescent="0.2">
      <c r="C1156" s="69"/>
      <c r="D1156" s="70"/>
      <c r="S1156" s="34"/>
      <c r="T1156" s="60" t="str">
        <f>IF(P1156&lt;&gt;"",
    IF(OR(O1156="", Q1156="", R1156=""),
        "Fill all the required columns",
        IFERROR(
            IF(OR(
                AND(R1156="Marine Protected", VLOOKUP(O1156, Reference!$A$2:$D$34, 4, FALSE) &lt;= P1156),
                AND(R1156="General Use", VLOOKUP(O1156, Reference!$A$2:$D$34, 3, FALSE) &lt;= P1156)
            ),
                "Exceeded",
                "OK"
            ),
            "No Regulation defined"
        )
    ),
    ""
)</f>
        <v/>
      </c>
      <c r="AB1156" s="62" t="str">
        <f t="shared" si="18"/>
        <v/>
      </c>
    </row>
    <row r="1157" spans="3:28" x14ac:dyDescent="0.2">
      <c r="C1157" s="69"/>
      <c r="D1157" s="70"/>
      <c r="S1157" s="34"/>
      <c r="T1157" s="60" t="str">
        <f>IF(P1157&lt;&gt;"",
    IF(OR(O1157="", Q1157="", R1157=""),
        "Fill all the required columns",
        IFERROR(
            IF(OR(
                AND(R1157="Marine Protected", VLOOKUP(O1157, Reference!$A$2:$D$34, 4, FALSE) &lt;= P1157),
                AND(R1157="General Use", VLOOKUP(O1157, Reference!$A$2:$D$34, 3, FALSE) &lt;= P1157)
            ),
                "Exceeded",
                "OK"
            ),
            "No Regulation defined"
        )
    ),
    ""
)</f>
        <v/>
      </c>
      <c r="AB1157" s="62" t="str">
        <f t="shared" si="18"/>
        <v/>
      </c>
    </row>
    <row r="1158" spans="3:28" x14ac:dyDescent="0.2">
      <c r="C1158" s="69"/>
      <c r="D1158" s="70"/>
      <c r="S1158" s="34"/>
      <c r="T1158" s="60" t="str">
        <f>IF(P1158&lt;&gt;"",
    IF(OR(O1158="", Q1158="", R1158=""),
        "Fill all the required columns",
        IFERROR(
            IF(OR(
                AND(R1158="Marine Protected", VLOOKUP(O1158, Reference!$A$2:$D$34, 4, FALSE) &lt;= P1158),
                AND(R1158="General Use", VLOOKUP(O1158, Reference!$A$2:$D$34, 3, FALSE) &lt;= P1158)
            ),
                "Exceeded",
                "OK"
            ),
            "No Regulation defined"
        )
    ),
    ""
)</f>
        <v/>
      </c>
      <c r="AB1158" s="62" t="str">
        <f t="shared" si="18"/>
        <v/>
      </c>
    </row>
    <row r="1159" spans="3:28" x14ac:dyDescent="0.2">
      <c r="C1159" s="69"/>
      <c r="D1159" s="70"/>
      <c r="S1159" s="34"/>
      <c r="T1159" s="60" t="str">
        <f>IF(P1159&lt;&gt;"",
    IF(OR(O1159="", Q1159="", R1159=""),
        "Fill all the required columns",
        IFERROR(
            IF(OR(
                AND(R1159="Marine Protected", VLOOKUP(O1159, Reference!$A$2:$D$34, 4, FALSE) &lt;= P1159),
                AND(R1159="General Use", VLOOKUP(O1159, Reference!$A$2:$D$34, 3, FALSE) &lt;= P1159)
            ),
                "Exceeded",
                "OK"
            ),
            "No Regulation defined"
        )
    ),
    ""
)</f>
        <v/>
      </c>
      <c r="AB1159" s="62" t="str">
        <f t="shared" si="18"/>
        <v/>
      </c>
    </row>
    <row r="1160" spans="3:28" x14ac:dyDescent="0.2">
      <c r="C1160" s="69"/>
      <c r="D1160" s="70"/>
      <c r="S1160" s="34"/>
      <c r="T1160" s="60" t="str">
        <f>IF(P1160&lt;&gt;"",
    IF(OR(O1160="", Q1160="", R1160=""),
        "Fill all the required columns",
        IFERROR(
            IF(OR(
                AND(R1160="Marine Protected", VLOOKUP(O1160, Reference!$A$2:$D$34, 4, FALSE) &lt;= P1160),
                AND(R1160="General Use", VLOOKUP(O1160, Reference!$A$2:$D$34, 3, FALSE) &lt;= P1160)
            ),
                "Exceeded",
                "OK"
            ),
            "No Regulation defined"
        )
    ),
    ""
)</f>
        <v/>
      </c>
      <c r="AB1160" s="62" t="str">
        <f t="shared" si="18"/>
        <v/>
      </c>
    </row>
    <row r="1161" spans="3:28" x14ac:dyDescent="0.2">
      <c r="C1161" s="69"/>
      <c r="D1161" s="70"/>
      <c r="S1161" s="34"/>
      <c r="T1161" s="60" t="str">
        <f>IF(P1161&lt;&gt;"",
    IF(OR(O1161="", Q1161="", R1161=""),
        "Fill all the required columns",
        IFERROR(
            IF(OR(
                AND(R1161="Marine Protected", VLOOKUP(O1161, Reference!$A$2:$D$34, 4, FALSE) &lt;= P1161),
                AND(R1161="General Use", VLOOKUP(O1161, Reference!$A$2:$D$34, 3, FALSE) &lt;= P1161)
            ),
                "Exceeded",
                "OK"
            ),
            "No Regulation defined"
        )
    ),
    ""
)</f>
        <v/>
      </c>
      <c r="AB1161" s="62" t="str">
        <f t="shared" si="18"/>
        <v/>
      </c>
    </row>
    <row r="1162" spans="3:28" x14ac:dyDescent="0.2">
      <c r="C1162" s="69"/>
      <c r="D1162" s="70"/>
      <c r="S1162" s="34"/>
      <c r="T1162" s="60" t="str">
        <f>IF(P1162&lt;&gt;"",
    IF(OR(O1162="", Q1162="", R1162=""),
        "Fill all the required columns",
        IFERROR(
            IF(OR(
                AND(R1162="Marine Protected", VLOOKUP(O1162, Reference!$A$2:$D$34, 4, FALSE) &lt;= P1162),
                AND(R1162="General Use", VLOOKUP(O1162, Reference!$A$2:$D$34, 3, FALSE) &lt;= P1162)
            ),
                "Exceeded",
                "OK"
            ),
            "No Regulation defined"
        )
    ),
    ""
)</f>
        <v/>
      </c>
      <c r="AB1162" s="62" t="str">
        <f t="shared" si="18"/>
        <v/>
      </c>
    </row>
    <row r="1163" spans="3:28" x14ac:dyDescent="0.2">
      <c r="C1163" s="69"/>
      <c r="D1163" s="70"/>
      <c r="S1163" s="34"/>
      <c r="T1163" s="60" t="str">
        <f>IF(P1163&lt;&gt;"",
    IF(OR(O1163="", Q1163="", R1163=""),
        "Fill all the required columns",
        IFERROR(
            IF(OR(
                AND(R1163="Marine Protected", VLOOKUP(O1163, Reference!$A$2:$D$34, 4, FALSE) &lt;= P1163),
                AND(R1163="General Use", VLOOKUP(O1163, Reference!$A$2:$D$34, 3, FALSE) &lt;= P1163)
            ),
                "Exceeded",
                "OK"
            ),
            "No Regulation defined"
        )
    ),
    ""
)</f>
        <v/>
      </c>
      <c r="AB1163" s="62" t="str">
        <f t="shared" si="18"/>
        <v/>
      </c>
    </row>
    <row r="1164" spans="3:28" x14ac:dyDescent="0.2">
      <c r="C1164" s="69"/>
      <c r="D1164" s="70"/>
      <c r="S1164" s="34"/>
      <c r="T1164" s="60" t="str">
        <f>IF(P1164&lt;&gt;"",
    IF(OR(O1164="", Q1164="", R1164=""),
        "Fill all the required columns",
        IFERROR(
            IF(OR(
                AND(R1164="Marine Protected", VLOOKUP(O1164, Reference!$A$2:$D$34, 4, FALSE) &lt;= P1164),
                AND(R1164="General Use", VLOOKUP(O1164, Reference!$A$2:$D$34, 3, FALSE) &lt;= P1164)
            ),
                "Exceeded",
                "OK"
            ),
            "No Regulation defined"
        )
    ),
    ""
)</f>
        <v/>
      </c>
      <c r="AB1164" s="62" t="str">
        <f t="shared" si="18"/>
        <v/>
      </c>
    </row>
    <row r="1165" spans="3:28" x14ac:dyDescent="0.2">
      <c r="C1165" s="69"/>
      <c r="D1165" s="70"/>
      <c r="S1165" s="34"/>
      <c r="T1165" s="60" t="str">
        <f>IF(P1165&lt;&gt;"",
    IF(OR(O1165="", Q1165="", R1165=""),
        "Fill all the required columns",
        IFERROR(
            IF(OR(
                AND(R1165="Marine Protected", VLOOKUP(O1165, Reference!$A$2:$D$34, 4, FALSE) &lt;= P1165),
                AND(R1165="General Use", VLOOKUP(O1165, Reference!$A$2:$D$34, 3, FALSE) &lt;= P1165)
            ),
                "Exceeded",
                "OK"
            ),
            "No Regulation defined"
        )
    ),
    ""
)</f>
        <v/>
      </c>
      <c r="AB1165" s="62" t="str">
        <f t="shared" si="18"/>
        <v/>
      </c>
    </row>
    <row r="1166" spans="3:28" x14ac:dyDescent="0.2">
      <c r="C1166" s="69"/>
      <c r="D1166" s="70"/>
      <c r="S1166" s="34"/>
      <c r="T1166" s="60" t="str">
        <f>IF(P1166&lt;&gt;"",
    IF(OR(O1166="", Q1166="", R1166=""),
        "Fill all the required columns",
        IFERROR(
            IF(OR(
                AND(R1166="Marine Protected", VLOOKUP(O1166, Reference!$A$2:$D$34, 4, FALSE) &lt;= P1166),
                AND(R1166="General Use", VLOOKUP(O1166, Reference!$A$2:$D$34, 3, FALSE) &lt;= P1166)
            ),
                "Exceeded",
                "OK"
            ),
            "No Regulation defined"
        )
    ),
    ""
)</f>
        <v/>
      </c>
      <c r="AB1166" s="62" t="str">
        <f t="shared" si="18"/>
        <v/>
      </c>
    </row>
    <row r="1167" spans="3:28" x14ac:dyDescent="0.2">
      <c r="C1167" s="69"/>
      <c r="D1167" s="70"/>
      <c r="S1167" s="34"/>
      <c r="T1167" s="60" t="str">
        <f>IF(P1167&lt;&gt;"",
    IF(OR(O1167="", Q1167="", R1167=""),
        "Fill all the required columns",
        IFERROR(
            IF(OR(
                AND(R1167="Marine Protected", VLOOKUP(O1167, Reference!$A$2:$D$34, 4, FALSE) &lt;= P1167),
                AND(R1167="General Use", VLOOKUP(O1167, Reference!$A$2:$D$34, 3, FALSE) &lt;= P1167)
            ),
                "Exceeded",
                "OK"
            ),
            "No Regulation defined"
        )
    ),
    ""
)</f>
        <v/>
      </c>
      <c r="AB1167" s="62" t="str">
        <f t="shared" si="18"/>
        <v/>
      </c>
    </row>
    <row r="1168" spans="3:28" x14ac:dyDescent="0.2">
      <c r="C1168" s="69"/>
      <c r="D1168" s="70"/>
      <c r="S1168" s="34"/>
      <c r="T1168" s="60" t="str">
        <f>IF(P1168&lt;&gt;"",
    IF(OR(O1168="", Q1168="", R1168=""),
        "Fill all the required columns",
        IFERROR(
            IF(OR(
                AND(R1168="Marine Protected", VLOOKUP(O1168, Reference!$A$2:$D$34, 4, FALSE) &lt;= P1168),
                AND(R1168="General Use", VLOOKUP(O1168, Reference!$A$2:$D$34, 3, FALSE) &lt;= P1168)
            ),
                "Exceeded",
                "OK"
            ),
            "No Regulation defined"
        )
    ),
    ""
)</f>
        <v/>
      </c>
      <c r="AB1168" s="62" t="str">
        <f t="shared" si="18"/>
        <v/>
      </c>
    </row>
    <row r="1169" spans="3:28" x14ac:dyDescent="0.2">
      <c r="C1169" s="69"/>
      <c r="D1169" s="70"/>
      <c r="S1169" s="34"/>
      <c r="T1169" s="60" t="str">
        <f>IF(P1169&lt;&gt;"",
    IF(OR(O1169="", Q1169="", R1169=""),
        "Fill all the required columns",
        IFERROR(
            IF(OR(
                AND(R1169="Marine Protected", VLOOKUP(O1169, Reference!$A$2:$D$34, 4, FALSE) &lt;= P1169),
                AND(R1169="General Use", VLOOKUP(O1169, Reference!$A$2:$D$34, 3, FALSE) &lt;= P1169)
            ),
                "Exceeded",
                "OK"
            ),
            "No Regulation defined"
        )
    ),
    ""
)</f>
        <v/>
      </c>
      <c r="AB1169" s="62" t="str">
        <f t="shared" si="18"/>
        <v/>
      </c>
    </row>
    <row r="1170" spans="3:28" x14ac:dyDescent="0.2">
      <c r="C1170" s="69"/>
      <c r="D1170" s="70"/>
      <c r="S1170" s="34"/>
      <c r="T1170" s="60" t="str">
        <f>IF(P1170&lt;&gt;"",
    IF(OR(O1170="", Q1170="", R1170=""),
        "Fill all the required columns",
        IFERROR(
            IF(OR(
                AND(R1170="Marine Protected", VLOOKUP(O1170, Reference!$A$2:$D$34, 4, FALSE) &lt;= P1170),
                AND(R1170="General Use", VLOOKUP(O1170, Reference!$A$2:$D$34, 3, FALSE) &lt;= P1170)
            ),
                "Exceeded",
                "OK"
            ),
            "No Regulation defined"
        )
    ),
    ""
)</f>
        <v/>
      </c>
      <c r="AB1170" s="62" t="str">
        <f t="shared" si="18"/>
        <v/>
      </c>
    </row>
    <row r="1171" spans="3:28" x14ac:dyDescent="0.2">
      <c r="C1171" s="69"/>
      <c r="D1171" s="70"/>
      <c r="S1171" s="34"/>
      <c r="T1171" s="60" t="str">
        <f>IF(P1171&lt;&gt;"",
    IF(OR(O1171="", Q1171="", R1171=""),
        "Fill all the required columns",
        IFERROR(
            IF(OR(
                AND(R1171="Marine Protected", VLOOKUP(O1171, Reference!$A$2:$D$34, 4, FALSE) &lt;= P1171),
                AND(R1171="General Use", VLOOKUP(O1171, Reference!$A$2:$D$34, 3, FALSE) &lt;= P1171)
            ),
                "Exceeded",
                "OK"
            ),
            "No Regulation defined"
        )
    ),
    ""
)</f>
        <v/>
      </c>
      <c r="AB1171" s="62" t="str">
        <f t="shared" si="18"/>
        <v/>
      </c>
    </row>
    <row r="1172" spans="3:28" x14ac:dyDescent="0.2">
      <c r="C1172" s="69"/>
      <c r="D1172" s="70"/>
      <c r="S1172" s="34"/>
      <c r="T1172" s="60" t="str">
        <f>IF(P1172&lt;&gt;"",
    IF(OR(O1172="", Q1172="", R1172=""),
        "Fill all the required columns",
        IFERROR(
            IF(OR(
                AND(R1172="Marine Protected", VLOOKUP(O1172, Reference!$A$2:$D$34, 4, FALSE) &lt;= P1172),
                AND(R1172="General Use", VLOOKUP(O1172, Reference!$A$2:$D$34, 3, FALSE) &lt;= P1172)
            ),
                "Exceeded",
                "OK"
            ),
            "No Regulation defined"
        )
    ),
    ""
)</f>
        <v/>
      </c>
      <c r="AB1172" s="62" t="str">
        <f t="shared" si="18"/>
        <v/>
      </c>
    </row>
    <row r="1173" spans="3:28" x14ac:dyDescent="0.2">
      <c r="C1173" s="69"/>
      <c r="D1173" s="70"/>
      <c r="S1173" s="34"/>
      <c r="T1173" s="60" t="str">
        <f>IF(P1173&lt;&gt;"",
    IF(OR(O1173="", Q1173="", R1173=""),
        "Fill all the required columns",
        IFERROR(
            IF(OR(
                AND(R1173="Marine Protected", VLOOKUP(O1173, Reference!$A$2:$D$34, 4, FALSE) &lt;= P1173),
                AND(R1173="General Use", VLOOKUP(O1173, Reference!$A$2:$D$34, 3, FALSE) &lt;= P1173)
            ),
                "Exceeded",
                "OK"
            ),
            "No Regulation defined"
        )
    ),
    ""
)</f>
        <v/>
      </c>
      <c r="AB1173" s="62" t="str">
        <f t="shared" si="18"/>
        <v/>
      </c>
    </row>
    <row r="1174" spans="3:28" x14ac:dyDescent="0.2">
      <c r="C1174" s="69"/>
      <c r="D1174" s="70"/>
      <c r="S1174" s="34"/>
      <c r="T1174" s="60" t="str">
        <f>IF(P1174&lt;&gt;"",
    IF(OR(O1174="", Q1174="", R1174=""),
        "Fill all the required columns",
        IFERROR(
            IF(OR(
                AND(R1174="Marine Protected", VLOOKUP(O1174, Reference!$A$2:$D$34, 4, FALSE) &lt;= P1174),
                AND(R1174="General Use", VLOOKUP(O1174, Reference!$A$2:$D$34, 3, FALSE) &lt;= P1174)
            ),
                "Exceeded",
                "OK"
            ),
            "No Regulation defined"
        )
    ),
    ""
)</f>
        <v/>
      </c>
      <c r="AB1174" s="62" t="str">
        <f t="shared" si="18"/>
        <v/>
      </c>
    </row>
    <row r="1175" spans="3:28" x14ac:dyDescent="0.2">
      <c r="C1175" s="69"/>
      <c r="D1175" s="70"/>
      <c r="S1175" s="34"/>
      <c r="T1175" s="60" t="str">
        <f>IF(P1175&lt;&gt;"",
    IF(OR(O1175="", Q1175="", R1175=""),
        "Fill all the required columns",
        IFERROR(
            IF(OR(
                AND(R1175="Marine Protected", VLOOKUP(O1175, Reference!$A$2:$D$34, 4, FALSE) &lt;= P1175),
                AND(R1175="General Use", VLOOKUP(O1175, Reference!$A$2:$D$34, 3, FALSE) &lt;= P1175)
            ),
                "Exceeded",
                "OK"
            ),
            "No Regulation defined"
        )
    ),
    ""
)</f>
        <v/>
      </c>
      <c r="AB1175" s="62" t="str">
        <f t="shared" si="18"/>
        <v/>
      </c>
    </row>
    <row r="1176" spans="3:28" x14ac:dyDescent="0.2">
      <c r="C1176" s="69"/>
      <c r="D1176" s="70"/>
      <c r="S1176" s="34"/>
      <c r="T1176" s="60" t="str">
        <f>IF(P1176&lt;&gt;"",
    IF(OR(O1176="", Q1176="", R1176=""),
        "Fill all the required columns",
        IFERROR(
            IF(OR(
                AND(R1176="Marine Protected", VLOOKUP(O1176, Reference!$A$2:$D$34, 4, FALSE) &lt;= P1176),
                AND(R1176="General Use", VLOOKUP(O1176, Reference!$A$2:$D$34, 3, FALSE) &lt;= P1176)
            ),
                "Exceeded",
                "OK"
            ),
            "No Regulation defined"
        )
    ),
    ""
)</f>
        <v/>
      </c>
      <c r="AB1176" s="62" t="str">
        <f t="shared" si="18"/>
        <v/>
      </c>
    </row>
    <row r="1177" spans="3:28" x14ac:dyDescent="0.2">
      <c r="C1177" s="69"/>
      <c r="D1177" s="70"/>
      <c r="S1177" s="34"/>
      <c r="T1177" s="60" t="str">
        <f>IF(P1177&lt;&gt;"",
    IF(OR(O1177="", Q1177="", R1177=""),
        "Fill all the required columns",
        IFERROR(
            IF(OR(
                AND(R1177="Marine Protected", VLOOKUP(O1177, Reference!$A$2:$D$34, 4, FALSE) &lt;= P1177),
                AND(R1177="General Use", VLOOKUP(O1177, Reference!$A$2:$D$34, 3, FALSE) &lt;= P1177)
            ),
                "Exceeded",
                "OK"
            ),
            "No Regulation defined"
        )
    ),
    ""
)</f>
        <v/>
      </c>
      <c r="AB1177" s="62" t="str">
        <f t="shared" si="18"/>
        <v/>
      </c>
    </row>
    <row r="1178" spans="3:28" x14ac:dyDescent="0.2">
      <c r="C1178" s="69"/>
      <c r="D1178" s="70"/>
      <c r="S1178" s="34"/>
      <c r="T1178" s="60" t="str">
        <f>IF(P1178&lt;&gt;"",
    IF(OR(O1178="", Q1178="", R1178=""),
        "Fill all the required columns",
        IFERROR(
            IF(OR(
                AND(R1178="Marine Protected", VLOOKUP(O1178, Reference!$A$2:$D$34, 4, FALSE) &lt;= P1178),
                AND(R1178="General Use", VLOOKUP(O1178, Reference!$A$2:$D$34, 3, FALSE) &lt;= P1178)
            ),
                "Exceeded",
                "OK"
            ),
            "No Regulation defined"
        )
    ),
    ""
)</f>
        <v/>
      </c>
      <c r="AB1178" s="62" t="str">
        <f t="shared" si="18"/>
        <v/>
      </c>
    </row>
    <row r="1179" spans="3:28" x14ac:dyDescent="0.2">
      <c r="C1179" s="69"/>
      <c r="D1179" s="70"/>
      <c r="S1179" s="34"/>
      <c r="T1179" s="60" t="str">
        <f>IF(P1179&lt;&gt;"",
    IF(OR(O1179="", Q1179="", R1179=""),
        "Fill all the required columns",
        IFERROR(
            IF(OR(
                AND(R1179="Marine Protected", VLOOKUP(O1179, Reference!$A$2:$D$34, 4, FALSE) &lt;= P1179),
                AND(R1179="General Use", VLOOKUP(O1179, Reference!$A$2:$D$34, 3, FALSE) &lt;= P1179)
            ),
                "Exceeded",
                "OK"
            ),
            "No Regulation defined"
        )
    ),
    ""
)</f>
        <v/>
      </c>
      <c r="AB1179" s="62" t="str">
        <f t="shared" si="18"/>
        <v/>
      </c>
    </row>
    <row r="1180" spans="3:28" x14ac:dyDescent="0.2">
      <c r="C1180" s="69"/>
      <c r="D1180" s="70"/>
      <c r="S1180" s="34"/>
      <c r="T1180" s="60" t="str">
        <f>IF(P1180&lt;&gt;"",
    IF(OR(O1180="", Q1180="", R1180=""),
        "Fill all the required columns",
        IFERROR(
            IF(OR(
                AND(R1180="Marine Protected", VLOOKUP(O1180, Reference!$A$2:$D$34, 4, FALSE) &lt;= P1180),
                AND(R1180="General Use", VLOOKUP(O1180, Reference!$A$2:$D$34, 3, FALSE) &lt;= P1180)
            ),
                "Exceeded",
                "OK"
            ),
            "No Regulation defined"
        )
    ),
    ""
)</f>
        <v/>
      </c>
      <c r="AB1180" s="62" t="str">
        <f t="shared" si="18"/>
        <v/>
      </c>
    </row>
    <row r="1181" spans="3:28" x14ac:dyDescent="0.2">
      <c r="C1181" s="69"/>
      <c r="D1181" s="70"/>
      <c r="S1181" s="34"/>
      <c r="T1181" s="60" t="str">
        <f>IF(P1181&lt;&gt;"",
    IF(OR(O1181="", Q1181="", R1181=""),
        "Fill all the required columns",
        IFERROR(
            IF(OR(
                AND(R1181="Marine Protected", VLOOKUP(O1181, Reference!$A$2:$D$34, 4, FALSE) &lt;= P1181),
                AND(R1181="General Use", VLOOKUP(O1181, Reference!$A$2:$D$34, 3, FALSE) &lt;= P1181)
            ),
                "Exceeded",
                "OK"
            ),
            "No Regulation defined"
        )
    ),
    ""
)</f>
        <v/>
      </c>
      <c r="AB1181" s="62" t="str">
        <f t="shared" si="18"/>
        <v/>
      </c>
    </row>
    <row r="1182" spans="3:28" x14ac:dyDescent="0.2">
      <c r="C1182" s="69"/>
      <c r="D1182" s="70"/>
      <c r="S1182" s="34"/>
      <c r="T1182" s="60" t="str">
        <f>IF(P1182&lt;&gt;"",
    IF(OR(O1182="", Q1182="", R1182=""),
        "Fill all the required columns",
        IFERROR(
            IF(OR(
                AND(R1182="Marine Protected", VLOOKUP(O1182, Reference!$A$2:$D$34, 4, FALSE) &lt;= P1182),
                AND(R1182="General Use", VLOOKUP(O1182, Reference!$A$2:$D$34, 3, FALSE) &lt;= P1182)
            ),
                "Exceeded",
                "OK"
            ),
            "No Regulation defined"
        )
    ),
    ""
)</f>
        <v/>
      </c>
      <c r="AB1182" s="62" t="str">
        <f t="shared" si="18"/>
        <v/>
      </c>
    </row>
    <row r="1183" spans="3:28" x14ac:dyDescent="0.2">
      <c r="C1183" s="69"/>
      <c r="D1183" s="70"/>
      <c r="S1183" s="34"/>
      <c r="T1183" s="60" t="str">
        <f>IF(P1183&lt;&gt;"",
    IF(OR(O1183="", Q1183="", R1183=""),
        "Fill all the required columns",
        IFERROR(
            IF(OR(
                AND(R1183="Marine Protected", VLOOKUP(O1183, Reference!$A$2:$D$34, 4, FALSE) &lt;= P1183),
                AND(R1183="General Use", VLOOKUP(O1183, Reference!$A$2:$D$34, 3, FALSE) &lt;= P1183)
            ),
                "Exceeded",
                "OK"
            ),
            "No Regulation defined"
        )
    ),
    ""
)</f>
        <v/>
      </c>
      <c r="AB1183" s="62" t="str">
        <f t="shared" si="18"/>
        <v/>
      </c>
    </row>
    <row r="1184" spans="3:28" x14ac:dyDescent="0.2">
      <c r="C1184" s="69"/>
      <c r="D1184" s="70"/>
      <c r="S1184" s="34"/>
      <c r="T1184" s="60" t="str">
        <f>IF(P1184&lt;&gt;"",
    IF(OR(O1184="", Q1184="", R1184=""),
        "Fill all the required columns",
        IFERROR(
            IF(OR(
                AND(R1184="Marine Protected", VLOOKUP(O1184, Reference!$A$2:$D$34, 4, FALSE) &lt;= P1184),
                AND(R1184="General Use", VLOOKUP(O1184, Reference!$A$2:$D$34, 3, FALSE) &lt;= P1184)
            ),
                "Exceeded",
                "OK"
            ),
            "No Regulation defined"
        )
    ),
    ""
)</f>
        <v/>
      </c>
      <c r="AB1184" s="62" t="str">
        <f t="shared" si="18"/>
        <v/>
      </c>
    </row>
    <row r="1185" spans="3:28" x14ac:dyDescent="0.2">
      <c r="C1185" s="69"/>
      <c r="D1185" s="70"/>
      <c r="S1185" s="34"/>
      <c r="T1185" s="60" t="str">
        <f>IF(P1185&lt;&gt;"",
    IF(OR(O1185="", Q1185="", R1185=""),
        "Fill all the required columns",
        IFERROR(
            IF(OR(
                AND(R1185="Marine Protected", VLOOKUP(O1185, Reference!$A$2:$D$34, 4, FALSE) &lt;= P1185),
                AND(R1185="General Use", VLOOKUP(O1185, Reference!$A$2:$D$34, 3, FALSE) &lt;= P1185)
            ),
                "Exceeded",
                "OK"
            ),
            "No Regulation defined"
        )
    ),
    ""
)</f>
        <v/>
      </c>
      <c r="AB1185" s="62" t="str">
        <f t="shared" si="18"/>
        <v/>
      </c>
    </row>
    <row r="1186" spans="3:28" x14ac:dyDescent="0.2">
      <c r="C1186" s="69"/>
      <c r="D1186" s="70"/>
      <c r="S1186" s="34"/>
      <c r="T1186" s="60" t="str">
        <f>IF(P1186&lt;&gt;"",
    IF(OR(O1186="", Q1186="", R1186=""),
        "Fill all the required columns",
        IFERROR(
            IF(OR(
                AND(R1186="Marine Protected", VLOOKUP(O1186, Reference!$A$2:$D$34, 4, FALSE) &lt;= P1186),
                AND(R1186="General Use", VLOOKUP(O1186, Reference!$A$2:$D$34, 3, FALSE) &lt;= P1186)
            ),
                "Exceeded",
                "OK"
            ),
            "No Regulation defined"
        )
    ),
    ""
)</f>
        <v/>
      </c>
      <c r="AB1186" s="62" t="str">
        <f t="shared" si="18"/>
        <v/>
      </c>
    </row>
    <row r="1187" spans="3:28" x14ac:dyDescent="0.2">
      <c r="C1187" s="69"/>
      <c r="D1187" s="70"/>
      <c r="S1187" s="34"/>
      <c r="T1187" s="60" t="str">
        <f>IF(P1187&lt;&gt;"",
    IF(OR(O1187="", Q1187="", R1187=""),
        "Fill all the required columns",
        IFERROR(
            IF(OR(
                AND(R1187="Marine Protected", VLOOKUP(O1187, Reference!$A$2:$D$34, 4, FALSE) &lt;= P1187),
                AND(R1187="General Use", VLOOKUP(O1187, Reference!$A$2:$D$34, 3, FALSE) &lt;= P1187)
            ),
                "Exceeded",
                "OK"
            ),
            "No Regulation defined"
        )
    ),
    ""
)</f>
        <v/>
      </c>
      <c r="AB1187" s="62" t="str">
        <f t="shared" si="18"/>
        <v/>
      </c>
    </row>
    <row r="1188" spans="3:28" x14ac:dyDescent="0.2">
      <c r="C1188" s="69"/>
      <c r="D1188" s="70"/>
      <c r="S1188" s="34"/>
      <c r="T1188" s="60" t="str">
        <f>IF(P1188&lt;&gt;"",
    IF(OR(O1188="", Q1188="", R1188=""),
        "Fill all the required columns",
        IFERROR(
            IF(OR(
                AND(R1188="Marine Protected", VLOOKUP(O1188, Reference!$A$2:$D$34, 4, FALSE) &lt;= P1188),
                AND(R1188="General Use", VLOOKUP(O1188, Reference!$A$2:$D$34, 3, FALSE) &lt;= P1188)
            ),
                "Exceeded",
                "OK"
            ),
            "No Regulation defined"
        )
    ),
    ""
)</f>
        <v/>
      </c>
      <c r="AB1188" s="62" t="str">
        <f t="shared" si="18"/>
        <v/>
      </c>
    </row>
    <row r="1189" spans="3:28" x14ac:dyDescent="0.2">
      <c r="C1189" s="69"/>
      <c r="D1189" s="70"/>
      <c r="S1189" s="34"/>
      <c r="T1189" s="60" t="str">
        <f>IF(P1189&lt;&gt;"",
    IF(OR(O1189="", Q1189="", R1189=""),
        "Fill all the required columns",
        IFERROR(
            IF(OR(
                AND(R1189="Marine Protected", VLOOKUP(O1189, Reference!$A$2:$D$34, 4, FALSE) &lt;= P1189),
                AND(R1189="General Use", VLOOKUP(O1189, Reference!$A$2:$D$34, 3, FALSE) &lt;= P1189)
            ),
                "Exceeded",
                "OK"
            ),
            "No Regulation defined"
        )
    ),
    ""
)</f>
        <v/>
      </c>
      <c r="AB1189" s="62" t="str">
        <f t="shared" si="18"/>
        <v/>
      </c>
    </row>
    <row r="1190" spans="3:28" x14ac:dyDescent="0.2">
      <c r="C1190" s="69"/>
      <c r="D1190" s="70"/>
      <c r="S1190" s="34"/>
      <c r="T1190" s="60" t="str">
        <f>IF(P1190&lt;&gt;"",
    IF(OR(O1190="", Q1190="", R1190=""),
        "Fill all the required columns",
        IFERROR(
            IF(OR(
                AND(R1190="Marine Protected", VLOOKUP(O1190, Reference!$A$2:$D$34, 4, FALSE) &lt;= P1190),
                AND(R1190="General Use", VLOOKUP(O1190, Reference!$A$2:$D$34, 3, FALSE) &lt;= P1190)
            ),
                "Exceeded",
                "OK"
            ),
            "No Regulation defined"
        )
    ),
    ""
)</f>
        <v/>
      </c>
      <c r="AB1190" s="62" t="str">
        <f t="shared" si="18"/>
        <v/>
      </c>
    </row>
    <row r="1191" spans="3:28" x14ac:dyDescent="0.2">
      <c r="C1191" s="69"/>
      <c r="D1191" s="70"/>
      <c r="S1191" s="34"/>
      <c r="T1191" s="60" t="str">
        <f>IF(P1191&lt;&gt;"",
    IF(OR(O1191="", Q1191="", R1191=""),
        "Fill all the required columns",
        IFERROR(
            IF(OR(
                AND(R1191="Marine Protected", VLOOKUP(O1191, Reference!$A$2:$D$34, 4, FALSE) &lt;= P1191),
                AND(R1191="General Use", VLOOKUP(O1191, Reference!$A$2:$D$34, 3, FALSE) &lt;= P1191)
            ),
                "Exceeded",
                "OK"
            ),
            "No Regulation defined"
        )
    ),
    ""
)</f>
        <v/>
      </c>
      <c r="AB1191" s="62" t="str">
        <f t="shared" si="18"/>
        <v/>
      </c>
    </row>
    <row r="1192" spans="3:28" x14ac:dyDescent="0.2">
      <c r="C1192" s="69"/>
      <c r="D1192" s="70"/>
      <c r="S1192" s="34"/>
      <c r="T1192" s="60" t="str">
        <f>IF(P1192&lt;&gt;"",
    IF(OR(O1192="", Q1192="", R1192=""),
        "Fill all the required columns",
        IFERROR(
            IF(OR(
                AND(R1192="Marine Protected", VLOOKUP(O1192, Reference!$A$2:$D$34, 4, FALSE) &lt;= P1192),
                AND(R1192="General Use", VLOOKUP(O1192, Reference!$A$2:$D$34, 3, FALSE) &lt;= P1192)
            ),
                "Exceeded",
                "OK"
            ),
            "No Regulation defined"
        )
    ),
    ""
)</f>
        <v/>
      </c>
      <c r="AB1192" s="62" t="str">
        <f t="shared" si="18"/>
        <v/>
      </c>
    </row>
    <row r="1193" spans="3:28" x14ac:dyDescent="0.2">
      <c r="C1193" s="69"/>
      <c r="D1193" s="70"/>
      <c r="S1193" s="34"/>
      <c r="T1193" s="60" t="str">
        <f>IF(P1193&lt;&gt;"",
    IF(OR(O1193="", Q1193="", R1193=""),
        "Fill all the required columns",
        IFERROR(
            IF(OR(
                AND(R1193="Marine Protected", VLOOKUP(O1193, Reference!$A$2:$D$34, 4, FALSE) &lt;= P1193),
                AND(R1193="General Use", VLOOKUP(O1193, Reference!$A$2:$D$34, 3, FALSE) &lt;= P1193)
            ),
                "Exceeded",
                "OK"
            ),
            "No Regulation defined"
        )
    ),
    ""
)</f>
        <v/>
      </c>
      <c r="AB1193" s="62" t="str">
        <f t="shared" si="18"/>
        <v/>
      </c>
    </row>
    <row r="1194" spans="3:28" x14ac:dyDescent="0.2">
      <c r="C1194" s="69"/>
      <c r="D1194" s="70"/>
      <c r="S1194" s="34"/>
      <c r="T1194" s="60" t="str">
        <f>IF(P1194&lt;&gt;"",
    IF(OR(O1194="", Q1194="", R1194=""),
        "Fill all the required columns",
        IFERROR(
            IF(OR(
                AND(R1194="Marine Protected", VLOOKUP(O1194, Reference!$A$2:$D$34, 4, FALSE) &lt;= P1194),
                AND(R1194="General Use", VLOOKUP(O1194, Reference!$A$2:$D$34, 3, FALSE) &lt;= P1194)
            ),
                "Exceeded",
                "OK"
            ),
            "No Regulation defined"
        )
    ),
    ""
)</f>
        <v/>
      </c>
      <c r="AB1194" s="62" t="str">
        <f t="shared" si="18"/>
        <v/>
      </c>
    </row>
    <row r="1195" spans="3:28" x14ac:dyDescent="0.2">
      <c r="C1195" s="69"/>
      <c r="D1195" s="70"/>
      <c r="S1195" s="34"/>
      <c r="T1195" s="60" t="str">
        <f>IF(P1195&lt;&gt;"",
    IF(OR(O1195="", Q1195="", R1195=""),
        "Fill all the required columns",
        IFERROR(
            IF(OR(
                AND(R1195="Marine Protected", VLOOKUP(O1195, Reference!$A$2:$D$34, 4, FALSE) &lt;= P1195),
                AND(R1195="General Use", VLOOKUP(O1195, Reference!$A$2:$D$34, 3, FALSE) &lt;= P1195)
            ),
                "Exceeded",
                "OK"
            ),
            "No Regulation defined"
        )
    ),
    ""
)</f>
        <v/>
      </c>
      <c r="AB1195" s="62" t="str">
        <f t="shared" si="18"/>
        <v/>
      </c>
    </row>
    <row r="1196" spans="3:28" x14ac:dyDescent="0.2">
      <c r="C1196" s="69"/>
      <c r="D1196" s="70"/>
      <c r="S1196" s="34"/>
      <c r="T1196" s="60" t="str">
        <f>IF(P1196&lt;&gt;"",
    IF(OR(O1196="", Q1196="", R1196=""),
        "Fill all the required columns",
        IFERROR(
            IF(OR(
                AND(R1196="Marine Protected", VLOOKUP(O1196, Reference!$A$2:$D$34, 4, FALSE) &lt;= P1196),
                AND(R1196="General Use", VLOOKUP(O1196, Reference!$A$2:$D$34, 3, FALSE) &lt;= P1196)
            ),
                "Exceeded",
                "OK"
            ),
            "No Regulation defined"
        )
    ),
    ""
)</f>
        <v/>
      </c>
      <c r="AB1196" s="62" t="str">
        <f t="shared" si="18"/>
        <v/>
      </c>
    </row>
    <row r="1197" spans="3:28" x14ac:dyDescent="0.2">
      <c r="C1197" s="69"/>
      <c r="D1197" s="70"/>
      <c r="S1197" s="34"/>
      <c r="T1197" s="60" t="str">
        <f>IF(P1197&lt;&gt;"",
    IF(OR(O1197="", Q1197="", R1197=""),
        "Fill all the required columns",
        IFERROR(
            IF(OR(
                AND(R1197="Marine Protected", VLOOKUP(O1197, Reference!$A$2:$D$34, 4, FALSE) &lt;= P1197),
                AND(R1197="General Use", VLOOKUP(O1197, Reference!$A$2:$D$34, 3, FALSE) &lt;= P1197)
            ),
                "Exceeded",
                "OK"
            ),
            "No Regulation defined"
        )
    ),
    ""
)</f>
        <v/>
      </c>
      <c r="AB1197" s="62" t="str">
        <f t="shared" si="18"/>
        <v/>
      </c>
    </row>
    <row r="1198" spans="3:28" x14ac:dyDescent="0.2">
      <c r="C1198" s="69"/>
      <c r="D1198" s="70"/>
      <c r="S1198" s="34"/>
      <c r="T1198" s="60" t="str">
        <f>IF(P1198&lt;&gt;"",
    IF(OR(O1198="", Q1198="", R1198=""),
        "Fill all the required columns",
        IFERROR(
            IF(OR(
                AND(R1198="Marine Protected", VLOOKUP(O1198, Reference!$A$2:$D$34, 4, FALSE) &lt;= P1198),
                AND(R1198="General Use", VLOOKUP(O1198, Reference!$A$2:$D$34, 3, FALSE) &lt;= P1198)
            ),
                "Exceeded",
                "OK"
            ),
            "No Regulation defined"
        )
    ),
    ""
)</f>
        <v/>
      </c>
      <c r="AB1198" s="62" t="str">
        <f t="shared" si="18"/>
        <v/>
      </c>
    </row>
    <row r="1199" spans="3:28" x14ac:dyDescent="0.2">
      <c r="C1199" s="69"/>
      <c r="D1199" s="70"/>
      <c r="S1199" s="34"/>
      <c r="T1199" s="60" t="str">
        <f>IF(P1199&lt;&gt;"",
    IF(OR(O1199="", Q1199="", R1199=""),
        "Fill all the required columns",
        IFERROR(
            IF(OR(
                AND(R1199="Marine Protected", VLOOKUP(O1199, Reference!$A$2:$D$34, 4, FALSE) &lt;= P1199),
                AND(R1199="General Use", VLOOKUP(O1199, Reference!$A$2:$D$34, 3, FALSE) &lt;= P1199)
            ),
                "Exceeded",
                "OK"
            ),
            "No Regulation defined"
        )
    ),
    ""
)</f>
        <v/>
      </c>
      <c r="AB1199" s="62" t="str">
        <f t="shared" si="18"/>
        <v/>
      </c>
    </row>
    <row r="1200" spans="3:28" x14ac:dyDescent="0.2">
      <c r="C1200" s="69"/>
      <c r="D1200" s="70"/>
      <c r="S1200" s="34"/>
      <c r="T1200" s="60" t="str">
        <f>IF(P1200&lt;&gt;"",
    IF(OR(O1200="", Q1200="", R1200=""),
        "Fill all the required columns",
        IFERROR(
            IF(OR(
                AND(R1200="Marine Protected", VLOOKUP(O1200, Reference!$A$2:$D$34, 4, FALSE) &lt;= P1200),
                AND(R1200="General Use", VLOOKUP(O1200, Reference!$A$2:$D$34, 3, FALSE) &lt;= P1200)
            ),
                "Exceeded",
                "OK"
            ),
            "No Regulation defined"
        )
    ),
    ""
)</f>
        <v/>
      </c>
      <c r="AB1200" s="62" t="str">
        <f t="shared" si="18"/>
        <v/>
      </c>
    </row>
    <row r="1201" spans="3:28" x14ac:dyDescent="0.2">
      <c r="C1201" s="69"/>
      <c r="D1201" s="70"/>
      <c r="S1201" s="34"/>
      <c r="T1201" s="60" t="str">
        <f>IF(P1201&lt;&gt;"",
    IF(OR(O1201="", Q1201="", R1201=""),
        "Fill all the required columns",
        IFERROR(
            IF(OR(
                AND(R1201="Marine Protected", VLOOKUP(O1201, Reference!$A$2:$D$34, 4, FALSE) &lt;= P1201),
                AND(R1201="General Use", VLOOKUP(O1201, Reference!$A$2:$D$34, 3, FALSE) &lt;= P1201)
            ),
                "Exceeded",
                "OK"
            ),
            "No Regulation defined"
        )
    ),
    ""
)</f>
        <v/>
      </c>
      <c r="AB1201" s="62" t="str">
        <f t="shared" si="18"/>
        <v/>
      </c>
    </row>
    <row r="1202" spans="3:28" x14ac:dyDescent="0.2">
      <c r="C1202" s="69"/>
      <c r="D1202" s="70"/>
      <c r="S1202" s="34"/>
      <c r="T1202" s="60" t="str">
        <f>IF(P1202&lt;&gt;"",
    IF(OR(O1202="", Q1202="", R1202=""),
        "Fill all the required columns",
        IFERROR(
            IF(OR(
                AND(R1202="Marine Protected", VLOOKUP(O1202, Reference!$A$2:$D$34, 4, FALSE) &lt;= P1202),
                AND(R1202="General Use", VLOOKUP(O1202, Reference!$A$2:$D$34, 3, FALSE) &lt;= P1202)
            ),
                "Exceeded",
                "OK"
            ),
            "No Regulation defined"
        )
    ),
    ""
)</f>
        <v/>
      </c>
      <c r="AB1202" s="62" t="str">
        <f t="shared" si="18"/>
        <v/>
      </c>
    </row>
    <row r="1203" spans="3:28" x14ac:dyDescent="0.2">
      <c r="C1203" s="69"/>
      <c r="D1203" s="70"/>
      <c r="S1203" s="34"/>
      <c r="T1203" s="60" t="str">
        <f>IF(P1203&lt;&gt;"",
    IF(OR(O1203="", Q1203="", R1203=""),
        "Fill all the required columns",
        IFERROR(
            IF(OR(
                AND(R1203="Marine Protected", VLOOKUP(O1203, Reference!$A$2:$D$34, 4, FALSE) &lt;= P1203),
                AND(R1203="General Use", VLOOKUP(O1203, Reference!$A$2:$D$34, 3, FALSE) &lt;= P1203)
            ),
                "Exceeded",
                "OK"
            ),
            "No Regulation defined"
        )
    ),
    ""
)</f>
        <v/>
      </c>
      <c r="AB1203" s="62" t="str">
        <f t="shared" si="18"/>
        <v/>
      </c>
    </row>
    <row r="1204" spans="3:28" x14ac:dyDescent="0.2">
      <c r="C1204" s="69"/>
      <c r="D1204" s="70"/>
      <c r="S1204" s="34"/>
      <c r="T1204" s="60" t="str">
        <f>IF(P1204&lt;&gt;"",
    IF(OR(O1204="", Q1204="", R1204=""),
        "Fill all the required columns",
        IFERROR(
            IF(OR(
                AND(R1204="Marine Protected", VLOOKUP(O1204, Reference!$A$2:$D$34, 4, FALSE) &lt;= P1204),
                AND(R1204="General Use", VLOOKUP(O1204, Reference!$A$2:$D$34, 3, FALSE) &lt;= P1204)
            ),
                "Exceeded",
                "OK"
            ),
            "No Regulation defined"
        )
    ),
    ""
)</f>
        <v/>
      </c>
      <c r="AB1204" s="62" t="str">
        <f t="shared" si="18"/>
        <v/>
      </c>
    </row>
    <row r="1205" spans="3:28" x14ac:dyDescent="0.2">
      <c r="C1205" s="69"/>
      <c r="D1205" s="70"/>
      <c r="S1205" s="34"/>
      <c r="T1205" s="60" t="str">
        <f>IF(P1205&lt;&gt;"",
    IF(OR(O1205="", Q1205="", R1205=""),
        "Fill all the required columns",
        IFERROR(
            IF(OR(
                AND(R1205="Marine Protected", VLOOKUP(O1205, Reference!$A$2:$D$34, 4, FALSE) &lt;= P1205),
                AND(R1205="General Use", VLOOKUP(O1205, Reference!$A$2:$D$34, 3, FALSE) &lt;= P1205)
            ),
                "Exceeded",
                "OK"
            ),
            "No Regulation defined"
        )
    ),
    ""
)</f>
        <v/>
      </c>
      <c r="AB1205" s="62" t="str">
        <f t="shared" si="18"/>
        <v/>
      </c>
    </row>
    <row r="1206" spans="3:28" x14ac:dyDescent="0.2">
      <c r="C1206" s="69"/>
      <c r="D1206" s="70"/>
      <c r="S1206" s="34"/>
      <c r="T1206" s="60" t="str">
        <f>IF(P1206&lt;&gt;"",
    IF(OR(O1206="", Q1206="", R1206=""),
        "Fill all the required columns",
        IFERROR(
            IF(OR(
                AND(R1206="Marine Protected", VLOOKUP(O1206, Reference!$A$2:$D$34, 4, FALSE) &lt;= P1206),
                AND(R1206="General Use", VLOOKUP(O1206, Reference!$A$2:$D$34, 3, FALSE) &lt;= P1206)
            ),
                "Exceeded",
                "OK"
            ),
            "No Regulation defined"
        )
    ),
    ""
)</f>
        <v/>
      </c>
      <c r="AB1206" s="62" t="str">
        <f t="shared" si="18"/>
        <v/>
      </c>
    </row>
    <row r="1207" spans="3:28" x14ac:dyDescent="0.2">
      <c r="C1207" s="69"/>
      <c r="D1207" s="70"/>
      <c r="S1207" s="34"/>
      <c r="T1207" s="60" t="str">
        <f>IF(P1207&lt;&gt;"",
    IF(OR(O1207="", Q1207="", R1207=""),
        "Fill all the required columns",
        IFERROR(
            IF(OR(
                AND(R1207="Marine Protected", VLOOKUP(O1207, Reference!$A$2:$D$34, 4, FALSE) &lt;= P1207),
                AND(R1207="General Use", VLOOKUP(O1207, Reference!$A$2:$D$34, 3, FALSE) &lt;= P1207)
            ),
                "Exceeded",
                "OK"
            ),
            "No Regulation defined"
        )
    ),
    ""
)</f>
        <v/>
      </c>
      <c r="AB1207" s="62" t="str">
        <f t="shared" si="18"/>
        <v/>
      </c>
    </row>
    <row r="1208" spans="3:28" x14ac:dyDescent="0.2">
      <c r="C1208" s="69"/>
      <c r="D1208" s="70"/>
      <c r="S1208" s="34"/>
      <c r="T1208" s="60" t="str">
        <f>IF(P1208&lt;&gt;"",
    IF(OR(O1208="", Q1208="", R1208=""),
        "Fill all the required columns",
        IFERROR(
            IF(OR(
                AND(R1208="Marine Protected", VLOOKUP(O1208, Reference!$A$2:$D$34, 4, FALSE) &lt;= P1208),
                AND(R1208="General Use", VLOOKUP(O1208, Reference!$A$2:$D$34, 3, FALSE) &lt;= P1208)
            ),
                "Exceeded",
                "OK"
            ),
            "No Regulation defined"
        )
    ),
    ""
)</f>
        <v/>
      </c>
      <c r="AB1208" s="62" t="str">
        <f t="shared" si="18"/>
        <v/>
      </c>
    </row>
    <row r="1209" spans="3:28" x14ac:dyDescent="0.2">
      <c r="C1209" s="69"/>
      <c r="D1209" s="70"/>
      <c r="S1209" s="34"/>
      <c r="T1209" s="60" t="str">
        <f>IF(P1209&lt;&gt;"",
    IF(OR(O1209="", Q1209="", R1209=""),
        "Fill all the required columns",
        IFERROR(
            IF(OR(
                AND(R1209="Marine Protected", VLOOKUP(O1209, Reference!$A$2:$D$34, 4, FALSE) &lt;= P1209),
                AND(R1209="General Use", VLOOKUP(O1209, Reference!$A$2:$D$34, 3, FALSE) &lt;= P1209)
            ),
                "Exceeded",
                "OK"
            ),
            "No Regulation defined"
        )
    ),
    ""
)</f>
        <v/>
      </c>
      <c r="AB1209" s="62" t="str">
        <f t="shared" si="18"/>
        <v/>
      </c>
    </row>
    <row r="1210" spans="3:28" x14ac:dyDescent="0.2">
      <c r="C1210" s="69"/>
      <c r="D1210" s="70"/>
      <c r="S1210" s="34"/>
      <c r="T1210" s="60" t="str">
        <f>IF(P1210&lt;&gt;"",
    IF(OR(O1210="", Q1210="", R1210=""),
        "Fill all the required columns",
        IFERROR(
            IF(OR(
                AND(R1210="Marine Protected", VLOOKUP(O1210, Reference!$A$2:$D$34, 4, FALSE) &lt;= P1210),
                AND(R1210="General Use", VLOOKUP(O1210, Reference!$A$2:$D$34, 3, FALSE) &lt;= P1210)
            ),
                "Exceeded",
                "OK"
            ),
            "No Regulation defined"
        )
    ),
    ""
)</f>
        <v/>
      </c>
      <c r="AB1210" s="62" t="str">
        <f t="shared" si="18"/>
        <v/>
      </c>
    </row>
    <row r="1211" spans="3:28" x14ac:dyDescent="0.2">
      <c r="C1211" s="69"/>
      <c r="D1211" s="70"/>
      <c r="S1211" s="34"/>
      <c r="T1211" s="60" t="str">
        <f>IF(P1211&lt;&gt;"",
    IF(OR(O1211="", Q1211="", R1211=""),
        "Fill all the required columns",
        IFERROR(
            IF(OR(
                AND(R1211="Marine Protected", VLOOKUP(O1211, Reference!$A$2:$D$34, 4, FALSE) &lt;= P1211),
                AND(R1211="General Use", VLOOKUP(O1211, Reference!$A$2:$D$34, 3, FALSE) &lt;= P1211)
            ),
                "Exceeded",
                "OK"
            ),
            "No Regulation defined"
        )
    ),
    ""
)</f>
        <v/>
      </c>
      <c r="AB1211" s="62" t="str">
        <f t="shared" si="18"/>
        <v/>
      </c>
    </row>
    <row r="1212" spans="3:28" x14ac:dyDescent="0.2">
      <c r="C1212" s="69"/>
      <c r="D1212" s="70"/>
      <c r="S1212" s="34"/>
      <c r="T1212" s="60" t="str">
        <f>IF(P1212&lt;&gt;"",
    IF(OR(O1212="", Q1212="", R1212=""),
        "Fill all the required columns",
        IFERROR(
            IF(OR(
                AND(R1212="Marine Protected", VLOOKUP(O1212, Reference!$A$2:$D$34, 4, FALSE) &lt;= P1212),
                AND(R1212="General Use", VLOOKUP(O1212, Reference!$A$2:$D$34, 3, FALSE) &lt;= P1212)
            ),
                "Exceeded",
                "OK"
            ),
            "No Regulation defined"
        )
    ),
    ""
)</f>
        <v/>
      </c>
      <c r="AB1212" s="62" t="str">
        <f t="shared" si="18"/>
        <v/>
      </c>
    </row>
    <row r="1213" spans="3:28" x14ac:dyDescent="0.2">
      <c r="C1213" s="69"/>
      <c r="D1213" s="70"/>
      <c r="S1213" s="34"/>
      <c r="T1213" s="60" t="str">
        <f>IF(P1213&lt;&gt;"",
    IF(OR(O1213="", Q1213="", R1213=""),
        "Fill all the required columns",
        IFERROR(
            IF(OR(
                AND(R1213="Marine Protected", VLOOKUP(O1213, Reference!$A$2:$D$34, 4, FALSE) &lt;= P1213),
                AND(R1213="General Use", VLOOKUP(O1213, Reference!$A$2:$D$34, 3, FALSE) &lt;= P1213)
            ),
                "Exceeded",
                "OK"
            ),
            "No Regulation defined"
        )
    ),
    ""
)</f>
        <v/>
      </c>
      <c r="AB1213" s="62" t="str">
        <f t="shared" si="18"/>
        <v/>
      </c>
    </row>
    <row r="1214" spans="3:28" x14ac:dyDescent="0.2">
      <c r="C1214" s="69"/>
      <c r="D1214" s="70"/>
      <c r="S1214" s="34"/>
      <c r="T1214" s="60" t="str">
        <f>IF(P1214&lt;&gt;"",
    IF(OR(O1214="", Q1214="", R1214=""),
        "Fill all the required columns",
        IFERROR(
            IF(OR(
                AND(R1214="Marine Protected", VLOOKUP(O1214, Reference!$A$2:$D$34, 4, FALSE) &lt;= P1214),
                AND(R1214="General Use", VLOOKUP(O1214, Reference!$A$2:$D$34, 3, FALSE) &lt;= P1214)
            ),
                "Exceeded",
                "OK"
            ),
            "No Regulation defined"
        )
    ),
    ""
)</f>
        <v/>
      </c>
      <c r="AB1214" s="62" t="str">
        <f t="shared" si="18"/>
        <v/>
      </c>
    </row>
    <row r="1215" spans="3:28" x14ac:dyDescent="0.2">
      <c r="C1215" s="69"/>
      <c r="D1215" s="70"/>
      <c r="S1215" s="34"/>
      <c r="T1215" s="60" t="str">
        <f>IF(P1215&lt;&gt;"",
    IF(OR(O1215="", Q1215="", R1215=""),
        "Fill all the required columns",
        IFERROR(
            IF(OR(
                AND(R1215="Marine Protected", VLOOKUP(O1215, Reference!$A$2:$D$34, 4, FALSE) &lt;= P1215),
                AND(R1215="General Use", VLOOKUP(O1215, Reference!$A$2:$D$34, 3, FALSE) &lt;= P1215)
            ),
                "Exceeded",
                "OK"
            ),
            "No Regulation defined"
        )
    ),
    ""
)</f>
        <v/>
      </c>
      <c r="AB1215" s="62" t="str">
        <f t="shared" si="18"/>
        <v/>
      </c>
    </row>
    <row r="1216" spans="3:28" x14ac:dyDescent="0.2">
      <c r="C1216" s="69"/>
      <c r="D1216" s="70"/>
      <c r="S1216" s="34"/>
      <c r="T1216" s="60" t="str">
        <f>IF(P1216&lt;&gt;"",
    IF(OR(O1216="", Q1216="", R1216=""),
        "Fill all the required columns",
        IFERROR(
            IF(OR(
                AND(R1216="Marine Protected", VLOOKUP(O1216, Reference!$A$2:$D$34, 4, FALSE) &lt;= P1216),
                AND(R1216="General Use", VLOOKUP(O1216, Reference!$A$2:$D$34, 3, FALSE) &lt;= P1216)
            ),
                "Exceeded",
                "OK"
            ),
            "No Regulation defined"
        )
    ),
    ""
)</f>
        <v/>
      </c>
      <c r="AB1216" s="62" t="str">
        <f t="shared" si="18"/>
        <v/>
      </c>
    </row>
    <row r="1217" spans="3:28" x14ac:dyDescent="0.2">
      <c r="C1217" s="69"/>
      <c r="D1217" s="70"/>
      <c r="S1217" s="34"/>
      <c r="T1217" s="60" t="str">
        <f>IF(P1217&lt;&gt;"",
    IF(OR(O1217="", Q1217="", R1217=""),
        "Fill all the required columns",
        IFERROR(
            IF(OR(
                AND(R1217="Marine Protected", VLOOKUP(O1217, Reference!$A$2:$D$34, 4, FALSE) &lt;= P1217),
                AND(R1217="General Use", VLOOKUP(O1217, Reference!$A$2:$D$34, 3, FALSE) &lt;= P1217)
            ),
                "Exceeded",
                "OK"
            ),
            "No Regulation defined"
        )
    ),
    ""
)</f>
        <v/>
      </c>
      <c r="AB1217" s="62" t="str">
        <f t="shared" si="18"/>
        <v/>
      </c>
    </row>
    <row r="1218" spans="3:28" x14ac:dyDescent="0.2">
      <c r="C1218" s="69"/>
      <c r="D1218" s="70"/>
      <c r="S1218" s="34"/>
      <c r="T1218" s="60" t="str">
        <f>IF(P1218&lt;&gt;"",
    IF(OR(O1218="", Q1218="", R1218=""),
        "Fill all the required columns",
        IFERROR(
            IF(OR(
                AND(R1218="Marine Protected", VLOOKUP(O1218, Reference!$A$2:$D$34, 4, FALSE) &lt;= P1218),
                AND(R1218="General Use", VLOOKUP(O1218, Reference!$A$2:$D$34, 3, FALSE) &lt;= P1218)
            ),
                "Exceeded",
                "OK"
            ),
            "No Regulation defined"
        )
    ),
    ""
)</f>
        <v/>
      </c>
      <c r="AB1218" s="62" t="str">
        <f t="shared" si="18"/>
        <v/>
      </c>
    </row>
    <row r="1219" spans="3:28" x14ac:dyDescent="0.2">
      <c r="C1219" s="69"/>
      <c r="D1219" s="70"/>
      <c r="S1219" s="34"/>
      <c r="T1219" s="60" t="str">
        <f>IF(P1219&lt;&gt;"",
    IF(OR(O1219="", Q1219="", R1219=""),
        "Fill all the required columns",
        IFERROR(
            IF(OR(
                AND(R1219="Marine Protected", VLOOKUP(O1219, Reference!$A$2:$D$34, 4, FALSE) &lt;= P1219),
                AND(R1219="General Use", VLOOKUP(O1219, Reference!$A$2:$D$34, 3, FALSE) &lt;= P1219)
            ),
                "Exceeded",
                "OK"
            ),
            "No Regulation defined"
        )
    ),
    ""
)</f>
        <v/>
      </c>
      <c r="AB1219" s="62" t="str">
        <f t="shared" ref="AB1219:AB1282" si="19">IF(COUNTA(A1219, E1219, F1219, H1219, I1219, O1219, P1219, Q1219, R1219,S1219) = 0, "", IF(COUNTA(A1219, E1219, F1219, H1219, I1219, O1219, P1219, Q1219, R1219,S1219) = 10, "OK", "Incomplete"))</f>
        <v/>
      </c>
    </row>
    <row r="1220" spans="3:28" x14ac:dyDescent="0.2">
      <c r="C1220" s="69"/>
      <c r="D1220" s="70"/>
      <c r="S1220" s="34"/>
      <c r="T1220" s="60" t="str">
        <f>IF(P1220&lt;&gt;"",
    IF(OR(O1220="", Q1220="", R1220=""),
        "Fill all the required columns",
        IFERROR(
            IF(OR(
                AND(R1220="Marine Protected", VLOOKUP(O1220, Reference!$A$2:$D$34, 4, FALSE) &lt;= P1220),
                AND(R1220="General Use", VLOOKUP(O1220, Reference!$A$2:$D$34, 3, FALSE) &lt;= P1220)
            ),
                "Exceeded",
                "OK"
            ),
            "No Regulation defined"
        )
    ),
    ""
)</f>
        <v/>
      </c>
      <c r="AB1220" s="62" t="str">
        <f t="shared" si="19"/>
        <v/>
      </c>
    </row>
    <row r="1221" spans="3:28" x14ac:dyDescent="0.2">
      <c r="C1221" s="69"/>
      <c r="D1221" s="70"/>
      <c r="S1221" s="34"/>
      <c r="T1221" s="60" t="str">
        <f>IF(P1221&lt;&gt;"",
    IF(OR(O1221="", Q1221="", R1221=""),
        "Fill all the required columns",
        IFERROR(
            IF(OR(
                AND(R1221="Marine Protected", VLOOKUP(O1221, Reference!$A$2:$D$34, 4, FALSE) &lt;= P1221),
                AND(R1221="General Use", VLOOKUP(O1221, Reference!$A$2:$D$34, 3, FALSE) &lt;= P1221)
            ),
                "Exceeded",
                "OK"
            ),
            "No Regulation defined"
        )
    ),
    ""
)</f>
        <v/>
      </c>
      <c r="AB1221" s="62" t="str">
        <f t="shared" si="19"/>
        <v/>
      </c>
    </row>
    <row r="1222" spans="3:28" x14ac:dyDescent="0.2">
      <c r="C1222" s="69"/>
      <c r="D1222" s="70"/>
      <c r="S1222" s="34"/>
      <c r="T1222" s="60" t="str">
        <f>IF(P1222&lt;&gt;"",
    IF(OR(O1222="", Q1222="", R1222=""),
        "Fill all the required columns",
        IFERROR(
            IF(OR(
                AND(R1222="Marine Protected", VLOOKUP(O1222, Reference!$A$2:$D$34, 4, FALSE) &lt;= P1222),
                AND(R1222="General Use", VLOOKUP(O1222, Reference!$A$2:$D$34, 3, FALSE) &lt;= P1222)
            ),
                "Exceeded",
                "OK"
            ),
            "No Regulation defined"
        )
    ),
    ""
)</f>
        <v/>
      </c>
      <c r="AB1222" s="62" t="str">
        <f t="shared" si="19"/>
        <v/>
      </c>
    </row>
    <row r="1223" spans="3:28" x14ac:dyDescent="0.2">
      <c r="C1223" s="69"/>
      <c r="D1223" s="70"/>
      <c r="S1223" s="34"/>
      <c r="T1223" s="60" t="str">
        <f>IF(P1223&lt;&gt;"",
    IF(OR(O1223="", Q1223="", R1223=""),
        "Fill all the required columns",
        IFERROR(
            IF(OR(
                AND(R1223="Marine Protected", VLOOKUP(O1223, Reference!$A$2:$D$34, 4, FALSE) &lt;= P1223),
                AND(R1223="General Use", VLOOKUP(O1223, Reference!$A$2:$D$34, 3, FALSE) &lt;= P1223)
            ),
                "Exceeded",
                "OK"
            ),
            "No Regulation defined"
        )
    ),
    ""
)</f>
        <v/>
      </c>
      <c r="AB1223" s="62" t="str">
        <f t="shared" si="19"/>
        <v/>
      </c>
    </row>
    <row r="1224" spans="3:28" x14ac:dyDescent="0.2">
      <c r="C1224" s="69"/>
      <c r="D1224" s="70"/>
      <c r="S1224" s="34"/>
      <c r="T1224" s="60" t="str">
        <f>IF(P1224&lt;&gt;"",
    IF(OR(O1224="", Q1224="", R1224=""),
        "Fill all the required columns",
        IFERROR(
            IF(OR(
                AND(R1224="Marine Protected", VLOOKUP(O1224, Reference!$A$2:$D$34, 4, FALSE) &lt;= P1224),
                AND(R1224="General Use", VLOOKUP(O1224, Reference!$A$2:$D$34, 3, FALSE) &lt;= P1224)
            ),
                "Exceeded",
                "OK"
            ),
            "No Regulation defined"
        )
    ),
    ""
)</f>
        <v/>
      </c>
      <c r="AB1224" s="62" t="str">
        <f t="shared" si="19"/>
        <v/>
      </c>
    </row>
    <row r="1225" spans="3:28" x14ac:dyDescent="0.2">
      <c r="C1225" s="69"/>
      <c r="D1225" s="70"/>
      <c r="S1225" s="34"/>
      <c r="T1225" s="60" t="str">
        <f>IF(P1225&lt;&gt;"",
    IF(OR(O1225="", Q1225="", R1225=""),
        "Fill all the required columns",
        IFERROR(
            IF(OR(
                AND(R1225="Marine Protected", VLOOKUP(O1225, Reference!$A$2:$D$34, 4, FALSE) &lt;= P1225),
                AND(R1225="General Use", VLOOKUP(O1225, Reference!$A$2:$D$34, 3, FALSE) &lt;= P1225)
            ),
                "Exceeded",
                "OK"
            ),
            "No Regulation defined"
        )
    ),
    ""
)</f>
        <v/>
      </c>
      <c r="AB1225" s="62" t="str">
        <f t="shared" si="19"/>
        <v/>
      </c>
    </row>
    <row r="1226" spans="3:28" x14ac:dyDescent="0.2">
      <c r="C1226" s="69"/>
      <c r="D1226" s="70"/>
      <c r="S1226" s="34"/>
      <c r="T1226" s="60" t="str">
        <f>IF(P1226&lt;&gt;"",
    IF(OR(O1226="", Q1226="", R1226=""),
        "Fill all the required columns",
        IFERROR(
            IF(OR(
                AND(R1226="Marine Protected", VLOOKUP(O1226, Reference!$A$2:$D$34, 4, FALSE) &lt;= P1226),
                AND(R1226="General Use", VLOOKUP(O1226, Reference!$A$2:$D$34, 3, FALSE) &lt;= P1226)
            ),
                "Exceeded",
                "OK"
            ),
            "No Regulation defined"
        )
    ),
    ""
)</f>
        <v/>
      </c>
      <c r="AB1226" s="62" t="str">
        <f t="shared" si="19"/>
        <v/>
      </c>
    </row>
    <row r="1227" spans="3:28" x14ac:dyDescent="0.2">
      <c r="C1227" s="69"/>
      <c r="D1227" s="70"/>
      <c r="S1227" s="34"/>
      <c r="T1227" s="60" t="str">
        <f>IF(P1227&lt;&gt;"",
    IF(OR(O1227="", Q1227="", R1227=""),
        "Fill all the required columns",
        IFERROR(
            IF(OR(
                AND(R1227="Marine Protected", VLOOKUP(O1227, Reference!$A$2:$D$34, 4, FALSE) &lt;= P1227),
                AND(R1227="General Use", VLOOKUP(O1227, Reference!$A$2:$D$34, 3, FALSE) &lt;= P1227)
            ),
                "Exceeded",
                "OK"
            ),
            "No Regulation defined"
        )
    ),
    ""
)</f>
        <v/>
      </c>
      <c r="AB1227" s="62" t="str">
        <f t="shared" si="19"/>
        <v/>
      </c>
    </row>
    <row r="1228" spans="3:28" x14ac:dyDescent="0.2">
      <c r="C1228" s="69"/>
      <c r="D1228" s="70"/>
      <c r="S1228" s="34"/>
      <c r="T1228" s="60" t="str">
        <f>IF(P1228&lt;&gt;"",
    IF(OR(O1228="", Q1228="", R1228=""),
        "Fill all the required columns",
        IFERROR(
            IF(OR(
                AND(R1228="Marine Protected", VLOOKUP(O1228, Reference!$A$2:$D$34, 4, FALSE) &lt;= P1228),
                AND(R1228="General Use", VLOOKUP(O1228, Reference!$A$2:$D$34, 3, FALSE) &lt;= P1228)
            ),
                "Exceeded",
                "OK"
            ),
            "No Regulation defined"
        )
    ),
    ""
)</f>
        <v/>
      </c>
      <c r="AB1228" s="62" t="str">
        <f t="shared" si="19"/>
        <v/>
      </c>
    </row>
    <row r="1229" spans="3:28" x14ac:dyDescent="0.2">
      <c r="C1229" s="69"/>
      <c r="D1229" s="70"/>
      <c r="S1229" s="34"/>
      <c r="T1229" s="60" t="str">
        <f>IF(P1229&lt;&gt;"",
    IF(OR(O1229="", Q1229="", R1229=""),
        "Fill all the required columns",
        IFERROR(
            IF(OR(
                AND(R1229="Marine Protected", VLOOKUP(O1229, Reference!$A$2:$D$34, 4, FALSE) &lt;= P1229),
                AND(R1229="General Use", VLOOKUP(O1229, Reference!$A$2:$D$34, 3, FALSE) &lt;= P1229)
            ),
                "Exceeded",
                "OK"
            ),
            "No Regulation defined"
        )
    ),
    ""
)</f>
        <v/>
      </c>
      <c r="AB1229" s="62" t="str">
        <f t="shared" si="19"/>
        <v/>
      </c>
    </row>
    <row r="1230" spans="3:28" x14ac:dyDescent="0.2">
      <c r="C1230" s="69"/>
      <c r="D1230" s="70"/>
      <c r="S1230" s="34"/>
      <c r="T1230" s="60" t="str">
        <f>IF(P1230&lt;&gt;"",
    IF(OR(O1230="", Q1230="", R1230=""),
        "Fill all the required columns",
        IFERROR(
            IF(OR(
                AND(R1230="Marine Protected", VLOOKUP(O1230, Reference!$A$2:$D$34, 4, FALSE) &lt;= P1230),
                AND(R1230="General Use", VLOOKUP(O1230, Reference!$A$2:$D$34, 3, FALSE) &lt;= P1230)
            ),
                "Exceeded",
                "OK"
            ),
            "No Regulation defined"
        )
    ),
    ""
)</f>
        <v/>
      </c>
      <c r="AB1230" s="62" t="str">
        <f t="shared" si="19"/>
        <v/>
      </c>
    </row>
    <row r="1231" spans="3:28" x14ac:dyDescent="0.2">
      <c r="C1231" s="69"/>
      <c r="D1231" s="70"/>
      <c r="S1231" s="34"/>
      <c r="T1231" s="60" t="str">
        <f>IF(P1231&lt;&gt;"",
    IF(OR(O1231="", Q1231="", R1231=""),
        "Fill all the required columns",
        IFERROR(
            IF(OR(
                AND(R1231="Marine Protected", VLOOKUP(O1231, Reference!$A$2:$D$34, 4, FALSE) &lt;= P1231),
                AND(R1231="General Use", VLOOKUP(O1231, Reference!$A$2:$D$34, 3, FALSE) &lt;= P1231)
            ),
                "Exceeded",
                "OK"
            ),
            "No Regulation defined"
        )
    ),
    ""
)</f>
        <v/>
      </c>
      <c r="AB1231" s="62" t="str">
        <f t="shared" si="19"/>
        <v/>
      </c>
    </row>
    <row r="1232" spans="3:28" x14ac:dyDescent="0.2">
      <c r="C1232" s="69"/>
      <c r="D1232" s="70"/>
      <c r="S1232" s="34"/>
      <c r="T1232" s="60" t="str">
        <f>IF(P1232&lt;&gt;"",
    IF(OR(O1232="", Q1232="", R1232=""),
        "Fill all the required columns",
        IFERROR(
            IF(OR(
                AND(R1232="Marine Protected", VLOOKUP(O1232, Reference!$A$2:$D$34, 4, FALSE) &lt;= P1232),
                AND(R1232="General Use", VLOOKUP(O1232, Reference!$A$2:$D$34, 3, FALSE) &lt;= P1232)
            ),
                "Exceeded",
                "OK"
            ),
            "No Regulation defined"
        )
    ),
    ""
)</f>
        <v/>
      </c>
      <c r="AB1232" s="62" t="str">
        <f t="shared" si="19"/>
        <v/>
      </c>
    </row>
    <row r="1233" spans="3:28" x14ac:dyDescent="0.2">
      <c r="C1233" s="69"/>
      <c r="D1233" s="70"/>
      <c r="S1233" s="34"/>
      <c r="T1233" s="60" t="str">
        <f>IF(P1233&lt;&gt;"",
    IF(OR(O1233="", Q1233="", R1233=""),
        "Fill all the required columns",
        IFERROR(
            IF(OR(
                AND(R1233="Marine Protected", VLOOKUP(O1233, Reference!$A$2:$D$34, 4, FALSE) &lt;= P1233),
                AND(R1233="General Use", VLOOKUP(O1233, Reference!$A$2:$D$34, 3, FALSE) &lt;= P1233)
            ),
                "Exceeded",
                "OK"
            ),
            "No Regulation defined"
        )
    ),
    ""
)</f>
        <v/>
      </c>
      <c r="AB1233" s="62" t="str">
        <f t="shared" si="19"/>
        <v/>
      </c>
    </row>
    <row r="1234" spans="3:28" x14ac:dyDescent="0.2">
      <c r="C1234" s="69"/>
      <c r="D1234" s="70"/>
      <c r="S1234" s="34"/>
      <c r="T1234" s="60" t="str">
        <f>IF(P1234&lt;&gt;"",
    IF(OR(O1234="", Q1234="", R1234=""),
        "Fill all the required columns",
        IFERROR(
            IF(OR(
                AND(R1234="Marine Protected", VLOOKUP(O1234, Reference!$A$2:$D$34, 4, FALSE) &lt;= P1234),
                AND(R1234="General Use", VLOOKUP(O1234, Reference!$A$2:$D$34, 3, FALSE) &lt;= P1234)
            ),
                "Exceeded",
                "OK"
            ),
            "No Regulation defined"
        )
    ),
    ""
)</f>
        <v/>
      </c>
      <c r="AB1234" s="62" t="str">
        <f t="shared" si="19"/>
        <v/>
      </c>
    </row>
    <row r="1235" spans="3:28" x14ac:dyDescent="0.2">
      <c r="C1235" s="69"/>
      <c r="D1235" s="70"/>
      <c r="S1235" s="34"/>
      <c r="T1235" s="60" t="str">
        <f>IF(P1235&lt;&gt;"",
    IF(OR(O1235="", Q1235="", R1235=""),
        "Fill all the required columns",
        IFERROR(
            IF(OR(
                AND(R1235="Marine Protected", VLOOKUP(O1235, Reference!$A$2:$D$34, 4, FALSE) &lt;= P1235),
                AND(R1235="General Use", VLOOKUP(O1235, Reference!$A$2:$D$34, 3, FALSE) &lt;= P1235)
            ),
                "Exceeded",
                "OK"
            ),
            "No Regulation defined"
        )
    ),
    ""
)</f>
        <v/>
      </c>
      <c r="AB1235" s="62" t="str">
        <f t="shared" si="19"/>
        <v/>
      </c>
    </row>
    <row r="1236" spans="3:28" x14ac:dyDescent="0.2">
      <c r="C1236" s="69"/>
      <c r="D1236" s="70"/>
      <c r="S1236" s="34"/>
      <c r="T1236" s="60" t="str">
        <f>IF(P1236&lt;&gt;"",
    IF(OR(O1236="", Q1236="", R1236=""),
        "Fill all the required columns",
        IFERROR(
            IF(OR(
                AND(R1236="Marine Protected", VLOOKUP(O1236, Reference!$A$2:$D$34, 4, FALSE) &lt;= P1236),
                AND(R1236="General Use", VLOOKUP(O1236, Reference!$A$2:$D$34, 3, FALSE) &lt;= P1236)
            ),
                "Exceeded",
                "OK"
            ),
            "No Regulation defined"
        )
    ),
    ""
)</f>
        <v/>
      </c>
      <c r="AB1236" s="62" t="str">
        <f t="shared" si="19"/>
        <v/>
      </c>
    </row>
    <row r="1237" spans="3:28" x14ac:dyDescent="0.2">
      <c r="C1237" s="69"/>
      <c r="D1237" s="70"/>
      <c r="S1237" s="34"/>
      <c r="T1237" s="60" t="str">
        <f>IF(P1237&lt;&gt;"",
    IF(OR(O1237="", Q1237="", R1237=""),
        "Fill all the required columns",
        IFERROR(
            IF(OR(
                AND(R1237="Marine Protected", VLOOKUP(O1237, Reference!$A$2:$D$34, 4, FALSE) &lt;= P1237),
                AND(R1237="General Use", VLOOKUP(O1237, Reference!$A$2:$D$34, 3, FALSE) &lt;= P1237)
            ),
                "Exceeded",
                "OK"
            ),
            "No Regulation defined"
        )
    ),
    ""
)</f>
        <v/>
      </c>
      <c r="AB1237" s="62" t="str">
        <f t="shared" si="19"/>
        <v/>
      </c>
    </row>
    <row r="1238" spans="3:28" x14ac:dyDescent="0.2">
      <c r="C1238" s="69"/>
      <c r="D1238" s="70"/>
      <c r="S1238" s="34"/>
      <c r="T1238" s="60" t="str">
        <f>IF(P1238&lt;&gt;"",
    IF(OR(O1238="", Q1238="", R1238=""),
        "Fill all the required columns",
        IFERROR(
            IF(OR(
                AND(R1238="Marine Protected", VLOOKUP(O1238, Reference!$A$2:$D$34, 4, FALSE) &lt;= P1238),
                AND(R1238="General Use", VLOOKUP(O1238, Reference!$A$2:$D$34, 3, FALSE) &lt;= P1238)
            ),
                "Exceeded",
                "OK"
            ),
            "No Regulation defined"
        )
    ),
    ""
)</f>
        <v/>
      </c>
      <c r="AB1238" s="62" t="str">
        <f t="shared" si="19"/>
        <v/>
      </c>
    </row>
    <row r="1239" spans="3:28" x14ac:dyDescent="0.2">
      <c r="C1239" s="69"/>
      <c r="D1239" s="70"/>
      <c r="S1239" s="34"/>
      <c r="T1239" s="60" t="str">
        <f>IF(P1239&lt;&gt;"",
    IF(OR(O1239="", Q1239="", R1239=""),
        "Fill all the required columns",
        IFERROR(
            IF(OR(
                AND(R1239="Marine Protected", VLOOKUP(O1239, Reference!$A$2:$D$34, 4, FALSE) &lt;= P1239),
                AND(R1239="General Use", VLOOKUP(O1239, Reference!$A$2:$D$34, 3, FALSE) &lt;= P1239)
            ),
                "Exceeded",
                "OK"
            ),
            "No Regulation defined"
        )
    ),
    ""
)</f>
        <v/>
      </c>
      <c r="AB1239" s="62" t="str">
        <f t="shared" si="19"/>
        <v/>
      </c>
    </row>
    <row r="1240" spans="3:28" x14ac:dyDescent="0.2">
      <c r="C1240" s="69"/>
      <c r="D1240" s="70"/>
      <c r="S1240" s="34"/>
      <c r="T1240" s="60" t="str">
        <f>IF(P1240&lt;&gt;"",
    IF(OR(O1240="", Q1240="", R1240=""),
        "Fill all the required columns",
        IFERROR(
            IF(OR(
                AND(R1240="Marine Protected", VLOOKUP(O1240, Reference!$A$2:$D$34, 4, FALSE) &lt;= P1240),
                AND(R1240="General Use", VLOOKUP(O1240, Reference!$A$2:$D$34, 3, FALSE) &lt;= P1240)
            ),
                "Exceeded",
                "OK"
            ),
            "No Regulation defined"
        )
    ),
    ""
)</f>
        <v/>
      </c>
      <c r="AB1240" s="62" t="str">
        <f t="shared" si="19"/>
        <v/>
      </c>
    </row>
    <row r="1241" spans="3:28" x14ac:dyDescent="0.2">
      <c r="C1241" s="69"/>
      <c r="D1241" s="70"/>
      <c r="S1241" s="34"/>
      <c r="T1241" s="60" t="str">
        <f>IF(P1241&lt;&gt;"",
    IF(OR(O1241="", Q1241="", R1241=""),
        "Fill all the required columns",
        IFERROR(
            IF(OR(
                AND(R1241="Marine Protected", VLOOKUP(O1241, Reference!$A$2:$D$34, 4, FALSE) &lt;= P1241),
                AND(R1241="General Use", VLOOKUP(O1241, Reference!$A$2:$D$34, 3, FALSE) &lt;= P1241)
            ),
                "Exceeded",
                "OK"
            ),
            "No Regulation defined"
        )
    ),
    ""
)</f>
        <v/>
      </c>
      <c r="AB1241" s="62" t="str">
        <f t="shared" si="19"/>
        <v/>
      </c>
    </row>
    <row r="1242" spans="3:28" x14ac:dyDescent="0.2">
      <c r="C1242" s="69"/>
      <c r="D1242" s="70"/>
      <c r="S1242" s="34"/>
      <c r="T1242" s="60" t="str">
        <f>IF(P1242&lt;&gt;"",
    IF(OR(O1242="", Q1242="", R1242=""),
        "Fill all the required columns",
        IFERROR(
            IF(OR(
                AND(R1242="Marine Protected", VLOOKUP(O1242, Reference!$A$2:$D$34, 4, FALSE) &lt;= P1242),
                AND(R1242="General Use", VLOOKUP(O1242, Reference!$A$2:$D$34, 3, FALSE) &lt;= P1242)
            ),
                "Exceeded",
                "OK"
            ),
            "No Regulation defined"
        )
    ),
    ""
)</f>
        <v/>
      </c>
      <c r="AB1242" s="62" t="str">
        <f t="shared" si="19"/>
        <v/>
      </c>
    </row>
    <row r="1243" spans="3:28" x14ac:dyDescent="0.2">
      <c r="C1243" s="69"/>
      <c r="D1243" s="70"/>
      <c r="S1243" s="34"/>
      <c r="T1243" s="60" t="str">
        <f>IF(P1243&lt;&gt;"",
    IF(OR(O1243="", Q1243="", R1243=""),
        "Fill all the required columns",
        IFERROR(
            IF(OR(
                AND(R1243="Marine Protected", VLOOKUP(O1243, Reference!$A$2:$D$34, 4, FALSE) &lt;= P1243),
                AND(R1243="General Use", VLOOKUP(O1243, Reference!$A$2:$D$34, 3, FALSE) &lt;= P1243)
            ),
                "Exceeded",
                "OK"
            ),
            "No Regulation defined"
        )
    ),
    ""
)</f>
        <v/>
      </c>
      <c r="AB1243" s="62" t="str">
        <f t="shared" si="19"/>
        <v/>
      </c>
    </row>
    <row r="1244" spans="3:28" x14ac:dyDescent="0.2">
      <c r="C1244" s="69"/>
      <c r="D1244" s="70"/>
      <c r="S1244" s="34"/>
      <c r="T1244" s="60" t="str">
        <f>IF(P1244&lt;&gt;"",
    IF(OR(O1244="", Q1244="", R1244=""),
        "Fill all the required columns",
        IFERROR(
            IF(OR(
                AND(R1244="Marine Protected", VLOOKUP(O1244, Reference!$A$2:$D$34, 4, FALSE) &lt;= P1244),
                AND(R1244="General Use", VLOOKUP(O1244, Reference!$A$2:$D$34, 3, FALSE) &lt;= P1244)
            ),
                "Exceeded",
                "OK"
            ),
            "No Regulation defined"
        )
    ),
    ""
)</f>
        <v/>
      </c>
      <c r="AB1244" s="62" t="str">
        <f t="shared" si="19"/>
        <v/>
      </c>
    </row>
    <row r="1245" spans="3:28" x14ac:dyDescent="0.2">
      <c r="C1245" s="69"/>
      <c r="D1245" s="70"/>
      <c r="S1245" s="34"/>
      <c r="T1245" s="60" t="str">
        <f>IF(P1245&lt;&gt;"",
    IF(OR(O1245="", Q1245="", R1245=""),
        "Fill all the required columns",
        IFERROR(
            IF(OR(
                AND(R1245="Marine Protected", VLOOKUP(O1245, Reference!$A$2:$D$34, 4, FALSE) &lt;= P1245),
                AND(R1245="General Use", VLOOKUP(O1245, Reference!$A$2:$D$34, 3, FALSE) &lt;= P1245)
            ),
                "Exceeded",
                "OK"
            ),
            "No Regulation defined"
        )
    ),
    ""
)</f>
        <v/>
      </c>
      <c r="AB1245" s="62" t="str">
        <f t="shared" si="19"/>
        <v/>
      </c>
    </row>
    <row r="1246" spans="3:28" x14ac:dyDescent="0.2">
      <c r="C1246" s="69"/>
      <c r="D1246" s="70"/>
      <c r="S1246" s="34"/>
      <c r="T1246" s="60" t="str">
        <f>IF(P1246&lt;&gt;"",
    IF(OR(O1246="", Q1246="", R1246=""),
        "Fill all the required columns",
        IFERROR(
            IF(OR(
                AND(R1246="Marine Protected", VLOOKUP(O1246, Reference!$A$2:$D$34, 4, FALSE) &lt;= P1246),
                AND(R1246="General Use", VLOOKUP(O1246, Reference!$A$2:$D$34, 3, FALSE) &lt;= P1246)
            ),
                "Exceeded",
                "OK"
            ),
            "No Regulation defined"
        )
    ),
    ""
)</f>
        <v/>
      </c>
      <c r="AB1246" s="62" t="str">
        <f t="shared" si="19"/>
        <v/>
      </c>
    </row>
    <row r="1247" spans="3:28" x14ac:dyDescent="0.2">
      <c r="C1247" s="69"/>
      <c r="D1247" s="70"/>
      <c r="S1247" s="34"/>
      <c r="T1247" s="60" t="str">
        <f>IF(P1247&lt;&gt;"",
    IF(OR(O1247="", Q1247="", R1247=""),
        "Fill all the required columns",
        IFERROR(
            IF(OR(
                AND(R1247="Marine Protected", VLOOKUP(O1247, Reference!$A$2:$D$34, 4, FALSE) &lt;= P1247),
                AND(R1247="General Use", VLOOKUP(O1247, Reference!$A$2:$D$34, 3, FALSE) &lt;= P1247)
            ),
                "Exceeded",
                "OK"
            ),
            "No Regulation defined"
        )
    ),
    ""
)</f>
        <v/>
      </c>
      <c r="AB1247" s="62" t="str">
        <f t="shared" si="19"/>
        <v/>
      </c>
    </row>
    <row r="1248" spans="3:28" x14ac:dyDescent="0.2">
      <c r="C1248" s="69"/>
      <c r="D1248" s="70"/>
      <c r="S1248" s="34"/>
      <c r="T1248" s="60" t="str">
        <f>IF(P1248&lt;&gt;"",
    IF(OR(O1248="", Q1248="", R1248=""),
        "Fill all the required columns",
        IFERROR(
            IF(OR(
                AND(R1248="Marine Protected", VLOOKUP(O1248, Reference!$A$2:$D$34, 4, FALSE) &lt;= P1248),
                AND(R1248="General Use", VLOOKUP(O1248, Reference!$A$2:$D$34, 3, FALSE) &lt;= P1248)
            ),
                "Exceeded",
                "OK"
            ),
            "No Regulation defined"
        )
    ),
    ""
)</f>
        <v/>
      </c>
      <c r="AB1248" s="62" t="str">
        <f t="shared" si="19"/>
        <v/>
      </c>
    </row>
    <row r="1249" spans="3:28" x14ac:dyDescent="0.2">
      <c r="C1249" s="69"/>
      <c r="D1249" s="70"/>
      <c r="S1249" s="34"/>
      <c r="T1249" s="60" t="str">
        <f>IF(P1249&lt;&gt;"",
    IF(OR(O1249="", Q1249="", R1249=""),
        "Fill all the required columns",
        IFERROR(
            IF(OR(
                AND(R1249="Marine Protected", VLOOKUP(O1249, Reference!$A$2:$D$34, 4, FALSE) &lt;= P1249),
                AND(R1249="General Use", VLOOKUP(O1249, Reference!$A$2:$D$34, 3, FALSE) &lt;= P1249)
            ),
                "Exceeded",
                "OK"
            ),
            "No Regulation defined"
        )
    ),
    ""
)</f>
        <v/>
      </c>
      <c r="AB1249" s="62" t="str">
        <f t="shared" si="19"/>
        <v/>
      </c>
    </row>
    <row r="1250" spans="3:28" x14ac:dyDescent="0.2">
      <c r="C1250" s="69"/>
      <c r="D1250" s="70"/>
      <c r="S1250" s="34"/>
      <c r="T1250" s="60" t="str">
        <f>IF(P1250&lt;&gt;"",
    IF(OR(O1250="", Q1250="", R1250=""),
        "Fill all the required columns",
        IFERROR(
            IF(OR(
                AND(R1250="Marine Protected", VLOOKUP(O1250, Reference!$A$2:$D$34, 4, FALSE) &lt;= P1250),
                AND(R1250="General Use", VLOOKUP(O1250, Reference!$A$2:$D$34, 3, FALSE) &lt;= P1250)
            ),
                "Exceeded",
                "OK"
            ),
            "No Regulation defined"
        )
    ),
    ""
)</f>
        <v/>
      </c>
      <c r="AB1250" s="62" t="str">
        <f t="shared" si="19"/>
        <v/>
      </c>
    </row>
    <row r="1251" spans="3:28" x14ac:dyDescent="0.2">
      <c r="C1251" s="69"/>
      <c r="D1251" s="70"/>
      <c r="S1251" s="34"/>
      <c r="T1251" s="60" t="str">
        <f>IF(P1251&lt;&gt;"",
    IF(OR(O1251="", Q1251="", R1251=""),
        "Fill all the required columns",
        IFERROR(
            IF(OR(
                AND(R1251="Marine Protected", VLOOKUP(O1251, Reference!$A$2:$D$34, 4, FALSE) &lt;= P1251),
                AND(R1251="General Use", VLOOKUP(O1251, Reference!$A$2:$D$34, 3, FALSE) &lt;= P1251)
            ),
                "Exceeded",
                "OK"
            ),
            "No Regulation defined"
        )
    ),
    ""
)</f>
        <v/>
      </c>
      <c r="AB1251" s="62" t="str">
        <f t="shared" si="19"/>
        <v/>
      </c>
    </row>
    <row r="1252" spans="3:28" x14ac:dyDescent="0.2">
      <c r="C1252" s="69"/>
      <c r="D1252" s="70"/>
      <c r="S1252" s="34"/>
      <c r="T1252" s="60" t="str">
        <f>IF(P1252&lt;&gt;"",
    IF(OR(O1252="", Q1252="", R1252=""),
        "Fill all the required columns",
        IFERROR(
            IF(OR(
                AND(R1252="Marine Protected", VLOOKUP(O1252, Reference!$A$2:$D$34, 4, FALSE) &lt;= P1252),
                AND(R1252="General Use", VLOOKUP(O1252, Reference!$A$2:$D$34, 3, FALSE) &lt;= P1252)
            ),
                "Exceeded",
                "OK"
            ),
            "No Regulation defined"
        )
    ),
    ""
)</f>
        <v/>
      </c>
      <c r="AB1252" s="62" t="str">
        <f t="shared" si="19"/>
        <v/>
      </c>
    </row>
    <row r="1253" spans="3:28" x14ac:dyDescent="0.2">
      <c r="C1253" s="69"/>
      <c r="D1253" s="70"/>
      <c r="S1253" s="34"/>
      <c r="T1253" s="60" t="str">
        <f>IF(P1253&lt;&gt;"",
    IF(OR(O1253="", Q1253="", R1253=""),
        "Fill all the required columns",
        IFERROR(
            IF(OR(
                AND(R1253="Marine Protected", VLOOKUP(O1253, Reference!$A$2:$D$34, 4, FALSE) &lt;= P1253),
                AND(R1253="General Use", VLOOKUP(O1253, Reference!$A$2:$D$34, 3, FALSE) &lt;= P1253)
            ),
                "Exceeded",
                "OK"
            ),
            "No Regulation defined"
        )
    ),
    ""
)</f>
        <v/>
      </c>
      <c r="AB1253" s="62" t="str">
        <f t="shared" si="19"/>
        <v/>
      </c>
    </row>
    <row r="1254" spans="3:28" x14ac:dyDescent="0.2">
      <c r="C1254" s="69"/>
      <c r="D1254" s="70"/>
      <c r="S1254" s="34"/>
      <c r="T1254" s="60" t="str">
        <f>IF(P1254&lt;&gt;"",
    IF(OR(O1254="", Q1254="", R1254=""),
        "Fill all the required columns",
        IFERROR(
            IF(OR(
                AND(R1254="Marine Protected", VLOOKUP(O1254, Reference!$A$2:$D$34, 4, FALSE) &lt;= P1254),
                AND(R1254="General Use", VLOOKUP(O1254, Reference!$A$2:$D$34, 3, FALSE) &lt;= P1254)
            ),
                "Exceeded",
                "OK"
            ),
            "No Regulation defined"
        )
    ),
    ""
)</f>
        <v/>
      </c>
      <c r="AB1254" s="62" t="str">
        <f t="shared" si="19"/>
        <v/>
      </c>
    </row>
    <row r="1255" spans="3:28" x14ac:dyDescent="0.2">
      <c r="C1255" s="69"/>
      <c r="D1255" s="70"/>
      <c r="S1255" s="34"/>
      <c r="T1255" s="60" t="str">
        <f>IF(P1255&lt;&gt;"",
    IF(OR(O1255="", Q1255="", R1255=""),
        "Fill all the required columns",
        IFERROR(
            IF(OR(
                AND(R1255="Marine Protected", VLOOKUP(O1255, Reference!$A$2:$D$34, 4, FALSE) &lt;= P1255),
                AND(R1255="General Use", VLOOKUP(O1255, Reference!$A$2:$D$34, 3, FALSE) &lt;= P1255)
            ),
                "Exceeded",
                "OK"
            ),
            "No Regulation defined"
        )
    ),
    ""
)</f>
        <v/>
      </c>
      <c r="AB1255" s="62" t="str">
        <f t="shared" si="19"/>
        <v/>
      </c>
    </row>
    <row r="1256" spans="3:28" x14ac:dyDescent="0.2">
      <c r="C1256" s="69"/>
      <c r="D1256" s="70"/>
      <c r="S1256" s="34"/>
      <c r="T1256" s="60" t="str">
        <f>IF(P1256&lt;&gt;"",
    IF(OR(O1256="", Q1256="", R1256=""),
        "Fill all the required columns",
        IFERROR(
            IF(OR(
                AND(R1256="Marine Protected", VLOOKUP(O1256, Reference!$A$2:$D$34, 4, FALSE) &lt;= P1256),
                AND(R1256="General Use", VLOOKUP(O1256, Reference!$A$2:$D$34, 3, FALSE) &lt;= P1256)
            ),
                "Exceeded",
                "OK"
            ),
            "No Regulation defined"
        )
    ),
    ""
)</f>
        <v/>
      </c>
      <c r="AB1256" s="62" t="str">
        <f t="shared" si="19"/>
        <v/>
      </c>
    </row>
    <row r="1257" spans="3:28" x14ac:dyDescent="0.2">
      <c r="C1257" s="69"/>
      <c r="D1257" s="70"/>
      <c r="S1257" s="34"/>
      <c r="T1257" s="60" t="str">
        <f>IF(P1257&lt;&gt;"",
    IF(OR(O1257="", Q1257="", R1257=""),
        "Fill all the required columns",
        IFERROR(
            IF(OR(
                AND(R1257="Marine Protected", VLOOKUP(O1257, Reference!$A$2:$D$34, 4, FALSE) &lt;= P1257),
                AND(R1257="General Use", VLOOKUP(O1257, Reference!$A$2:$D$34, 3, FALSE) &lt;= P1257)
            ),
                "Exceeded",
                "OK"
            ),
            "No Regulation defined"
        )
    ),
    ""
)</f>
        <v/>
      </c>
      <c r="AB1257" s="62" t="str">
        <f t="shared" si="19"/>
        <v/>
      </c>
    </row>
    <row r="1258" spans="3:28" x14ac:dyDescent="0.2">
      <c r="C1258" s="69"/>
      <c r="D1258" s="70"/>
      <c r="S1258" s="34"/>
      <c r="T1258" s="60" t="str">
        <f>IF(P1258&lt;&gt;"",
    IF(OR(O1258="", Q1258="", R1258=""),
        "Fill all the required columns",
        IFERROR(
            IF(OR(
                AND(R1258="Marine Protected", VLOOKUP(O1258, Reference!$A$2:$D$34, 4, FALSE) &lt;= P1258),
                AND(R1258="General Use", VLOOKUP(O1258, Reference!$A$2:$D$34, 3, FALSE) &lt;= P1258)
            ),
                "Exceeded",
                "OK"
            ),
            "No Regulation defined"
        )
    ),
    ""
)</f>
        <v/>
      </c>
      <c r="AB1258" s="62" t="str">
        <f t="shared" si="19"/>
        <v/>
      </c>
    </row>
    <row r="1259" spans="3:28" x14ac:dyDescent="0.2">
      <c r="C1259" s="69"/>
      <c r="D1259" s="70"/>
      <c r="S1259" s="34"/>
      <c r="T1259" s="60" t="str">
        <f>IF(P1259&lt;&gt;"",
    IF(OR(O1259="", Q1259="", R1259=""),
        "Fill all the required columns",
        IFERROR(
            IF(OR(
                AND(R1259="Marine Protected", VLOOKUP(O1259, Reference!$A$2:$D$34, 4, FALSE) &lt;= P1259),
                AND(R1259="General Use", VLOOKUP(O1259, Reference!$A$2:$D$34, 3, FALSE) &lt;= P1259)
            ),
                "Exceeded",
                "OK"
            ),
            "No Regulation defined"
        )
    ),
    ""
)</f>
        <v/>
      </c>
      <c r="AB1259" s="62" t="str">
        <f t="shared" si="19"/>
        <v/>
      </c>
    </row>
    <row r="1260" spans="3:28" x14ac:dyDescent="0.2">
      <c r="C1260" s="69"/>
      <c r="D1260" s="70"/>
      <c r="S1260" s="34"/>
      <c r="T1260" s="60" t="str">
        <f>IF(P1260&lt;&gt;"",
    IF(OR(O1260="", Q1260="", R1260=""),
        "Fill all the required columns",
        IFERROR(
            IF(OR(
                AND(R1260="Marine Protected", VLOOKUP(O1260, Reference!$A$2:$D$34, 4, FALSE) &lt;= P1260),
                AND(R1260="General Use", VLOOKUP(O1260, Reference!$A$2:$D$34, 3, FALSE) &lt;= P1260)
            ),
                "Exceeded",
                "OK"
            ),
            "No Regulation defined"
        )
    ),
    ""
)</f>
        <v/>
      </c>
      <c r="AB1260" s="62" t="str">
        <f t="shared" si="19"/>
        <v/>
      </c>
    </row>
    <row r="1261" spans="3:28" x14ac:dyDescent="0.2">
      <c r="C1261" s="69"/>
      <c r="D1261" s="70"/>
      <c r="S1261" s="34"/>
      <c r="T1261" s="60" t="str">
        <f>IF(P1261&lt;&gt;"",
    IF(OR(O1261="", Q1261="", R1261=""),
        "Fill all the required columns",
        IFERROR(
            IF(OR(
                AND(R1261="Marine Protected", VLOOKUP(O1261, Reference!$A$2:$D$34, 4, FALSE) &lt;= P1261),
                AND(R1261="General Use", VLOOKUP(O1261, Reference!$A$2:$D$34, 3, FALSE) &lt;= P1261)
            ),
                "Exceeded",
                "OK"
            ),
            "No Regulation defined"
        )
    ),
    ""
)</f>
        <v/>
      </c>
      <c r="AB1261" s="62" t="str">
        <f t="shared" si="19"/>
        <v/>
      </c>
    </row>
    <row r="1262" spans="3:28" x14ac:dyDescent="0.2">
      <c r="C1262" s="69"/>
      <c r="D1262" s="70"/>
      <c r="S1262" s="34"/>
      <c r="T1262" s="60" t="str">
        <f>IF(P1262&lt;&gt;"",
    IF(OR(O1262="", Q1262="", R1262=""),
        "Fill all the required columns",
        IFERROR(
            IF(OR(
                AND(R1262="Marine Protected", VLOOKUP(O1262, Reference!$A$2:$D$34, 4, FALSE) &lt;= P1262),
                AND(R1262="General Use", VLOOKUP(O1262, Reference!$A$2:$D$34, 3, FALSE) &lt;= P1262)
            ),
                "Exceeded",
                "OK"
            ),
            "No Regulation defined"
        )
    ),
    ""
)</f>
        <v/>
      </c>
      <c r="AB1262" s="62" t="str">
        <f t="shared" si="19"/>
        <v/>
      </c>
    </row>
    <row r="1263" spans="3:28" x14ac:dyDescent="0.2">
      <c r="C1263" s="69"/>
      <c r="D1263" s="70"/>
      <c r="S1263" s="34"/>
      <c r="T1263" s="60" t="str">
        <f>IF(P1263&lt;&gt;"",
    IF(OR(O1263="", Q1263="", R1263=""),
        "Fill all the required columns",
        IFERROR(
            IF(OR(
                AND(R1263="Marine Protected", VLOOKUP(O1263, Reference!$A$2:$D$34, 4, FALSE) &lt;= P1263),
                AND(R1263="General Use", VLOOKUP(O1263, Reference!$A$2:$D$34, 3, FALSE) &lt;= P1263)
            ),
                "Exceeded",
                "OK"
            ),
            "No Regulation defined"
        )
    ),
    ""
)</f>
        <v/>
      </c>
      <c r="AB1263" s="62" t="str">
        <f t="shared" si="19"/>
        <v/>
      </c>
    </row>
    <row r="1264" spans="3:28" x14ac:dyDescent="0.2">
      <c r="C1264" s="69"/>
      <c r="D1264" s="70"/>
      <c r="S1264" s="34"/>
      <c r="T1264" s="60" t="str">
        <f>IF(P1264&lt;&gt;"",
    IF(OR(O1264="", Q1264="", R1264=""),
        "Fill all the required columns",
        IFERROR(
            IF(OR(
                AND(R1264="Marine Protected", VLOOKUP(O1264, Reference!$A$2:$D$34, 4, FALSE) &lt;= P1264),
                AND(R1264="General Use", VLOOKUP(O1264, Reference!$A$2:$D$34, 3, FALSE) &lt;= P1264)
            ),
                "Exceeded",
                "OK"
            ),
            "No Regulation defined"
        )
    ),
    ""
)</f>
        <v/>
      </c>
      <c r="AB1264" s="62" t="str">
        <f t="shared" si="19"/>
        <v/>
      </c>
    </row>
    <row r="1265" spans="3:28" x14ac:dyDescent="0.2">
      <c r="C1265" s="69"/>
      <c r="D1265" s="70"/>
      <c r="S1265" s="34"/>
      <c r="T1265" s="60" t="str">
        <f>IF(P1265&lt;&gt;"",
    IF(OR(O1265="", Q1265="", R1265=""),
        "Fill all the required columns",
        IFERROR(
            IF(OR(
                AND(R1265="Marine Protected", VLOOKUP(O1265, Reference!$A$2:$D$34, 4, FALSE) &lt;= P1265),
                AND(R1265="General Use", VLOOKUP(O1265, Reference!$A$2:$D$34, 3, FALSE) &lt;= P1265)
            ),
                "Exceeded",
                "OK"
            ),
            "No Regulation defined"
        )
    ),
    ""
)</f>
        <v/>
      </c>
      <c r="AB1265" s="62" t="str">
        <f t="shared" si="19"/>
        <v/>
      </c>
    </row>
    <row r="1266" spans="3:28" x14ac:dyDescent="0.2">
      <c r="C1266" s="69"/>
      <c r="D1266" s="70"/>
      <c r="S1266" s="34"/>
      <c r="T1266" s="60" t="str">
        <f>IF(P1266&lt;&gt;"",
    IF(OR(O1266="", Q1266="", R1266=""),
        "Fill all the required columns",
        IFERROR(
            IF(OR(
                AND(R1266="Marine Protected", VLOOKUP(O1266, Reference!$A$2:$D$34, 4, FALSE) &lt;= P1266),
                AND(R1266="General Use", VLOOKUP(O1266, Reference!$A$2:$D$34, 3, FALSE) &lt;= P1266)
            ),
                "Exceeded",
                "OK"
            ),
            "No Regulation defined"
        )
    ),
    ""
)</f>
        <v/>
      </c>
      <c r="AB1266" s="62" t="str">
        <f t="shared" si="19"/>
        <v/>
      </c>
    </row>
    <row r="1267" spans="3:28" x14ac:dyDescent="0.2">
      <c r="C1267" s="69"/>
      <c r="D1267" s="70"/>
      <c r="S1267" s="34"/>
      <c r="T1267" s="60" t="str">
        <f>IF(P1267&lt;&gt;"",
    IF(OR(O1267="", Q1267="", R1267=""),
        "Fill all the required columns",
        IFERROR(
            IF(OR(
                AND(R1267="Marine Protected", VLOOKUP(O1267, Reference!$A$2:$D$34, 4, FALSE) &lt;= P1267),
                AND(R1267="General Use", VLOOKUP(O1267, Reference!$A$2:$D$34, 3, FALSE) &lt;= P1267)
            ),
                "Exceeded",
                "OK"
            ),
            "No Regulation defined"
        )
    ),
    ""
)</f>
        <v/>
      </c>
      <c r="AB1267" s="62" t="str">
        <f t="shared" si="19"/>
        <v/>
      </c>
    </row>
    <row r="1268" spans="3:28" x14ac:dyDescent="0.2">
      <c r="C1268" s="69"/>
      <c r="D1268" s="70"/>
      <c r="S1268" s="34"/>
      <c r="T1268" s="60" t="str">
        <f>IF(P1268&lt;&gt;"",
    IF(OR(O1268="", Q1268="", R1268=""),
        "Fill all the required columns",
        IFERROR(
            IF(OR(
                AND(R1268="Marine Protected", VLOOKUP(O1268, Reference!$A$2:$D$34, 4, FALSE) &lt;= P1268),
                AND(R1268="General Use", VLOOKUP(O1268, Reference!$A$2:$D$34, 3, FALSE) &lt;= P1268)
            ),
                "Exceeded",
                "OK"
            ),
            "No Regulation defined"
        )
    ),
    ""
)</f>
        <v/>
      </c>
      <c r="AB1268" s="62" t="str">
        <f t="shared" si="19"/>
        <v/>
      </c>
    </row>
    <row r="1269" spans="3:28" x14ac:dyDescent="0.2">
      <c r="C1269" s="69"/>
      <c r="D1269" s="70"/>
      <c r="S1269" s="34"/>
      <c r="T1269" s="60" t="str">
        <f>IF(P1269&lt;&gt;"",
    IF(OR(O1269="", Q1269="", R1269=""),
        "Fill all the required columns",
        IFERROR(
            IF(OR(
                AND(R1269="Marine Protected", VLOOKUP(O1269, Reference!$A$2:$D$34, 4, FALSE) &lt;= P1269),
                AND(R1269="General Use", VLOOKUP(O1269, Reference!$A$2:$D$34, 3, FALSE) &lt;= P1269)
            ),
                "Exceeded",
                "OK"
            ),
            "No Regulation defined"
        )
    ),
    ""
)</f>
        <v/>
      </c>
      <c r="AB1269" s="62" t="str">
        <f t="shared" si="19"/>
        <v/>
      </c>
    </row>
    <row r="1270" spans="3:28" x14ac:dyDescent="0.2">
      <c r="C1270" s="69"/>
      <c r="D1270" s="70"/>
      <c r="S1270" s="34"/>
      <c r="T1270" s="60" t="str">
        <f>IF(P1270&lt;&gt;"",
    IF(OR(O1270="", Q1270="", R1270=""),
        "Fill all the required columns",
        IFERROR(
            IF(OR(
                AND(R1270="Marine Protected", VLOOKUP(O1270, Reference!$A$2:$D$34, 4, FALSE) &lt;= P1270),
                AND(R1270="General Use", VLOOKUP(O1270, Reference!$A$2:$D$34, 3, FALSE) &lt;= P1270)
            ),
                "Exceeded",
                "OK"
            ),
            "No Regulation defined"
        )
    ),
    ""
)</f>
        <v/>
      </c>
      <c r="AB1270" s="62" t="str">
        <f t="shared" si="19"/>
        <v/>
      </c>
    </row>
    <row r="1271" spans="3:28" x14ac:dyDescent="0.2">
      <c r="C1271" s="69"/>
      <c r="D1271" s="70"/>
      <c r="S1271" s="34"/>
      <c r="T1271" s="60" t="str">
        <f>IF(P1271&lt;&gt;"",
    IF(OR(O1271="", Q1271="", R1271=""),
        "Fill all the required columns",
        IFERROR(
            IF(OR(
                AND(R1271="Marine Protected", VLOOKUP(O1271, Reference!$A$2:$D$34, 4, FALSE) &lt;= P1271),
                AND(R1271="General Use", VLOOKUP(O1271, Reference!$A$2:$D$34, 3, FALSE) &lt;= P1271)
            ),
                "Exceeded",
                "OK"
            ),
            "No Regulation defined"
        )
    ),
    ""
)</f>
        <v/>
      </c>
      <c r="AB1271" s="62" t="str">
        <f t="shared" si="19"/>
        <v/>
      </c>
    </row>
    <row r="1272" spans="3:28" x14ac:dyDescent="0.2">
      <c r="C1272" s="69"/>
      <c r="D1272" s="70"/>
      <c r="S1272" s="34"/>
      <c r="T1272" s="60" t="str">
        <f>IF(P1272&lt;&gt;"",
    IF(OR(O1272="", Q1272="", R1272=""),
        "Fill all the required columns",
        IFERROR(
            IF(OR(
                AND(R1272="Marine Protected", VLOOKUP(O1272, Reference!$A$2:$D$34, 4, FALSE) &lt;= P1272),
                AND(R1272="General Use", VLOOKUP(O1272, Reference!$A$2:$D$34, 3, FALSE) &lt;= P1272)
            ),
                "Exceeded",
                "OK"
            ),
            "No Regulation defined"
        )
    ),
    ""
)</f>
        <v/>
      </c>
      <c r="AB1272" s="62" t="str">
        <f t="shared" si="19"/>
        <v/>
      </c>
    </row>
    <row r="1273" spans="3:28" x14ac:dyDescent="0.2">
      <c r="C1273" s="69"/>
      <c r="D1273" s="70"/>
      <c r="S1273" s="34"/>
      <c r="T1273" s="60" t="str">
        <f>IF(P1273&lt;&gt;"",
    IF(OR(O1273="", Q1273="", R1273=""),
        "Fill all the required columns",
        IFERROR(
            IF(OR(
                AND(R1273="Marine Protected", VLOOKUP(O1273, Reference!$A$2:$D$34, 4, FALSE) &lt;= P1273),
                AND(R1273="General Use", VLOOKUP(O1273, Reference!$A$2:$D$34, 3, FALSE) &lt;= P1273)
            ),
                "Exceeded",
                "OK"
            ),
            "No Regulation defined"
        )
    ),
    ""
)</f>
        <v/>
      </c>
      <c r="AB1273" s="62" t="str">
        <f t="shared" si="19"/>
        <v/>
      </c>
    </row>
    <row r="1274" spans="3:28" x14ac:dyDescent="0.2">
      <c r="C1274" s="69"/>
      <c r="D1274" s="70"/>
      <c r="S1274" s="34"/>
      <c r="T1274" s="60" t="str">
        <f>IF(P1274&lt;&gt;"",
    IF(OR(O1274="", Q1274="", R1274=""),
        "Fill all the required columns",
        IFERROR(
            IF(OR(
                AND(R1274="Marine Protected", VLOOKUP(O1274, Reference!$A$2:$D$34, 4, FALSE) &lt;= P1274),
                AND(R1274="General Use", VLOOKUP(O1274, Reference!$A$2:$D$34, 3, FALSE) &lt;= P1274)
            ),
                "Exceeded",
                "OK"
            ),
            "No Regulation defined"
        )
    ),
    ""
)</f>
        <v/>
      </c>
      <c r="AB1274" s="62" t="str">
        <f t="shared" si="19"/>
        <v/>
      </c>
    </row>
    <row r="1275" spans="3:28" x14ac:dyDescent="0.2">
      <c r="C1275" s="69"/>
      <c r="D1275" s="70"/>
      <c r="S1275" s="34"/>
      <c r="T1275" s="60" t="str">
        <f>IF(P1275&lt;&gt;"",
    IF(OR(O1275="", Q1275="", R1275=""),
        "Fill all the required columns",
        IFERROR(
            IF(OR(
                AND(R1275="Marine Protected", VLOOKUP(O1275, Reference!$A$2:$D$34, 4, FALSE) &lt;= P1275),
                AND(R1275="General Use", VLOOKUP(O1275, Reference!$A$2:$D$34, 3, FALSE) &lt;= P1275)
            ),
                "Exceeded",
                "OK"
            ),
            "No Regulation defined"
        )
    ),
    ""
)</f>
        <v/>
      </c>
      <c r="AB1275" s="62" t="str">
        <f t="shared" si="19"/>
        <v/>
      </c>
    </row>
    <row r="1276" spans="3:28" x14ac:dyDescent="0.2">
      <c r="C1276" s="69"/>
      <c r="D1276" s="70"/>
      <c r="S1276" s="34"/>
      <c r="T1276" s="60" t="str">
        <f>IF(P1276&lt;&gt;"",
    IF(OR(O1276="", Q1276="", R1276=""),
        "Fill all the required columns",
        IFERROR(
            IF(OR(
                AND(R1276="Marine Protected", VLOOKUP(O1276, Reference!$A$2:$D$34, 4, FALSE) &lt;= P1276),
                AND(R1276="General Use", VLOOKUP(O1276, Reference!$A$2:$D$34, 3, FALSE) &lt;= P1276)
            ),
                "Exceeded",
                "OK"
            ),
            "No Regulation defined"
        )
    ),
    ""
)</f>
        <v/>
      </c>
      <c r="AB1276" s="62" t="str">
        <f t="shared" si="19"/>
        <v/>
      </c>
    </row>
    <row r="1277" spans="3:28" x14ac:dyDescent="0.2">
      <c r="C1277" s="69"/>
      <c r="D1277" s="70"/>
      <c r="S1277" s="34"/>
      <c r="T1277" s="60" t="str">
        <f>IF(P1277&lt;&gt;"",
    IF(OR(O1277="", Q1277="", R1277=""),
        "Fill all the required columns",
        IFERROR(
            IF(OR(
                AND(R1277="Marine Protected", VLOOKUP(O1277, Reference!$A$2:$D$34, 4, FALSE) &lt;= P1277),
                AND(R1277="General Use", VLOOKUP(O1277, Reference!$A$2:$D$34, 3, FALSE) &lt;= P1277)
            ),
                "Exceeded",
                "OK"
            ),
            "No Regulation defined"
        )
    ),
    ""
)</f>
        <v/>
      </c>
      <c r="AB1277" s="62" t="str">
        <f t="shared" si="19"/>
        <v/>
      </c>
    </row>
    <row r="1278" spans="3:28" x14ac:dyDescent="0.2">
      <c r="C1278" s="69"/>
      <c r="D1278" s="70"/>
      <c r="S1278" s="34"/>
      <c r="T1278" s="60" t="str">
        <f>IF(P1278&lt;&gt;"",
    IF(OR(O1278="", Q1278="", R1278=""),
        "Fill all the required columns",
        IFERROR(
            IF(OR(
                AND(R1278="Marine Protected", VLOOKUP(O1278, Reference!$A$2:$D$34, 4, FALSE) &lt;= P1278),
                AND(R1278="General Use", VLOOKUP(O1278, Reference!$A$2:$D$34, 3, FALSE) &lt;= P1278)
            ),
                "Exceeded",
                "OK"
            ),
            "No Regulation defined"
        )
    ),
    ""
)</f>
        <v/>
      </c>
      <c r="AB1278" s="62" t="str">
        <f t="shared" si="19"/>
        <v/>
      </c>
    </row>
    <row r="1279" spans="3:28" x14ac:dyDescent="0.2">
      <c r="C1279" s="69"/>
      <c r="D1279" s="70"/>
      <c r="S1279" s="34"/>
      <c r="T1279" s="60" t="str">
        <f>IF(P1279&lt;&gt;"",
    IF(OR(O1279="", Q1279="", R1279=""),
        "Fill all the required columns",
        IFERROR(
            IF(OR(
                AND(R1279="Marine Protected", VLOOKUP(O1279, Reference!$A$2:$D$34, 4, FALSE) &lt;= P1279),
                AND(R1279="General Use", VLOOKUP(O1279, Reference!$A$2:$D$34, 3, FALSE) &lt;= P1279)
            ),
                "Exceeded",
                "OK"
            ),
            "No Regulation defined"
        )
    ),
    ""
)</f>
        <v/>
      </c>
      <c r="AB1279" s="62" t="str">
        <f t="shared" si="19"/>
        <v/>
      </c>
    </row>
    <row r="1280" spans="3:28" x14ac:dyDescent="0.2">
      <c r="C1280" s="69"/>
      <c r="D1280" s="70"/>
      <c r="S1280" s="34"/>
      <c r="T1280" s="60" t="str">
        <f>IF(P1280&lt;&gt;"",
    IF(OR(O1280="", Q1280="", R1280=""),
        "Fill all the required columns",
        IFERROR(
            IF(OR(
                AND(R1280="Marine Protected", VLOOKUP(O1280, Reference!$A$2:$D$34, 4, FALSE) &lt;= P1280),
                AND(R1280="General Use", VLOOKUP(O1280, Reference!$A$2:$D$34, 3, FALSE) &lt;= P1280)
            ),
                "Exceeded",
                "OK"
            ),
            "No Regulation defined"
        )
    ),
    ""
)</f>
        <v/>
      </c>
      <c r="AB1280" s="62" t="str">
        <f t="shared" si="19"/>
        <v/>
      </c>
    </row>
    <row r="1281" spans="3:28" x14ac:dyDescent="0.2">
      <c r="C1281" s="69"/>
      <c r="D1281" s="70"/>
      <c r="S1281" s="34"/>
      <c r="T1281" s="60" t="str">
        <f>IF(P1281&lt;&gt;"",
    IF(OR(O1281="", Q1281="", R1281=""),
        "Fill all the required columns",
        IFERROR(
            IF(OR(
                AND(R1281="Marine Protected", VLOOKUP(O1281, Reference!$A$2:$D$34, 4, FALSE) &lt;= P1281),
                AND(R1281="General Use", VLOOKUP(O1281, Reference!$A$2:$D$34, 3, FALSE) &lt;= P1281)
            ),
                "Exceeded",
                "OK"
            ),
            "No Regulation defined"
        )
    ),
    ""
)</f>
        <v/>
      </c>
      <c r="AB1281" s="62" t="str">
        <f t="shared" si="19"/>
        <v/>
      </c>
    </row>
    <row r="1282" spans="3:28" x14ac:dyDescent="0.2">
      <c r="C1282" s="69"/>
      <c r="D1282" s="70"/>
      <c r="S1282" s="34"/>
      <c r="T1282" s="60" t="str">
        <f>IF(P1282&lt;&gt;"",
    IF(OR(O1282="", Q1282="", R1282=""),
        "Fill all the required columns",
        IFERROR(
            IF(OR(
                AND(R1282="Marine Protected", VLOOKUP(O1282, Reference!$A$2:$D$34, 4, FALSE) &lt;= P1282),
                AND(R1282="General Use", VLOOKUP(O1282, Reference!$A$2:$D$34, 3, FALSE) &lt;= P1282)
            ),
                "Exceeded",
                "OK"
            ),
            "No Regulation defined"
        )
    ),
    ""
)</f>
        <v/>
      </c>
      <c r="AB1282" s="62" t="str">
        <f t="shared" si="19"/>
        <v/>
      </c>
    </row>
    <row r="1283" spans="3:28" x14ac:dyDescent="0.2">
      <c r="C1283" s="69"/>
      <c r="D1283" s="70"/>
      <c r="S1283" s="34"/>
      <c r="T1283" s="60" t="str">
        <f>IF(P1283&lt;&gt;"",
    IF(OR(O1283="", Q1283="", R1283=""),
        "Fill all the required columns",
        IFERROR(
            IF(OR(
                AND(R1283="Marine Protected", VLOOKUP(O1283, Reference!$A$2:$D$34, 4, FALSE) &lt;= P1283),
                AND(R1283="General Use", VLOOKUP(O1283, Reference!$A$2:$D$34, 3, FALSE) &lt;= P1283)
            ),
                "Exceeded",
                "OK"
            ),
            "No Regulation defined"
        )
    ),
    ""
)</f>
        <v/>
      </c>
      <c r="AB1283" s="62" t="str">
        <f t="shared" ref="AB1283:AB1346" si="20">IF(COUNTA(A1283, E1283, F1283, H1283, I1283, O1283, P1283, Q1283, R1283,S1283) = 0, "", IF(COUNTA(A1283, E1283, F1283, H1283, I1283, O1283, P1283, Q1283, R1283,S1283) = 10, "OK", "Incomplete"))</f>
        <v/>
      </c>
    </row>
    <row r="1284" spans="3:28" x14ac:dyDescent="0.2">
      <c r="C1284" s="69"/>
      <c r="D1284" s="70"/>
      <c r="S1284" s="34"/>
      <c r="T1284" s="60" t="str">
        <f>IF(P1284&lt;&gt;"",
    IF(OR(O1284="", Q1284="", R1284=""),
        "Fill all the required columns",
        IFERROR(
            IF(OR(
                AND(R1284="Marine Protected", VLOOKUP(O1284, Reference!$A$2:$D$34, 4, FALSE) &lt;= P1284),
                AND(R1284="General Use", VLOOKUP(O1284, Reference!$A$2:$D$34, 3, FALSE) &lt;= P1284)
            ),
                "Exceeded",
                "OK"
            ),
            "No Regulation defined"
        )
    ),
    ""
)</f>
        <v/>
      </c>
      <c r="AB1284" s="62" t="str">
        <f t="shared" si="20"/>
        <v/>
      </c>
    </row>
    <row r="1285" spans="3:28" x14ac:dyDescent="0.2">
      <c r="C1285" s="69"/>
      <c r="D1285" s="70"/>
      <c r="S1285" s="34"/>
      <c r="T1285" s="60" t="str">
        <f>IF(P1285&lt;&gt;"",
    IF(OR(O1285="", Q1285="", R1285=""),
        "Fill all the required columns",
        IFERROR(
            IF(OR(
                AND(R1285="Marine Protected", VLOOKUP(O1285, Reference!$A$2:$D$34, 4, FALSE) &lt;= P1285),
                AND(R1285="General Use", VLOOKUP(O1285, Reference!$A$2:$D$34, 3, FALSE) &lt;= P1285)
            ),
                "Exceeded",
                "OK"
            ),
            "No Regulation defined"
        )
    ),
    ""
)</f>
        <v/>
      </c>
      <c r="AB1285" s="62" t="str">
        <f t="shared" si="20"/>
        <v/>
      </c>
    </row>
    <row r="1286" spans="3:28" x14ac:dyDescent="0.2">
      <c r="C1286" s="69"/>
      <c r="D1286" s="70"/>
      <c r="S1286" s="34"/>
      <c r="T1286" s="60" t="str">
        <f>IF(P1286&lt;&gt;"",
    IF(OR(O1286="", Q1286="", R1286=""),
        "Fill all the required columns",
        IFERROR(
            IF(OR(
                AND(R1286="Marine Protected", VLOOKUP(O1286, Reference!$A$2:$D$34, 4, FALSE) &lt;= P1286),
                AND(R1286="General Use", VLOOKUP(O1286, Reference!$A$2:$D$34, 3, FALSE) &lt;= P1286)
            ),
                "Exceeded",
                "OK"
            ),
            "No Regulation defined"
        )
    ),
    ""
)</f>
        <v/>
      </c>
      <c r="AB1286" s="62" t="str">
        <f t="shared" si="20"/>
        <v/>
      </c>
    </row>
    <row r="1287" spans="3:28" x14ac:dyDescent="0.2">
      <c r="C1287" s="69"/>
      <c r="D1287" s="70"/>
      <c r="S1287" s="34"/>
      <c r="T1287" s="60" t="str">
        <f>IF(P1287&lt;&gt;"",
    IF(OR(O1287="", Q1287="", R1287=""),
        "Fill all the required columns",
        IFERROR(
            IF(OR(
                AND(R1287="Marine Protected", VLOOKUP(O1287, Reference!$A$2:$D$34, 4, FALSE) &lt;= P1287),
                AND(R1287="General Use", VLOOKUP(O1287, Reference!$A$2:$D$34, 3, FALSE) &lt;= P1287)
            ),
                "Exceeded",
                "OK"
            ),
            "No Regulation defined"
        )
    ),
    ""
)</f>
        <v/>
      </c>
      <c r="AB1287" s="62" t="str">
        <f t="shared" si="20"/>
        <v/>
      </c>
    </row>
    <row r="1288" spans="3:28" x14ac:dyDescent="0.2">
      <c r="C1288" s="69"/>
      <c r="D1288" s="70"/>
      <c r="S1288" s="34"/>
      <c r="T1288" s="60" t="str">
        <f>IF(P1288&lt;&gt;"",
    IF(OR(O1288="", Q1288="", R1288=""),
        "Fill all the required columns",
        IFERROR(
            IF(OR(
                AND(R1288="Marine Protected", VLOOKUP(O1288, Reference!$A$2:$D$34, 4, FALSE) &lt;= P1288),
                AND(R1288="General Use", VLOOKUP(O1288, Reference!$A$2:$D$34, 3, FALSE) &lt;= P1288)
            ),
                "Exceeded",
                "OK"
            ),
            "No Regulation defined"
        )
    ),
    ""
)</f>
        <v/>
      </c>
      <c r="AB1288" s="62" t="str">
        <f t="shared" si="20"/>
        <v/>
      </c>
    </row>
    <row r="1289" spans="3:28" x14ac:dyDescent="0.2">
      <c r="C1289" s="69"/>
      <c r="D1289" s="70"/>
      <c r="S1289" s="34"/>
      <c r="T1289" s="60" t="str">
        <f>IF(P1289&lt;&gt;"",
    IF(OR(O1289="", Q1289="", R1289=""),
        "Fill all the required columns",
        IFERROR(
            IF(OR(
                AND(R1289="Marine Protected", VLOOKUP(O1289, Reference!$A$2:$D$34, 4, FALSE) &lt;= P1289),
                AND(R1289="General Use", VLOOKUP(O1289, Reference!$A$2:$D$34, 3, FALSE) &lt;= P1289)
            ),
                "Exceeded",
                "OK"
            ),
            "No Regulation defined"
        )
    ),
    ""
)</f>
        <v/>
      </c>
      <c r="AB1289" s="62" t="str">
        <f t="shared" si="20"/>
        <v/>
      </c>
    </row>
    <row r="1290" spans="3:28" x14ac:dyDescent="0.2">
      <c r="C1290" s="69"/>
      <c r="D1290" s="70"/>
      <c r="S1290" s="34"/>
      <c r="T1290" s="60" t="str">
        <f>IF(P1290&lt;&gt;"",
    IF(OR(O1290="", Q1290="", R1290=""),
        "Fill all the required columns",
        IFERROR(
            IF(OR(
                AND(R1290="Marine Protected", VLOOKUP(O1290, Reference!$A$2:$D$34, 4, FALSE) &lt;= P1290),
                AND(R1290="General Use", VLOOKUP(O1290, Reference!$A$2:$D$34, 3, FALSE) &lt;= P1290)
            ),
                "Exceeded",
                "OK"
            ),
            "No Regulation defined"
        )
    ),
    ""
)</f>
        <v/>
      </c>
      <c r="AB1290" s="62" t="str">
        <f t="shared" si="20"/>
        <v/>
      </c>
    </row>
    <row r="1291" spans="3:28" x14ac:dyDescent="0.2">
      <c r="C1291" s="69"/>
      <c r="D1291" s="70"/>
      <c r="S1291" s="34"/>
      <c r="T1291" s="60" t="str">
        <f>IF(P1291&lt;&gt;"",
    IF(OR(O1291="", Q1291="", R1291=""),
        "Fill all the required columns",
        IFERROR(
            IF(OR(
                AND(R1291="Marine Protected", VLOOKUP(O1291, Reference!$A$2:$D$34, 4, FALSE) &lt;= P1291),
                AND(R1291="General Use", VLOOKUP(O1291, Reference!$A$2:$D$34, 3, FALSE) &lt;= P1291)
            ),
                "Exceeded",
                "OK"
            ),
            "No Regulation defined"
        )
    ),
    ""
)</f>
        <v/>
      </c>
      <c r="AB1291" s="62" t="str">
        <f t="shared" si="20"/>
        <v/>
      </c>
    </row>
    <row r="1292" spans="3:28" x14ac:dyDescent="0.2">
      <c r="C1292" s="69"/>
      <c r="D1292" s="70"/>
      <c r="S1292" s="34"/>
      <c r="T1292" s="60" t="str">
        <f>IF(P1292&lt;&gt;"",
    IF(OR(O1292="", Q1292="", R1292=""),
        "Fill all the required columns",
        IFERROR(
            IF(OR(
                AND(R1292="Marine Protected", VLOOKUP(O1292, Reference!$A$2:$D$34, 4, FALSE) &lt;= P1292),
                AND(R1292="General Use", VLOOKUP(O1292, Reference!$A$2:$D$34, 3, FALSE) &lt;= P1292)
            ),
                "Exceeded",
                "OK"
            ),
            "No Regulation defined"
        )
    ),
    ""
)</f>
        <v/>
      </c>
      <c r="AB1292" s="62" t="str">
        <f t="shared" si="20"/>
        <v/>
      </c>
    </row>
    <row r="1293" spans="3:28" x14ac:dyDescent="0.2">
      <c r="C1293" s="69"/>
      <c r="D1293" s="70"/>
      <c r="S1293" s="34"/>
      <c r="T1293" s="60" t="str">
        <f>IF(P1293&lt;&gt;"",
    IF(OR(O1293="", Q1293="", R1293=""),
        "Fill all the required columns",
        IFERROR(
            IF(OR(
                AND(R1293="Marine Protected", VLOOKUP(O1293, Reference!$A$2:$D$34, 4, FALSE) &lt;= P1293),
                AND(R1293="General Use", VLOOKUP(O1293, Reference!$A$2:$D$34, 3, FALSE) &lt;= P1293)
            ),
                "Exceeded",
                "OK"
            ),
            "No Regulation defined"
        )
    ),
    ""
)</f>
        <v/>
      </c>
      <c r="AB1293" s="62" t="str">
        <f t="shared" si="20"/>
        <v/>
      </c>
    </row>
    <row r="1294" spans="3:28" x14ac:dyDescent="0.2">
      <c r="C1294" s="69"/>
      <c r="D1294" s="70"/>
      <c r="S1294" s="34"/>
      <c r="T1294" s="60" t="str">
        <f>IF(P1294&lt;&gt;"",
    IF(OR(O1294="", Q1294="", R1294=""),
        "Fill all the required columns",
        IFERROR(
            IF(OR(
                AND(R1294="Marine Protected", VLOOKUP(O1294, Reference!$A$2:$D$34, 4, FALSE) &lt;= P1294),
                AND(R1294="General Use", VLOOKUP(O1294, Reference!$A$2:$D$34, 3, FALSE) &lt;= P1294)
            ),
                "Exceeded",
                "OK"
            ),
            "No Regulation defined"
        )
    ),
    ""
)</f>
        <v/>
      </c>
      <c r="AB1294" s="62" t="str">
        <f t="shared" si="20"/>
        <v/>
      </c>
    </row>
    <row r="1295" spans="3:28" x14ac:dyDescent="0.2">
      <c r="C1295" s="69"/>
      <c r="D1295" s="70"/>
      <c r="S1295" s="34"/>
      <c r="T1295" s="60" t="str">
        <f>IF(P1295&lt;&gt;"",
    IF(OR(O1295="", Q1295="", R1295=""),
        "Fill all the required columns",
        IFERROR(
            IF(OR(
                AND(R1295="Marine Protected", VLOOKUP(O1295, Reference!$A$2:$D$34, 4, FALSE) &lt;= P1295),
                AND(R1295="General Use", VLOOKUP(O1295, Reference!$A$2:$D$34, 3, FALSE) &lt;= P1295)
            ),
                "Exceeded",
                "OK"
            ),
            "No Regulation defined"
        )
    ),
    ""
)</f>
        <v/>
      </c>
      <c r="AB1295" s="62" t="str">
        <f t="shared" si="20"/>
        <v/>
      </c>
    </row>
    <row r="1296" spans="3:28" x14ac:dyDescent="0.2">
      <c r="C1296" s="69"/>
      <c r="D1296" s="70"/>
      <c r="S1296" s="34"/>
      <c r="T1296" s="60" t="str">
        <f>IF(P1296&lt;&gt;"",
    IF(OR(O1296="", Q1296="", R1296=""),
        "Fill all the required columns",
        IFERROR(
            IF(OR(
                AND(R1296="Marine Protected", VLOOKUP(O1296, Reference!$A$2:$D$34, 4, FALSE) &lt;= P1296),
                AND(R1296="General Use", VLOOKUP(O1296, Reference!$A$2:$D$34, 3, FALSE) &lt;= P1296)
            ),
                "Exceeded",
                "OK"
            ),
            "No Regulation defined"
        )
    ),
    ""
)</f>
        <v/>
      </c>
      <c r="AB1296" s="62" t="str">
        <f t="shared" si="20"/>
        <v/>
      </c>
    </row>
    <row r="1297" spans="3:28" x14ac:dyDescent="0.2">
      <c r="C1297" s="69"/>
      <c r="D1297" s="70"/>
      <c r="S1297" s="34"/>
      <c r="T1297" s="60" t="str">
        <f>IF(P1297&lt;&gt;"",
    IF(OR(O1297="", Q1297="", R1297=""),
        "Fill all the required columns",
        IFERROR(
            IF(OR(
                AND(R1297="Marine Protected", VLOOKUP(O1297, Reference!$A$2:$D$34, 4, FALSE) &lt;= P1297),
                AND(R1297="General Use", VLOOKUP(O1297, Reference!$A$2:$D$34, 3, FALSE) &lt;= P1297)
            ),
                "Exceeded",
                "OK"
            ),
            "No Regulation defined"
        )
    ),
    ""
)</f>
        <v/>
      </c>
      <c r="AB1297" s="62" t="str">
        <f t="shared" si="20"/>
        <v/>
      </c>
    </row>
    <row r="1298" spans="3:28" x14ac:dyDescent="0.2">
      <c r="C1298" s="69"/>
      <c r="D1298" s="70"/>
      <c r="S1298" s="34"/>
      <c r="T1298" s="60" t="str">
        <f>IF(P1298&lt;&gt;"",
    IF(OR(O1298="", Q1298="", R1298=""),
        "Fill all the required columns",
        IFERROR(
            IF(OR(
                AND(R1298="Marine Protected", VLOOKUP(O1298, Reference!$A$2:$D$34, 4, FALSE) &lt;= P1298),
                AND(R1298="General Use", VLOOKUP(O1298, Reference!$A$2:$D$34, 3, FALSE) &lt;= P1298)
            ),
                "Exceeded",
                "OK"
            ),
            "No Regulation defined"
        )
    ),
    ""
)</f>
        <v/>
      </c>
      <c r="AB1298" s="62" t="str">
        <f t="shared" si="20"/>
        <v/>
      </c>
    </row>
    <row r="1299" spans="3:28" x14ac:dyDescent="0.2">
      <c r="C1299" s="69"/>
      <c r="D1299" s="70"/>
      <c r="S1299" s="34"/>
      <c r="T1299" s="60" t="str">
        <f>IF(P1299&lt;&gt;"",
    IF(OR(O1299="", Q1299="", R1299=""),
        "Fill all the required columns",
        IFERROR(
            IF(OR(
                AND(R1299="Marine Protected", VLOOKUP(O1299, Reference!$A$2:$D$34, 4, FALSE) &lt;= P1299),
                AND(R1299="General Use", VLOOKUP(O1299, Reference!$A$2:$D$34, 3, FALSE) &lt;= P1299)
            ),
                "Exceeded",
                "OK"
            ),
            "No Regulation defined"
        )
    ),
    ""
)</f>
        <v/>
      </c>
      <c r="AB1299" s="62" t="str">
        <f t="shared" si="20"/>
        <v/>
      </c>
    </row>
    <row r="1300" spans="3:28" x14ac:dyDescent="0.2">
      <c r="C1300" s="69"/>
      <c r="D1300" s="70"/>
      <c r="S1300" s="34"/>
      <c r="T1300" s="60" t="str">
        <f>IF(P1300&lt;&gt;"",
    IF(OR(O1300="", Q1300="", R1300=""),
        "Fill all the required columns",
        IFERROR(
            IF(OR(
                AND(R1300="Marine Protected", VLOOKUP(O1300, Reference!$A$2:$D$34, 4, FALSE) &lt;= P1300),
                AND(R1300="General Use", VLOOKUP(O1300, Reference!$A$2:$D$34, 3, FALSE) &lt;= P1300)
            ),
                "Exceeded",
                "OK"
            ),
            "No Regulation defined"
        )
    ),
    ""
)</f>
        <v/>
      </c>
      <c r="AB1300" s="62" t="str">
        <f t="shared" si="20"/>
        <v/>
      </c>
    </row>
    <row r="1301" spans="3:28" x14ac:dyDescent="0.2">
      <c r="C1301" s="69"/>
      <c r="D1301" s="70"/>
      <c r="S1301" s="34"/>
      <c r="T1301" s="60" t="str">
        <f>IF(P1301&lt;&gt;"",
    IF(OR(O1301="", Q1301="", R1301=""),
        "Fill all the required columns",
        IFERROR(
            IF(OR(
                AND(R1301="Marine Protected", VLOOKUP(O1301, Reference!$A$2:$D$34, 4, FALSE) &lt;= P1301),
                AND(R1301="General Use", VLOOKUP(O1301, Reference!$A$2:$D$34, 3, FALSE) &lt;= P1301)
            ),
                "Exceeded",
                "OK"
            ),
            "No Regulation defined"
        )
    ),
    ""
)</f>
        <v/>
      </c>
      <c r="AB1301" s="62" t="str">
        <f t="shared" si="20"/>
        <v/>
      </c>
    </row>
    <row r="1302" spans="3:28" x14ac:dyDescent="0.2">
      <c r="C1302" s="69"/>
      <c r="D1302" s="70"/>
      <c r="S1302" s="34"/>
      <c r="T1302" s="60" t="str">
        <f>IF(P1302&lt;&gt;"",
    IF(OR(O1302="", Q1302="", R1302=""),
        "Fill all the required columns",
        IFERROR(
            IF(OR(
                AND(R1302="Marine Protected", VLOOKUP(O1302, Reference!$A$2:$D$34, 4, FALSE) &lt;= P1302),
                AND(R1302="General Use", VLOOKUP(O1302, Reference!$A$2:$D$34, 3, FALSE) &lt;= P1302)
            ),
                "Exceeded",
                "OK"
            ),
            "No Regulation defined"
        )
    ),
    ""
)</f>
        <v/>
      </c>
      <c r="AB1302" s="62" t="str">
        <f t="shared" si="20"/>
        <v/>
      </c>
    </row>
    <row r="1303" spans="3:28" x14ac:dyDescent="0.2">
      <c r="C1303" s="69"/>
      <c r="D1303" s="70"/>
      <c r="S1303" s="34"/>
      <c r="T1303" s="60" t="str">
        <f>IF(P1303&lt;&gt;"",
    IF(OR(O1303="", Q1303="", R1303=""),
        "Fill all the required columns",
        IFERROR(
            IF(OR(
                AND(R1303="Marine Protected", VLOOKUP(O1303, Reference!$A$2:$D$34, 4, FALSE) &lt;= P1303),
                AND(R1303="General Use", VLOOKUP(O1303, Reference!$A$2:$D$34, 3, FALSE) &lt;= P1303)
            ),
                "Exceeded",
                "OK"
            ),
            "No Regulation defined"
        )
    ),
    ""
)</f>
        <v/>
      </c>
      <c r="AB1303" s="62" t="str">
        <f t="shared" si="20"/>
        <v/>
      </c>
    </row>
    <row r="1304" spans="3:28" x14ac:dyDescent="0.2">
      <c r="C1304" s="69"/>
      <c r="D1304" s="70"/>
      <c r="S1304" s="34"/>
      <c r="T1304" s="60" t="str">
        <f>IF(P1304&lt;&gt;"",
    IF(OR(O1304="", Q1304="", R1304=""),
        "Fill all the required columns",
        IFERROR(
            IF(OR(
                AND(R1304="Marine Protected", VLOOKUP(O1304, Reference!$A$2:$D$34, 4, FALSE) &lt;= P1304),
                AND(R1304="General Use", VLOOKUP(O1304, Reference!$A$2:$D$34, 3, FALSE) &lt;= P1304)
            ),
                "Exceeded",
                "OK"
            ),
            "No Regulation defined"
        )
    ),
    ""
)</f>
        <v/>
      </c>
      <c r="AB1304" s="62" t="str">
        <f t="shared" si="20"/>
        <v/>
      </c>
    </row>
    <row r="1305" spans="3:28" x14ac:dyDescent="0.2">
      <c r="C1305" s="69"/>
      <c r="D1305" s="70"/>
      <c r="S1305" s="34"/>
      <c r="T1305" s="60" t="str">
        <f>IF(P1305&lt;&gt;"",
    IF(OR(O1305="", Q1305="", R1305=""),
        "Fill all the required columns",
        IFERROR(
            IF(OR(
                AND(R1305="Marine Protected", VLOOKUP(O1305, Reference!$A$2:$D$34, 4, FALSE) &lt;= P1305),
                AND(R1305="General Use", VLOOKUP(O1305, Reference!$A$2:$D$34, 3, FALSE) &lt;= P1305)
            ),
                "Exceeded",
                "OK"
            ),
            "No Regulation defined"
        )
    ),
    ""
)</f>
        <v/>
      </c>
      <c r="AB1305" s="62" t="str">
        <f t="shared" si="20"/>
        <v/>
      </c>
    </row>
    <row r="1306" spans="3:28" x14ac:dyDescent="0.2">
      <c r="C1306" s="69"/>
      <c r="D1306" s="70"/>
      <c r="S1306" s="34"/>
      <c r="T1306" s="60" t="str">
        <f>IF(P1306&lt;&gt;"",
    IF(OR(O1306="", Q1306="", R1306=""),
        "Fill all the required columns",
        IFERROR(
            IF(OR(
                AND(R1306="Marine Protected", VLOOKUP(O1306, Reference!$A$2:$D$34, 4, FALSE) &lt;= P1306),
                AND(R1306="General Use", VLOOKUP(O1306, Reference!$A$2:$D$34, 3, FALSE) &lt;= P1306)
            ),
                "Exceeded",
                "OK"
            ),
            "No Regulation defined"
        )
    ),
    ""
)</f>
        <v/>
      </c>
      <c r="AB1306" s="62" t="str">
        <f t="shared" si="20"/>
        <v/>
      </c>
    </row>
    <row r="1307" spans="3:28" x14ac:dyDescent="0.2">
      <c r="C1307" s="69"/>
      <c r="D1307" s="70"/>
      <c r="S1307" s="34"/>
      <c r="T1307" s="60" t="str">
        <f>IF(P1307&lt;&gt;"",
    IF(OR(O1307="", Q1307="", R1307=""),
        "Fill all the required columns",
        IFERROR(
            IF(OR(
                AND(R1307="Marine Protected", VLOOKUP(O1307, Reference!$A$2:$D$34, 4, FALSE) &lt;= P1307),
                AND(R1307="General Use", VLOOKUP(O1307, Reference!$A$2:$D$34, 3, FALSE) &lt;= P1307)
            ),
                "Exceeded",
                "OK"
            ),
            "No Regulation defined"
        )
    ),
    ""
)</f>
        <v/>
      </c>
      <c r="AB1307" s="62" t="str">
        <f t="shared" si="20"/>
        <v/>
      </c>
    </row>
    <row r="1308" spans="3:28" x14ac:dyDescent="0.2">
      <c r="C1308" s="69"/>
      <c r="D1308" s="70"/>
      <c r="S1308" s="34"/>
      <c r="T1308" s="60" t="str">
        <f>IF(P1308&lt;&gt;"",
    IF(OR(O1308="", Q1308="", R1308=""),
        "Fill all the required columns",
        IFERROR(
            IF(OR(
                AND(R1308="Marine Protected", VLOOKUP(O1308, Reference!$A$2:$D$34, 4, FALSE) &lt;= P1308),
                AND(R1308="General Use", VLOOKUP(O1308, Reference!$A$2:$D$34, 3, FALSE) &lt;= P1308)
            ),
                "Exceeded",
                "OK"
            ),
            "No Regulation defined"
        )
    ),
    ""
)</f>
        <v/>
      </c>
      <c r="AB1308" s="62" t="str">
        <f t="shared" si="20"/>
        <v/>
      </c>
    </row>
    <row r="1309" spans="3:28" x14ac:dyDescent="0.2">
      <c r="C1309" s="69"/>
      <c r="D1309" s="70"/>
      <c r="S1309" s="34"/>
      <c r="T1309" s="60" t="str">
        <f>IF(P1309&lt;&gt;"",
    IF(OR(O1309="", Q1309="", R1309=""),
        "Fill all the required columns",
        IFERROR(
            IF(OR(
                AND(R1309="Marine Protected", VLOOKUP(O1309, Reference!$A$2:$D$34, 4, FALSE) &lt;= P1309),
                AND(R1309="General Use", VLOOKUP(O1309, Reference!$A$2:$D$34, 3, FALSE) &lt;= P1309)
            ),
                "Exceeded",
                "OK"
            ),
            "No Regulation defined"
        )
    ),
    ""
)</f>
        <v/>
      </c>
      <c r="AB1309" s="62" t="str">
        <f t="shared" si="20"/>
        <v/>
      </c>
    </row>
    <row r="1310" spans="3:28" x14ac:dyDescent="0.2">
      <c r="C1310" s="69"/>
      <c r="D1310" s="70"/>
      <c r="S1310" s="34"/>
      <c r="T1310" s="60" t="str">
        <f>IF(P1310&lt;&gt;"",
    IF(OR(O1310="", Q1310="", R1310=""),
        "Fill all the required columns",
        IFERROR(
            IF(OR(
                AND(R1310="Marine Protected", VLOOKUP(O1310, Reference!$A$2:$D$34, 4, FALSE) &lt;= P1310),
                AND(R1310="General Use", VLOOKUP(O1310, Reference!$A$2:$D$34, 3, FALSE) &lt;= P1310)
            ),
                "Exceeded",
                "OK"
            ),
            "No Regulation defined"
        )
    ),
    ""
)</f>
        <v/>
      </c>
      <c r="AB1310" s="62" t="str">
        <f t="shared" si="20"/>
        <v/>
      </c>
    </row>
    <row r="1311" spans="3:28" x14ac:dyDescent="0.2">
      <c r="C1311" s="69"/>
      <c r="D1311" s="70"/>
      <c r="S1311" s="34"/>
      <c r="T1311" s="60" t="str">
        <f>IF(P1311&lt;&gt;"",
    IF(OR(O1311="", Q1311="", R1311=""),
        "Fill all the required columns",
        IFERROR(
            IF(OR(
                AND(R1311="Marine Protected", VLOOKUP(O1311, Reference!$A$2:$D$34, 4, FALSE) &lt;= P1311),
                AND(R1311="General Use", VLOOKUP(O1311, Reference!$A$2:$D$34, 3, FALSE) &lt;= P1311)
            ),
                "Exceeded",
                "OK"
            ),
            "No Regulation defined"
        )
    ),
    ""
)</f>
        <v/>
      </c>
      <c r="AB1311" s="62" t="str">
        <f t="shared" si="20"/>
        <v/>
      </c>
    </row>
    <row r="1312" spans="3:28" x14ac:dyDescent="0.2">
      <c r="C1312" s="69"/>
      <c r="D1312" s="70"/>
      <c r="S1312" s="34"/>
      <c r="T1312" s="60" t="str">
        <f>IF(P1312&lt;&gt;"",
    IF(OR(O1312="", Q1312="", R1312=""),
        "Fill all the required columns",
        IFERROR(
            IF(OR(
                AND(R1312="Marine Protected", VLOOKUP(O1312, Reference!$A$2:$D$34, 4, FALSE) &lt;= P1312),
                AND(R1312="General Use", VLOOKUP(O1312, Reference!$A$2:$D$34, 3, FALSE) &lt;= P1312)
            ),
                "Exceeded",
                "OK"
            ),
            "No Regulation defined"
        )
    ),
    ""
)</f>
        <v/>
      </c>
      <c r="AB1312" s="62" t="str">
        <f t="shared" si="20"/>
        <v/>
      </c>
    </row>
    <row r="1313" spans="3:28" x14ac:dyDescent="0.2">
      <c r="C1313" s="69"/>
      <c r="D1313" s="70"/>
      <c r="S1313" s="34"/>
      <c r="T1313" s="60" t="str">
        <f>IF(P1313&lt;&gt;"",
    IF(OR(O1313="", Q1313="", R1313=""),
        "Fill all the required columns",
        IFERROR(
            IF(OR(
                AND(R1313="Marine Protected", VLOOKUP(O1313, Reference!$A$2:$D$34, 4, FALSE) &lt;= P1313),
                AND(R1313="General Use", VLOOKUP(O1313, Reference!$A$2:$D$34, 3, FALSE) &lt;= P1313)
            ),
                "Exceeded",
                "OK"
            ),
            "No Regulation defined"
        )
    ),
    ""
)</f>
        <v/>
      </c>
      <c r="AB1313" s="62" t="str">
        <f t="shared" si="20"/>
        <v/>
      </c>
    </row>
    <row r="1314" spans="3:28" x14ac:dyDescent="0.2">
      <c r="C1314" s="69"/>
      <c r="D1314" s="70"/>
      <c r="S1314" s="34"/>
      <c r="T1314" s="60" t="str">
        <f>IF(P1314&lt;&gt;"",
    IF(OR(O1314="", Q1314="", R1314=""),
        "Fill all the required columns",
        IFERROR(
            IF(OR(
                AND(R1314="Marine Protected", VLOOKUP(O1314, Reference!$A$2:$D$34, 4, FALSE) &lt;= P1314),
                AND(R1314="General Use", VLOOKUP(O1314, Reference!$A$2:$D$34, 3, FALSE) &lt;= P1314)
            ),
                "Exceeded",
                "OK"
            ),
            "No Regulation defined"
        )
    ),
    ""
)</f>
        <v/>
      </c>
      <c r="AB1314" s="62" t="str">
        <f t="shared" si="20"/>
        <v/>
      </c>
    </row>
    <row r="1315" spans="3:28" x14ac:dyDescent="0.2">
      <c r="C1315" s="69"/>
      <c r="D1315" s="70"/>
      <c r="S1315" s="34"/>
      <c r="T1315" s="60" t="str">
        <f>IF(P1315&lt;&gt;"",
    IF(OR(O1315="", Q1315="", R1315=""),
        "Fill all the required columns",
        IFERROR(
            IF(OR(
                AND(R1315="Marine Protected", VLOOKUP(O1315, Reference!$A$2:$D$34, 4, FALSE) &lt;= P1315),
                AND(R1315="General Use", VLOOKUP(O1315, Reference!$A$2:$D$34, 3, FALSE) &lt;= P1315)
            ),
                "Exceeded",
                "OK"
            ),
            "No Regulation defined"
        )
    ),
    ""
)</f>
        <v/>
      </c>
      <c r="AB1315" s="62" t="str">
        <f t="shared" si="20"/>
        <v/>
      </c>
    </row>
    <row r="1316" spans="3:28" x14ac:dyDescent="0.2">
      <c r="C1316" s="69"/>
      <c r="D1316" s="70"/>
      <c r="S1316" s="34"/>
      <c r="T1316" s="60" t="str">
        <f>IF(P1316&lt;&gt;"",
    IF(OR(O1316="", Q1316="", R1316=""),
        "Fill all the required columns",
        IFERROR(
            IF(OR(
                AND(R1316="Marine Protected", VLOOKUP(O1316, Reference!$A$2:$D$34, 4, FALSE) &lt;= P1316),
                AND(R1316="General Use", VLOOKUP(O1316, Reference!$A$2:$D$34, 3, FALSE) &lt;= P1316)
            ),
                "Exceeded",
                "OK"
            ),
            "No Regulation defined"
        )
    ),
    ""
)</f>
        <v/>
      </c>
      <c r="AB1316" s="62" t="str">
        <f t="shared" si="20"/>
        <v/>
      </c>
    </row>
    <row r="1317" spans="3:28" x14ac:dyDescent="0.2">
      <c r="C1317" s="69"/>
      <c r="D1317" s="70"/>
      <c r="S1317" s="34"/>
      <c r="T1317" s="60" t="str">
        <f>IF(P1317&lt;&gt;"",
    IF(OR(O1317="", Q1317="", R1317=""),
        "Fill all the required columns",
        IFERROR(
            IF(OR(
                AND(R1317="Marine Protected", VLOOKUP(O1317, Reference!$A$2:$D$34, 4, FALSE) &lt;= P1317),
                AND(R1317="General Use", VLOOKUP(O1317, Reference!$A$2:$D$34, 3, FALSE) &lt;= P1317)
            ),
                "Exceeded",
                "OK"
            ),
            "No Regulation defined"
        )
    ),
    ""
)</f>
        <v/>
      </c>
      <c r="AB1317" s="62" t="str">
        <f t="shared" si="20"/>
        <v/>
      </c>
    </row>
    <row r="1318" spans="3:28" x14ac:dyDescent="0.2">
      <c r="C1318" s="69"/>
      <c r="D1318" s="70"/>
      <c r="S1318" s="34"/>
      <c r="T1318" s="60" t="str">
        <f>IF(P1318&lt;&gt;"",
    IF(OR(O1318="", Q1318="", R1318=""),
        "Fill all the required columns",
        IFERROR(
            IF(OR(
                AND(R1318="Marine Protected", VLOOKUP(O1318, Reference!$A$2:$D$34, 4, FALSE) &lt;= P1318),
                AND(R1318="General Use", VLOOKUP(O1318, Reference!$A$2:$D$34, 3, FALSE) &lt;= P1318)
            ),
                "Exceeded",
                "OK"
            ),
            "No Regulation defined"
        )
    ),
    ""
)</f>
        <v/>
      </c>
      <c r="AB1318" s="62" t="str">
        <f t="shared" si="20"/>
        <v/>
      </c>
    </row>
    <row r="1319" spans="3:28" x14ac:dyDescent="0.2">
      <c r="C1319" s="69"/>
      <c r="D1319" s="70"/>
      <c r="S1319" s="34"/>
      <c r="T1319" s="60" t="str">
        <f>IF(P1319&lt;&gt;"",
    IF(OR(O1319="", Q1319="", R1319=""),
        "Fill all the required columns",
        IFERROR(
            IF(OR(
                AND(R1319="Marine Protected", VLOOKUP(O1319, Reference!$A$2:$D$34, 4, FALSE) &lt;= P1319),
                AND(R1319="General Use", VLOOKUP(O1319, Reference!$A$2:$D$34, 3, FALSE) &lt;= P1319)
            ),
                "Exceeded",
                "OK"
            ),
            "No Regulation defined"
        )
    ),
    ""
)</f>
        <v/>
      </c>
      <c r="AB1319" s="62" t="str">
        <f t="shared" si="20"/>
        <v/>
      </c>
    </row>
    <row r="1320" spans="3:28" x14ac:dyDescent="0.2">
      <c r="C1320" s="69"/>
      <c r="D1320" s="70"/>
      <c r="S1320" s="34"/>
      <c r="T1320" s="60" t="str">
        <f>IF(P1320&lt;&gt;"",
    IF(OR(O1320="", Q1320="", R1320=""),
        "Fill all the required columns",
        IFERROR(
            IF(OR(
                AND(R1320="Marine Protected", VLOOKUP(O1320, Reference!$A$2:$D$34, 4, FALSE) &lt;= P1320),
                AND(R1320="General Use", VLOOKUP(O1320, Reference!$A$2:$D$34, 3, FALSE) &lt;= P1320)
            ),
                "Exceeded",
                "OK"
            ),
            "No Regulation defined"
        )
    ),
    ""
)</f>
        <v/>
      </c>
      <c r="AB1320" s="62" t="str">
        <f t="shared" si="20"/>
        <v/>
      </c>
    </row>
    <row r="1321" spans="3:28" x14ac:dyDescent="0.2">
      <c r="C1321" s="69"/>
      <c r="D1321" s="70"/>
      <c r="S1321" s="34"/>
      <c r="T1321" s="60" t="str">
        <f>IF(P1321&lt;&gt;"",
    IF(OR(O1321="", Q1321="", R1321=""),
        "Fill all the required columns",
        IFERROR(
            IF(OR(
                AND(R1321="Marine Protected", VLOOKUP(O1321, Reference!$A$2:$D$34, 4, FALSE) &lt;= P1321),
                AND(R1321="General Use", VLOOKUP(O1321, Reference!$A$2:$D$34, 3, FALSE) &lt;= P1321)
            ),
                "Exceeded",
                "OK"
            ),
            "No Regulation defined"
        )
    ),
    ""
)</f>
        <v/>
      </c>
      <c r="AB1321" s="62" t="str">
        <f t="shared" si="20"/>
        <v/>
      </c>
    </row>
    <row r="1322" spans="3:28" x14ac:dyDescent="0.2">
      <c r="C1322" s="69"/>
      <c r="D1322" s="70"/>
      <c r="S1322" s="34"/>
      <c r="T1322" s="60" t="str">
        <f>IF(P1322&lt;&gt;"",
    IF(OR(O1322="", Q1322="", R1322=""),
        "Fill all the required columns",
        IFERROR(
            IF(OR(
                AND(R1322="Marine Protected", VLOOKUP(O1322, Reference!$A$2:$D$34, 4, FALSE) &lt;= P1322),
                AND(R1322="General Use", VLOOKUP(O1322, Reference!$A$2:$D$34, 3, FALSE) &lt;= P1322)
            ),
                "Exceeded",
                "OK"
            ),
            "No Regulation defined"
        )
    ),
    ""
)</f>
        <v/>
      </c>
      <c r="AB1322" s="62" t="str">
        <f t="shared" si="20"/>
        <v/>
      </c>
    </row>
    <row r="1323" spans="3:28" x14ac:dyDescent="0.2">
      <c r="C1323" s="69"/>
      <c r="D1323" s="70"/>
      <c r="S1323" s="34"/>
      <c r="T1323" s="60" t="str">
        <f>IF(P1323&lt;&gt;"",
    IF(OR(O1323="", Q1323="", R1323=""),
        "Fill all the required columns",
        IFERROR(
            IF(OR(
                AND(R1323="Marine Protected", VLOOKUP(O1323, Reference!$A$2:$D$34, 4, FALSE) &lt;= P1323),
                AND(R1323="General Use", VLOOKUP(O1323, Reference!$A$2:$D$34, 3, FALSE) &lt;= P1323)
            ),
                "Exceeded",
                "OK"
            ),
            "No Regulation defined"
        )
    ),
    ""
)</f>
        <v/>
      </c>
      <c r="AB1323" s="62" t="str">
        <f t="shared" si="20"/>
        <v/>
      </c>
    </row>
    <row r="1324" spans="3:28" x14ac:dyDescent="0.2">
      <c r="C1324" s="69"/>
      <c r="D1324" s="70"/>
      <c r="S1324" s="34"/>
      <c r="T1324" s="60" t="str">
        <f>IF(P1324&lt;&gt;"",
    IF(OR(O1324="", Q1324="", R1324=""),
        "Fill all the required columns",
        IFERROR(
            IF(OR(
                AND(R1324="Marine Protected", VLOOKUP(O1324, Reference!$A$2:$D$34, 4, FALSE) &lt;= P1324),
                AND(R1324="General Use", VLOOKUP(O1324, Reference!$A$2:$D$34, 3, FALSE) &lt;= P1324)
            ),
                "Exceeded",
                "OK"
            ),
            "No Regulation defined"
        )
    ),
    ""
)</f>
        <v/>
      </c>
      <c r="AB1324" s="62" t="str">
        <f t="shared" si="20"/>
        <v/>
      </c>
    </row>
    <row r="1325" spans="3:28" x14ac:dyDescent="0.2">
      <c r="C1325" s="69"/>
      <c r="D1325" s="70"/>
      <c r="S1325" s="34"/>
      <c r="T1325" s="60" t="str">
        <f>IF(P1325&lt;&gt;"",
    IF(OR(O1325="", Q1325="", R1325=""),
        "Fill all the required columns",
        IFERROR(
            IF(OR(
                AND(R1325="Marine Protected", VLOOKUP(O1325, Reference!$A$2:$D$34, 4, FALSE) &lt;= P1325),
                AND(R1325="General Use", VLOOKUP(O1325, Reference!$A$2:$D$34, 3, FALSE) &lt;= P1325)
            ),
                "Exceeded",
                "OK"
            ),
            "No Regulation defined"
        )
    ),
    ""
)</f>
        <v/>
      </c>
      <c r="AB1325" s="62" t="str">
        <f t="shared" si="20"/>
        <v/>
      </c>
    </row>
    <row r="1326" spans="3:28" x14ac:dyDescent="0.2">
      <c r="C1326" s="69"/>
      <c r="D1326" s="70"/>
      <c r="S1326" s="34"/>
      <c r="T1326" s="60" t="str">
        <f>IF(P1326&lt;&gt;"",
    IF(OR(O1326="", Q1326="", R1326=""),
        "Fill all the required columns",
        IFERROR(
            IF(OR(
                AND(R1326="Marine Protected", VLOOKUP(O1326, Reference!$A$2:$D$34, 4, FALSE) &lt;= P1326),
                AND(R1326="General Use", VLOOKUP(O1326, Reference!$A$2:$D$34, 3, FALSE) &lt;= P1326)
            ),
                "Exceeded",
                "OK"
            ),
            "No Regulation defined"
        )
    ),
    ""
)</f>
        <v/>
      </c>
      <c r="AB1326" s="62" t="str">
        <f t="shared" si="20"/>
        <v/>
      </c>
    </row>
    <row r="1327" spans="3:28" x14ac:dyDescent="0.2">
      <c r="C1327" s="69"/>
      <c r="D1327" s="70"/>
      <c r="S1327" s="34"/>
      <c r="T1327" s="60" t="str">
        <f>IF(P1327&lt;&gt;"",
    IF(OR(O1327="", Q1327="", R1327=""),
        "Fill all the required columns",
        IFERROR(
            IF(OR(
                AND(R1327="Marine Protected", VLOOKUP(O1327, Reference!$A$2:$D$34, 4, FALSE) &lt;= P1327),
                AND(R1327="General Use", VLOOKUP(O1327, Reference!$A$2:$D$34, 3, FALSE) &lt;= P1327)
            ),
                "Exceeded",
                "OK"
            ),
            "No Regulation defined"
        )
    ),
    ""
)</f>
        <v/>
      </c>
      <c r="AB1327" s="62" t="str">
        <f t="shared" si="20"/>
        <v/>
      </c>
    </row>
    <row r="1328" spans="3:28" x14ac:dyDescent="0.2">
      <c r="C1328" s="69"/>
      <c r="D1328" s="70"/>
      <c r="S1328" s="34"/>
      <c r="T1328" s="60" t="str">
        <f>IF(P1328&lt;&gt;"",
    IF(OR(O1328="", Q1328="", R1328=""),
        "Fill all the required columns",
        IFERROR(
            IF(OR(
                AND(R1328="Marine Protected", VLOOKUP(O1328, Reference!$A$2:$D$34, 4, FALSE) &lt;= P1328),
                AND(R1328="General Use", VLOOKUP(O1328, Reference!$A$2:$D$34, 3, FALSE) &lt;= P1328)
            ),
                "Exceeded",
                "OK"
            ),
            "No Regulation defined"
        )
    ),
    ""
)</f>
        <v/>
      </c>
      <c r="AB1328" s="62" t="str">
        <f t="shared" si="20"/>
        <v/>
      </c>
    </row>
    <row r="1329" spans="3:28" x14ac:dyDescent="0.2">
      <c r="C1329" s="69"/>
      <c r="D1329" s="70"/>
      <c r="S1329" s="34"/>
      <c r="T1329" s="60" t="str">
        <f>IF(P1329&lt;&gt;"",
    IF(OR(O1329="", Q1329="", R1329=""),
        "Fill all the required columns",
        IFERROR(
            IF(OR(
                AND(R1329="Marine Protected", VLOOKUP(O1329, Reference!$A$2:$D$34, 4, FALSE) &lt;= P1329),
                AND(R1329="General Use", VLOOKUP(O1329, Reference!$A$2:$D$34, 3, FALSE) &lt;= P1329)
            ),
                "Exceeded",
                "OK"
            ),
            "No Regulation defined"
        )
    ),
    ""
)</f>
        <v/>
      </c>
      <c r="AB1329" s="62" t="str">
        <f t="shared" si="20"/>
        <v/>
      </c>
    </row>
    <row r="1330" spans="3:28" x14ac:dyDescent="0.2">
      <c r="C1330" s="69"/>
      <c r="D1330" s="70"/>
      <c r="S1330" s="34"/>
      <c r="T1330" s="60" t="str">
        <f>IF(P1330&lt;&gt;"",
    IF(OR(O1330="", Q1330="", R1330=""),
        "Fill all the required columns",
        IFERROR(
            IF(OR(
                AND(R1330="Marine Protected", VLOOKUP(O1330, Reference!$A$2:$D$34, 4, FALSE) &lt;= P1330),
                AND(R1330="General Use", VLOOKUP(O1330, Reference!$A$2:$D$34, 3, FALSE) &lt;= P1330)
            ),
                "Exceeded",
                "OK"
            ),
            "No Regulation defined"
        )
    ),
    ""
)</f>
        <v/>
      </c>
      <c r="AB1330" s="62" t="str">
        <f t="shared" si="20"/>
        <v/>
      </c>
    </row>
    <row r="1331" spans="3:28" x14ac:dyDescent="0.2">
      <c r="C1331" s="69"/>
      <c r="D1331" s="70"/>
      <c r="S1331" s="34"/>
      <c r="T1331" s="60" t="str">
        <f>IF(P1331&lt;&gt;"",
    IF(OR(O1331="", Q1331="", R1331=""),
        "Fill all the required columns",
        IFERROR(
            IF(OR(
                AND(R1331="Marine Protected", VLOOKUP(O1331, Reference!$A$2:$D$34, 4, FALSE) &lt;= P1331),
                AND(R1331="General Use", VLOOKUP(O1331, Reference!$A$2:$D$34, 3, FALSE) &lt;= P1331)
            ),
                "Exceeded",
                "OK"
            ),
            "No Regulation defined"
        )
    ),
    ""
)</f>
        <v/>
      </c>
      <c r="AB1331" s="62" t="str">
        <f t="shared" si="20"/>
        <v/>
      </c>
    </row>
    <row r="1332" spans="3:28" x14ac:dyDescent="0.2">
      <c r="C1332" s="69"/>
      <c r="D1332" s="70"/>
      <c r="S1332" s="34"/>
      <c r="T1332" s="60" t="str">
        <f>IF(P1332&lt;&gt;"",
    IF(OR(O1332="", Q1332="", R1332=""),
        "Fill all the required columns",
        IFERROR(
            IF(OR(
                AND(R1332="Marine Protected", VLOOKUP(O1332, Reference!$A$2:$D$34, 4, FALSE) &lt;= P1332),
                AND(R1332="General Use", VLOOKUP(O1332, Reference!$A$2:$D$34, 3, FALSE) &lt;= P1332)
            ),
                "Exceeded",
                "OK"
            ),
            "No Regulation defined"
        )
    ),
    ""
)</f>
        <v/>
      </c>
      <c r="AB1332" s="62" t="str">
        <f t="shared" si="20"/>
        <v/>
      </c>
    </row>
    <row r="1333" spans="3:28" x14ac:dyDescent="0.2">
      <c r="C1333" s="69"/>
      <c r="D1333" s="70"/>
      <c r="S1333" s="34"/>
      <c r="T1333" s="60" t="str">
        <f>IF(P1333&lt;&gt;"",
    IF(OR(O1333="", Q1333="", R1333=""),
        "Fill all the required columns",
        IFERROR(
            IF(OR(
                AND(R1333="Marine Protected", VLOOKUP(O1333, Reference!$A$2:$D$34, 4, FALSE) &lt;= P1333),
                AND(R1333="General Use", VLOOKUP(O1333, Reference!$A$2:$D$34, 3, FALSE) &lt;= P1333)
            ),
                "Exceeded",
                "OK"
            ),
            "No Regulation defined"
        )
    ),
    ""
)</f>
        <v/>
      </c>
      <c r="AB1333" s="62" t="str">
        <f t="shared" si="20"/>
        <v/>
      </c>
    </row>
    <row r="1334" spans="3:28" x14ac:dyDescent="0.2">
      <c r="C1334" s="69"/>
      <c r="D1334" s="70"/>
      <c r="S1334" s="34"/>
      <c r="T1334" s="60" t="str">
        <f>IF(P1334&lt;&gt;"",
    IF(OR(O1334="", Q1334="", R1334=""),
        "Fill all the required columns",
        IFERROR(
            IF(OR(
                AND(R1334="Marine Protected", VLOOKUP(O1334, Reference!$A$2:$D$34, 4, FALSE) &lt;= P1334),
                AND(R1334="General Use", VLOOKUP(O1334, Reference!$A$2:$D$34, 3, FALSE) &lt;= P1334)
            ),
                "Exceeded",
                "OK"
            ),
            "No Regulation defined"
        )
    ),
    ""
)</f>
        <v/>
      </c>
      <c r="AB1334" s="62" t="str">
        <f t="shared" si="20"/>
        <v/>
      </c>
    </row>
    <row r="1335" spans="3:28" x14ac:dyDescent="0.2">
      <c r="C1335" s="69"/>
      <c r="D1335" s="70"/>
      <c r="S1335" s="34"/>
      <c r="T1335" s="60" t="str">
        <f>IF(P1335&lt;&gt;"",
    IF(OR(O1335="", Q1335="", R1335=""),
        "Fill all the required columns",
        IFERROR(
            IF(OR(
                AND(R1335="Marine Protected", VLOOKUP(O1335, Reference!$A$2:$D$34, 4, FALSE) &lt;= P1335),
                AND(R1335="General Use", VLOOKUP(O1335, Reference!$A$2:$D$34, 3, FALSE) &lt;= P1335)
            ),
                "Exceeded",
                "OK"
            ),
            "No Regulation defined"
        )
    ),
    ""
)</f>
        <v/>
      </c>
      <c r="AB1335" s="62" t="str">
        <f t="shared" si="20"/>
        <v/>
      </c>
    </row>
    <row r="1336" spans="3:28" x14ac:dyDescent="0.2">
      <c r="C1336" s="69"/>
      <c r="D1336" s="70"/>
      <c r="S1336" s="34"/>
      <c r="T1336" s="60" t="str">
        <f>IF(P1336&lt;&gt;"",
    IF(OR(O1336="", Q1336="", R1336=""),
        "Fill all the required columns",
        IFERROR(
            IF(OR(
                AND(R1336="Marine Protected", VLOOKUP(O1336, Reference!$A$2:$D$34, 4, FALSE) &lt;= P1336),
                AND(R1336="General Use", VLOOKUP(O1336, Reference!$A$2:$D$34, 3, FALSE) &lt;= P1336)
            ),
                "Exceeded",
                "OK"
            ),
            "No Regulation defined"
        )
    ),
    ""
)</f>
        <v/>
      </c>
      <c r="AB1336" s="62" t="str">
        <f t="shared" si="20"/>
        <v/>
      </c>
    </row>
    <row r="1337" spans="3:28" x14ac:dyDescent="0.2">
      <c r="C1337" s="69"/>
      <c r="D1337" s="70"/>
      <c r="S1337" s="34"/>
      <c r="T1337" s="60" t="str">
        <f>IF(P1337&lt;&gt;"",
    IF(OR(O1337="", Q1337="", R1337=""),
        "Fill all the required columns",
        IFERROR(
            IF(OR(
                AND(R1337="Marine Protected", VLOOKUP(O1337, Reference!$A$2:$D$34, 4, FALSE) &lt;= P1337),
                AND(R1337="General Use", VLOOKUP(O1337, Reference!$A$2:$D$34, 3, FALSE) &lt;= P1337)
            ),
                "Exceeded",
                "OK"
            ),
            "No Regulation defined"
        )
    ),
    ""
)</f>
        <v/>
      </c>
      <c r="AB1337" s="62" t="str">
        <f t="shared" si="20"/>
        <v/>
      </c>
    </row>
    <row r="1338" spans="3:28" x14ac:dyDescent="0.2">
      <c r="C1338" s="69"/>
      <c r="D1338" s="70"/>
      <c r="S1338" s="34"/>
      <c r="T1338" s="60" t="str">
        <f>IF(P1338&lt;&gt;"",
    IF(OR(O1338="", Q1338="", R1338=""),
        "Fill all the required columns",
        IFERROR(
            IF(OR(
                AND(R1338="Marine Protected", VLOOKUP(O1338, Reference!$A$2:$D$34, 4, FALSE) &lt;= P1338),
                AND(R1338="General Use", VLOOKUP(O1338, Reference!$A$2:$D$34, 3, FALSE) &lt;= P1338)
            ),
                "Exceeded",
                "OK"
            ),
            "No Regulation defined"
        )
    ),
    ""
)</f>
        <v/>
      </c>
      <c r="AB1338" s="62" t="str">
        <f t="shared" si="20"/>
        <v/>
      </c>
    </row>
    <row r="1339" spans="3:28" x14ac:dyDescent="0.2">
      <c r="C1339" s="69"/>
      <c r="D1339" s="70"/>
      <c r="S1339" s="34"/>
      <c r="T1339" s="60" t="str">
        <f>IF(P1339&lt;&gt;"",
    IF(OR(O1339="", Q1339="", R1339=""),
        "Fill all the required columns",
        IFERROR(
            IF(OR(
                AND(R1339="Marine Protected", VLOOKUP(O1339, Reference!$A$2:$D$34, 4, FALSE) &lt;= P1339),
                AND(R1339="General Use", VLOOKUP(O1339, Reference!$A$2:$D$34, 3, FALSE) &lt;= P1339)
            ),
                "Exceeded",
                "OK"
            ),
            "No Regulation defined"
        )
    ),
    ""
)</f>
        <v/>
      </c>
      <c r="AB1339" s="62" t="str">
        <f t="shared" si="20"/>
        <v/>
      </c>
    </row>
    <row r="1340" spans="3:28" x14ac:dyDescent="0.2">
      <c r="C1340" s="69"/>
      <c r="D1340" s="70"/>
      <c r="S1340" s="34"/>
      <c r="T1340" s="60" t="str">
        <f>IF(P1340&lt;&gt;"",
    IF(OR(O1340="", Q1340="", R1340=""),
        "Fill all the required columns",
        IFERROR(
            IF(OR(
                AND(R1340="Marine Protected", VLOOKUP(O1340, Reference!$A$2:$D$34, 4, FALSE) &lt;= P1340),
                AND(R1340="General Use", VLOOKUP(O1340, Reference!$A$2:$D$34, 3, FALSE) &lt;= P1340)
            ),
                "Exceeded",
                "OK"
            ),
            "No Regulation defined"
        )
    ),
    ""
)</f>
        <v/>
      </c>
      <c r="AB1340" s="62" t="str">
        <f t="shared" si="20"/>
        <v/>
      </c>
    </row>
    <row r="1341" spans="3:28" x14ac:dyDescent="0.2">
      <c r="C1341" s="69"/>
      <c r="D1341" s="70"/>
      <c r="S1341" s="34"/>
      <c r="T1341" s="60" t="str">
        <f>IF(P1341&lt;&gt;"",
    IF(OR(O1341="", Q1341="", R1341=""),
        "Fill all the required columns",
        IFERROR(
            IF(OR(
                AND(R1341="Marine Protected", VLOOKUP(O1341, Reference!$A$2:$D$34, 4, FALSE) &lt;= P1341),
                AND(R1341="General Use", VLOOKUP(O1341, Reference!$A$2:$D$34, 3, FALSE) &lt;= P1341)
            ),
                "Exceeded",
                "OK"
            ),
            "No Regulation defined"
        )
    ),
    ""
)</f>
        <v/>
      </c>
      <c r="AB1341" s="62" t="str">
        <f t="shared" si="20"/>
        <v/>
      </c>
    </row>
    <row r="1342" spans="3:28" x14ac:dyDescent="0.2">
      <c r="C1342" s="69"/>
      <c r="D1342" s="70"/>
      <c r="S1342" s="34"/>
      <c r="T1342" s="60" t="str">
        <f>IF(P1342&lt;&gt;"",
    IF(OR(O1342="", Q1342="", R1342=""),
        "Fill all the required columns",
        IFERROR(
            IF(OR(
                AND(R1342="Marine Protected", VLOOKUP(O1342, Reference!$A$2:$D$34, 4, FALSE) &lt;= P1342),
                AND(R1342="General Use", VLOOKUP(O1342, Reference!$A$2:$D$34, 3, FALSE) &lt;= P1342)
            ),
                "Exceeded",
                "OK"
            ),
            "No Regulation defined"
        )
    ),
    ""
)</f>
        <v/>
      </c>
      <c r="AB1342" s="62" t="str">
        <f t="shared" si="20"/>
        <v/>
      </c>
    </row>
    <row r="1343" spans="3:28" x14ac:dyDescent="0.2">
      <c r="C1343" s="69"/>
      <c r="D1343" s="70"/>
      <c r="S1343" s="34"/>
      <c r="T1343" s="60" t="str">
        <f>IF(P1343&lt;&gt;"",
    IF(OR(O1343="", Q1343="", R1343=""),
        "Fill all the required columns",
        IFERROR(
            IF(OR(
                AND(R1343="Marine Protected", VLOOKUP(O1343, Reference!$A$2:$D$34, 4, FALSE) &lt;= P1343),
                AND(R1343="General Use", VLOOKUP(O1343, Reference!$A$2:$D$34, 3, FALSE) &lt;= P1343)
            ),
                "Exceeded",
                "OK"
            ),
            "No Regulation defined"
        )
    ),
    ""
)</f>
        <v/>
      </c>
      <c r="AB1343" s="62" t="str">
        <f t="shared" si="20"/>
        <v/>
      </c>
    </row>
    <row r="1344" spans="3:28" x14ac:dyDescent="0.2">
      <c r="C1344" s="69"/>
      <c r="D1344" s="70"/>
      <c r="S1344" s="34"/>
      <c r="T1344" s="60" t="str">
        <f>IF(P1344&lt;&gt;"",
    IF(OR(O1344="", Q1344="", R1344=""),
        "Fill all the required columns",
        IFERROR(
            IF(OR(
                AND(R1344="Marine Protected", VLOOKUP(O1344, Reference!$A$2:$D$34, 4, FALSE) &lt;= P1344),
                AND(R1344="General Use", VLOOKUP(O1344, Reference!$A$2:$D$34, 3, FALSE) &lt;= P1344)
            ),
                "Exceeded",
                "OK"
            ),
            "No Regulation defined"
        )
    ),
    ""
)</f>
        <v/>
      </c>
      <c r="AB1344" s="62" t="str">
        <f t="shared" si="20"/>
        <v/>
      </c>
    </row>
    <row r="1345" spans="3:28" x14ac:dyDescent="0.2">
      <c r="C1345" s="69"/>
      <c r="D1345" s="70"/>
      <c r="S1345" s="34"/>
      <c r="T1345" s="60" t="str">
        <f>IF(P1345&lt;&gt;"",
    IF(OR(O1345="", Q1345="", R1345=""),
        "Fill all the required columns",
        IFERROR(
            IF(OR(
                AND(R1345="Marine Protected", VLOOKUP(O1345, Reference!$A$2:$D$34, 4, FALSE) &lt;= P1345),
                AND(R1345="General Use", VLOOKUP(O1345, Reference!$A$2:$D$34, 3, FALSE) &lt;= P1345)
            ),
                "Exceeded",
                "OK"
            ),
            "No Regulation defined"
        )
    ),
    ""
)</f>
        <v/>
      </c>
      <c r="AB1345" s="62" t="str">
        <f t="shared" si="20"/>
        <v/>
      </c>
    </row>
    <row r="1346" spans="3:28" x14ac:dyDescent="0.2">
      <c r="C1346" s="69"/>
      <c r="D1346" s="70"/>
      <c r="S1346" s="34"/>
      <c r="T1346" s="60" t="str">
        <f>IF(P1346&lt;&gt;"",
    IF(OR(O1346="", Q1346="", R1346=""),
        "Fill all the required columns",
        IFERROR(
            IF(OR(
                AND(R1346="Marine Protected", VLOOKUP(O1346, Reference!$A$2:$D$34, 4, FALSE) &lt;= P1346),
                AND(R1346="General Use", VLOOKUP(O1346, Reference!$A$2:$D$34, 3, FALSE) &lt;= P1346)
            ),
                "Exceeded",
                "OK"
            ),
            "No Regulation defined"
        )
    ),
    ""
)</f>
        <v/>
      </c>
      <c r="AB1346" s="62" t="str">
        <f t="shared" si="20"/>
        <v/>
      </c>
    </row>
    <row r="1347" spans="3:28" x14ac:dyDescent="0.2">
      <c r="C1347" s="69"/>
      <c r="D1347" s="70"/>
      <c r="S1347" s="34"/>
      <c r="T1347" s="60" t="str">
        <f>IF(P1347&lt;&gt;"",
    IF(OR(O1347="", Q1347="", R1347=""),
        "Fill all the required columns",
        IFERROR(
            IF(OR(
                AND(R1347="Marine Protected", VLOOKUP(O1347, Reference!$A$2:$D$34, 4, FALSE) &lt;= P1347),
                AND(R1347="General Use", VLOOKUP(O1347, Reference!$A$2:$D$34, 3, FALSE) &lt;= P1347)
            ),
                "Exceeded",
                "OK"
            ),
            "No Regulation defined"
        )
    ),
    ""
)</f>
        <v/>
      </c>
      <c r="AB1347" s="62" t="str">
        <f t="shared" ref="AB1347:AB1410" si="21">IF(COUNTA(A1347, E1347, F1347, H1347, I1347, O1347, P1347, Q1347, R1347,S1347) = 0, "", IF(COUNTA(A1347, E1347, F1347, H1347, I1347, O1347, P1347, Q1347, R1347,S1347) = 10, "OK", "Incomplete"))</f>
        <v/>
      </c>
    </row>
    <row r="1348" spans="3:28" x14ac:dyDescent="0.2">
      <c r="C1348" s="69"/>
      <c r="D1348" s="70"/>
      <c r="S1348" s="34"/>
      <c r="T1348" s="60" t="str">
        <f>IF(P1348&lt;&gt;"",
    IF(OR(O1348="", Q1348="", R1348=""),
        "Fill all the required columns",
        IFERROR(
            IF(OR(
                AND(R1348="Marine Protected", VLOOKUP(O1348, Reference!$A$2:$D$34, 4, FALSE) &lt;= P1348),
                AND(R1348="General Use", VLOOKUP(O1348, Reference!$A$2:$D$34, 3, FALSE) &lt;= P1348)
            ),
                "Exceeded",
                "OK"
            ),
            "No Regulation defined"
        )
    ),
    ""
)</f>
        <v/>
      </c>
      <c r="AB1348" s="62" t="str">
        <f t="shared" si="21"/>
        <v/>
      </c>
    </row>
    <row r="1349" spans="3:28" x14ac:dyDescent="0.2">
      <c r="C1349" s="69"/>
      <c r="D1349" s="70"/>
      <c r="S1349" s="34"/>
      <c r="T1349" s="60" t="str">
        <f>IF(P1349&lt;&gt;"",
    IF(OR(O1349="", Q1349="", R1349=""),
        "Fill all the required columns",
        IFERROR(
            IF(OR(
                AND(R1349="Marine Protected", VLOOKUP(O1349, Reference!$A$2:$D$34, 4, FALSE) &lt;= P1349),
                AND(R1349="General Use", VLOOKUP(O1349, Reference!$A$2:$D$34, 3, FALSE) &lt;= P1349)
            ),
                "Exceeded",
                "OK"
            ),
            "No Regulation defined"
        )
    ),
    ""
)</f>
        <v/>
      </c>
      <c r="AB1349" s="62" t="str">
        <f t="shared" si="21"/>
        <v/>
      </c>
    </row>
    <row r="1350" spans="3:28" x14ac:dyDescent="0.2">
      <c r="C1350" s="69"/>
      <c r="D1350" s="70"/>
      <c r="S1350" s="34"/>
      <c r="T1350" s="60" t="str">
        <f>IF(P1350&lt;&gt;"",
    IF(OR(O1350="", Q1350="", R1350=""),
        "Fill all the required columns",
        IFERROR(
            IF(OR(
                AND(R1350="Marine Protected", VLOOKUP(O1350, Reference!$A$2:$D$34, 4, FALSE) &lt;= P1350),
                AND(R1350="General Use", VLOOKUP(O1350, Reference!$A$2:$D$34, 3, FALSE) &lt;= P1350)
            ),
                "Exceeded",
                "OK"
            ),
            "No Regulation defined"
        )
    ),
    ""
)</f>
        <v/>
      </c>
      <c r="AB1350" s="62" t="str">
        <f t="shared" si="21"/>
        <v/>
      </c>
    </row>
    <row r="1351" spans="3:28" x14ac:dyDescent="0.2">
      <c r="C1351" s="69"/>
      <c r="D1351" s="70"/>
      <c r="S1351" s="34"/>
      <c r="T1351" s="60" t="str">
        <f>IF(P1351&lt;&gt;"",
    IF(OR(O1351="", Q1351="", R1351=""),
        "Fill all the required columns",
        IFERROR(
            IF(OR(
                AND(R1351="Marine Protected", VLOOKUP(O1351, Reference!$A$2:$D$34, 4, FALSE) &lt;= P1351),
                AND(R1351="General Use", VLOOKUP(O1351, Reference!$A$2:$D$34, 3, FALSE) &lt;= P1351)
            ),
                "Exceeded",
                "OK"
            ),
            "No Regulation defined"
        )
    ),
    ""
)</f>
        <v/>
      </c>
      <c r="AB1351" s="62" t="str">
        <f t="shared" si="21"/>
        <v/>
      </c>
    </row>
    <row r="1352" spans="3:28" x14ac:dyDescent="0.2">
      <c r="C1352" s="69"/>
      <c r="D1352" s="70"/>
      <c r="S1352" s="34"/>
      <c r="T1352" s="60" t="str">
        <f>IF(P1352&lt;&gt;"",
    IF(OR(O1352="", Q1352="", R1352=""),
        "Fill all the required columns",
        IFERROR(
            IF(OR(
                AND(R1352="Marine Protected", VLOOKUP(O1352, Reference!$A$2:$D$34, 4, FALSE) &lt;= P1352),
                AND(R1352="General Use", VLOOKUP(O1352, Reference!$A$2:$D$34, 3, FALSE) &lt;= P1352)
            ),
                "Exceeded",
                "OK"
            ),
            "No Regulation defined"
        )
    ),
    ""
)</f>
        <v/>
      </c>
      <c r="AB1352" s="62" t="str">
        <f t="shared" si="21"/>
        <v/>
      </c>
    </row>
    <row r="1353" spans="3:28" x14ac:dyDescent="0.2">
      <c r="C1353" s="69"/>
      <c r="D1353" s="70"/>
      <c r="S1353" s="34"/>
      <c r="T1353" s="60" t="str">
        <f>IF(P1353&lt;&gt;"",
    IF(OR(O1353="", Q1353="", R1353=""),
        "Fill all the required columns",
        IFERROR(
            IF(OR(
                AND(R1353="Marine Protected", VLOOKUP(O1353, Reference!$A$2:$D$34, 4, FALSE) &lt;= P1353),
                AND(R1353="General Use", VLOOKUP(O1353, Reference!$A$2:$D$34, 3, FALSE) &lt;= P1353)
            ),
                "Exceeded",
                "OK"
            ),
            "No Regulation defined"
        )
    ),
    ""
)</f>
        <v/>
      </c>
      <c r="AB1353" s="62" t="str">
        <f t="shared" si="21"/>
        <v/>
      </c>
    </row>
    <row r="1354" spans="3:28" x14ac:dyDescent="0.2">
      <c r="C1354" s="69"/>
      <c r="D1354" s="70"/>
      <c r="S1354" s="34"/>
      <c r="T1354" s="60" t="str">
        <f>IF(P1354&lt;&gt;"",
    IF(OR(O1354="", Q1354="", R1354=""),
        "Fill all the required columns",
        IFERROR(
            IF(OR(
                AND(R1354="Marine Protected", VLOOKUP(O1354, Reference!$A$2:$D$34, 4, FALSE) &lt;= P1354),
                AND(R1354="General Use", VLOOKUP(O1354, Reference!$A$2:$D$34, 3, FALSE) &lt;= P1354)
            ),
                "Exceeded",
                "OK"
            ),
            "No Regulation defined"
        )
    ),
    ""
)</f>
        <v/>
      </c>
      <c r="AB1354" s="62" t="str">
        <f t="shared" si="21"/>
        <v/>
      </c>
    </row>
    <row r="1355" spans="3:28" x14ac:dyDescent="0.2">
      <c r="C1355" s="69"/>
      <c r="D1355" s="70"/>
      <c r="S1355" s="34"/>
      <c r="T1355" s="60" t="str">
        <f>IF(P1355&lt;&gt;"",
    IF(OR(O1355="", Q1355="", R1355=""),
        "Fill all the required columns",
        IFERROR(
            IF(OR(
                AND(R1355="Marine Protected", VLOOKUP(O1355, Reference!$A$2:$D$34, 4, FALSE) &lt;= P1355),
                AND(R1355="General Use", VLOOKUP(O1355, Reference!$A$2:$D$34, 3, FALSE) &lt;= P1355)
            ),
                "Exceeded",
                "OK"
            ),
            "No Regulation defined"
        )
    ),
    ""
)</f>
        <v/>
      </c>
      <c r="AB1355" s="62" t="str">
        <f t="shared" si="21"/>
        <v/>
      </c>
    </row>
    <row r="1356" spans="3:28" x14ac:dyDescent="0.2">
      <c r="C1356" s="69"/>
      <c r="D1356" s="70"/>
      <c r="S1356" s="34"/>
      <c r="T1356" s="60" t="str">
        <f>IF(P1356&lt;&gt;"",
    IF(OR(O1356="", Q1356="", R1356=""),
        "Fill all the required columns",
        IFERROR(
            IF(OR(
                AND(R1356="Marine Protected", VLOOKUP(O1356, Reference!$A$2:$D$34, 4, FALSE) &lt;= P1356),
                AND(R1356="General Use", VLOOKUP(O1356, Reference!$A$2:$D$34, 3, FALSE) &lt;= P1356)
            ),
                "Exceeded",
                "OK"
            ),
            "No Regulation defined"
        )
    ),
    ""
)</f>
        <v/>
      </c>
      <c r="AB1356" s="62" t="str">
        <f t="shared" si="21"/>
        <v/>
      </c>
    </row>
    <row r="1357" spans="3:28" x14ac:dyDescent="0.2">
      <c r="C1357" s="69"/>
      <c r="D1357" s="70"/>
      <c r="S1357" s="34"/>
      <c r="T1357" s="60" t="str">
        <f>IF(P1357&lt;&gt;"",
    IF(OR(O1357="", Q1357="", R1357=""),
        "Fill all the required columns",
        IFERROR(
            IF(OR(
                AND(R1357="Marine Protected", VLOOKUP(O1357, Reference!$A$2:$D$34, 4, FALSE) &lt;= P1357),
                AND(R1357="General Use", VLOOKUP(O1357, Reference!$A$2:$D$34, 3, FALSE) &lt;= P1357)
            ),
                "Exceeded",
                "OK"
            ),
            "No Regulation defined"
        )
    ),
    ""
)</f>
        <v/>
      </c>
      <c r="AB1357" s="62" t="str">
        <f t="shared" si="21"/>
        <v/>
      </c>
    </row>
    <row r="1358" spans="3:28" x14ac:dyDescent="0.2">
      <c r="C1358" s="69"/>
      <c r="D1358" s="70"/>
      <c r="S1358" s="34"/>
      <c r="T1358" s="60" t="str">
        <f>IF(P1358&lt;&gt;"",
    IF(OR(O1358="", Q1358="", R1358=""),
        "Fill all the required columns",
        IFERROR(
            IF(OR(
                AND(R1358="Marine Protected", VLOOKUP(O1358, Reference!$A$2:$D$34, 4, FALSE) &lt;= P1358),
                AND(R1358="General Use", VLOOKUP(O1358, Reference!$A$2:$D$34, 3, FALSE) &lt;= P1358)
            ),
                "Exceeded",
                "OK"
            ),
            "No Regulation defined"
        )
    ),
    ""
)</f>
        <v/>
      </c>
      <c r="AB1358" s="62" t="str">
        <f t="shared" si="21"/>
        <v/>
      </c>
    </row>
    <row r="1359" spans="3:28" x14ac:dyDescent="0.2">
      <c r="C1359" s="69"/>
      <c r="D1359" s="70"/>
      <c r="S1359" s="34"/>
      <c r="T1359" s="60" t="str">
        <f>IF(P1359&lt;&gt;"",
    IF(OR(O1359="", Q1359="", R1359=""),
        "Fill all the required columns",
        IFERROR(
            IF(OR(
                AND(R1359="Marine Protected", VLOOKUP(O1359, Reference!$A$2:$D$34, 4, FALSE) &lt;= P1359),
                AND(R1359="General Use", VLOOKUP(O1359, Reference!$A$2:$D$34, 3, FALSE) &lt;= P1359)
            ),
                "Exceeded",
                "OK"
            ),
            "No Regulation defined"
        )
    ),
    ""
)</f>
        <v/>
      </c>
      <c r="AB1359" s="62" t="str">
        <f t="shared" si="21"/>
        <v/>
      </c>
    </row>
    <row r="1360" spans="3:28" x14ac:dyDescent="0.2">
      <c r="C1360" s="69"/>
      <c r="D1360" s="70"/>
      <c r="S1360" s="34"/>
      <c r="T1360" s="60" t="str">
        <f>IF(P1360&lt;&gt;"",
    IF(OR(O1360="", Q1360="", R1360=""),
        "Fill all the required columns",
        IFERROR(
            IF(OR(
                AND(R1360="Marine Protected", VLOOKUP(O1360, Reference!$A$2:$D$34, 4, FALSE) &lt;= P1360),
                AND(R1360="General Use", VLOOKUP(O1360, Reference!$A$2:$D$34, 3, FALSE) &lt;= P1360)
            ),
                "Exceeded",
                "OK"
            ),
            "No Regulation defined"
        )
    ),
    ""
)</f>
        <v/>
      </c>
      <c r="AB1360" s="62" t="str">
        <f t="shared" si="21"/>
        <v/>
      </c>
    </row>
    <row r="1361" spans="3:28" x14ac:dyDescent="0.2">
      <c r="C1361" s="69"/>
      <c r="D1361" s="70"/>
      <c r="S1361" s="34"/>
      <c r="T1361" s="60" t="str">
        <f>IF(P1361&lt;&gt;"",
    IF(OR(O1361="", Q1361="", R1361=""),
        "Fill all the required columns",
        IFERROR(
            IF(OR(
                AND(R1361="Marine Protected", VLOOKUP(O1361, Reference!$A$2:$D$34, 4, FALSE) &lt;= P1361),
                AND(R1361="General Use", VLOOKUP(O1361, Reference!$A$2:$D$34, 3, FALSE) &lt;= P1361)
            ),
                "Exceeded",
                "OK"
            ),
            "No Regulation defined"
        )
    ),
    ""
)</f>
        <v/>
      </c>
      <c r="AB1361" s="62" t="str">
        <f t="shared" si="21"/>
        <v/>
      </c>
    </row>
    <row r="1362" spans="3:28" x14ac:dyDescent="0.2">
      <c r="C1362" s="69"/>
      <c r="D1362" s="70"/>
      <c r="S1362" s="34"/>
      <c r="T1362" s="60" t="str">
        <f>IF(P1362&lt;&gt;"",
    IF(OR(O1362="", Q1362="", R1362=""),
        "Fill all the required columns",
        IFERROR(
            IF(OR(
                AND(R1362="Marine Protected", VLOOKUP(O1362, Reference!$A$2:$D$34, 4, FALSE) &lt;= P1362),
                AND(R1362="General Use", VLOOKUP(O1362, Reference!$A$2:$D$34, 3, FALSE) &lt;= P1362)
            ),
                "Exceeded",
                "OK"
            ),
            "No Regulation defined"
        )
    ),
    ""
)</f>
        <v/>
      </c>
      <c r="AB1362" s="62" t="str">
        <f t="shared" si="21"/>
        <v/>
      </c>
    </row>
    <row r="1363" spans="3:28" x14ac:dyDescent="0.2">
      <c r="C1363" s="69"/>
      <c r="D1363" s="70"/>
      <c r="S1363" s="34"/>
      <c r="T1363" s="60" t="str">
        <f>IF(P1363&lt;&gt;"",
    IF(OR(O1363="", Q1363="", R1363=""),
        "Fill all the required columns",
        IFERROR(
            IF(OR(
                AND(R1363="Marine Protected", VLOOKUP(O1363, Reference!$A$2:$D$34, 4, FALSE) &lt;= P1363),
                AND(R1363="General Use", VLOOKUP(O1363, Reference!$A$2:$D$34, 3, FALSE) &lt;= P1363)
            ),
                "Exceeded",
                "OK"
            ),
            "No Regulation defined"
        )
    ),
    ""
)</f>
        <v/>
      </c>
      <c r="AB1363" s="62" t="str">
        <f t="shared" si="21"/>
        <v/>
      </c>
    </row>
    <row r="1364" spans="3:28" x14ac:dyDescent="0.2">
      <c r="C1364" s="69"/>
      <c r="D1364" s="70"/>
      <c r="S1364" s="34"/>
      <c r="T1364" s="60" t="str">
        <f>IF(P1364&lt;&gt;"",
    IF(OR(O1364="", Q1364="", R1364=""),
        "Fill all the required columns",
        IFERROR(
            IF(OR(
                AND(R1364="Marine Protected", VLOOKUP(O1364, Reference!$A$2:$D$34, 4, FALSE) &lt;= P1364),
                AND(R1364="General Use", VLOOKUP(O1364, Reference!$A$2:$D$34, 3, FALSE) &lt;= P1364)
            ),
                "Exceeded",
                "OK"
            ),
            "No Regulation defined"
        )
    ),
    ""
)</f>
        <v/>
      </c>
      <c r="AB1364" s="62" t="str">
        <f t="shared" si="21"/>
        <v/>
      </c>
    </row>
    <row r="1365" spans="3:28" x14ac:dyDescent="0.2">
      <c r="C1365" s="69"/>
      <c r="D1365" s="70"/>
      <c r="S1365" s="34"/>
      <c r="T1365" s="60" t="str">
        <f>IF(P1365&lt;&gt;"",
    IF(OR(O1365="", Q1365="", R1365=""),
        "Fill all the required columns",
        IFERROR(
            IF(OR(
                AND(R1365="Marine Protected", VLOOKUP(O1365, Reference!$A$2:$D$34, 4, FALSE) &lt;= P1365),
                AND(R1365="General Use", VLOOKUP(O1365, Reference!$A$2:$D$34, 3, FALSE) &lt;= P1365)
            ),
                "Exceeded",
                "OK"
            ),
            "No Regulation defined"
        )
    ),
    ""
)</f>
        <v/>
      </c>
      <c r="AB1365" s="62" t="str">
        <f t="shared" si="21"/>
        <v/>
      </c>
    </row>
    <row r="1366" spans="3:28" x14ac:dyDescent="0.2">
      <c r="C1366" s="69"/>
      <c r="D1366" s="70"/>
      <c r="S1366" s="34"/>
      <c r="T1366" s="60" t="str">
        <f>IF(P1366&lt;&gt;"",
    IF(OR(O1366="", Q1366="", R1366=""),
        "Fill all the required columns",
        IFERROR(
            IF(OR(
                AND(R1366="Marine Protected", VLOOKUP(O1366, Reference!$A$2:$D$34, 4, FALSE) &lt;= P1366),
                AND(R1366="General Use", VLOOKUP(O1366, Reference!$A$2:$D$34, 3, FALSE) &lt;= P1366)
            ),
                "Exceeded",
                "OK"
            ),
            "No Regulation defined"
        )
    ),
    ""
)</f>
        <v/>
      </c>
      <c r="AB1366" s="62" t="str">
        <f t="shared" si="21"/>
        <v/>
      </c>
    </row>
    <row r="1367" spans="3:28" x14ac:dyDescent="0.2">
      <c r="C1367" s="69"/>
      <c r="D1367" s="70"/>
      <c r="S1367" s="34"/>
      <c r="T1367" s="60" t="str">
        <f>IF(P1367&lt;&gt;"",
    IF(OR(O1367="", Q1367="", R1367=""),
        "Fill all the required columns",
        IFERROR(
            IF(OR(
                AND(R1367="Marine Protected", VLOOKUP(O1367, Reference!$A$2:$D$34, 4, FALSE) &lt;= P1367),
                AND(R1367="General Use", VLOOKUP(O1367, Reference!$A$2:$D$34, 3, FALSE) &lt;= P1367)
            ),
                "Exceeded",
                "OK"
            ),
            "No Regulation defined"
        )
    ),
    ""
)</f>
        <v/>
      </c>
      <c r="AB1367" s="62" t="str">
        <f t="shared" si="21"/>
        <v/>
      </c>
    </row>
    <row r="1368" spans="3:28" x14ac:dyDescent="0.2">
      <c r="C1368" s="69"/>
      <c r="D1368" s="70"/>
      <c r="S1368" s="34"/>
      <c r="T1368" s="60" t="str">
        <f>IF(P1368&lt;&gt;"",
    IF(OR(O1368="", Q1368="", R1368=""),
        "Fill all the required columns",
        IFERROR(
            IF(OR(
                AND(R1368="Marine Protected", VLOOKUP(O1368, Reference!$A$2:$D$34, 4, FALSE) &lt;= P1368),
                AND(R1368="General Use", VLOOKUP(O1368, Reference!$A$2:$D$34, 3, FALSE) &lt;= P1368)
            ),
                "Exceeded",
                "OK"
            ),
            "No Regulation defined"
        )
    ),
    ""
)</f>
        <v/>
      </c>
      <c r="AB1368" s="62" t="str">
        <f t="shared" si="21"/>
        <v/>
      </c>
    </row>
    <row r="1369" spans="3:28" x14ac:dyDescent="0.2">
      <c r="C1369" s="69"/>
      <c r="D1369" s="70"/>
      <c r="S1369" s="34"/>
      <c r="T1369" s="60" t="str">
        <f>IF(P1369&lt;&gt;"",
    IF(OR(O1369="", Q1369="", R1369=""),
        "Fill all the required columns",
        IFERROR(
            IF(OR(
                AND(R1369="Marine Protected", VLOOKUP(O1369, Reference!$A$2:$D$34, 4, FALSE) &lt;= P1369),
                AND(R1369="General Use", VLOOKUP(O1369, Reference!$A$2:$D$34, 3, FALSE) &lt;= P1369)
            ),
                "Exceeded",
                "OK"
            ),
            "No Regulation defined"
        )
    ),
    ""
)</f>
        <v/>
      </c>
      <c r="AB1369" s="62" t="str">
        <f t="shared" si="21"/>
        <v/>
      </c>
    </row>
    <row r="1370" spans="3:28" x14ac:dyDescent="0.2">
      <c r="C1370" s="69"/>
      <c r="D1370" s="70"/>
      <c r="S1370" s="34"/>
      <c r="T1370" s="60" t="str">
        <f>IF(P1370&lt;&gt;"",
    IF(OR(O1370="", Q1370="", R1370=""),
        "Fill all the required columns",
        IFERROR(
            IF(OR(
                AND(R1370="Marine Protected", VLOOKUP(O1370, Reference!$A$2:$D$34, 4, FALSE) &lt;= P1370),
                AND(R1370="General Use", VLOOKUP(O1370, Reference!$A$2:$D$34, 3, FALSE) &lt;= P1370)
            ),
                "Exceeded",
                "OK"
            ),
            "No Regulation defined"
        )
    ),
    ""
)</f>
        <v/>
      </c>
      <c r="AB1370" s="62" t="str">
        <f t="shared" si="21"/>
        <v/>
      </c>
    </row>
    <row r="1371" spans="3:28" x14ac:dyDescent="0.2">
      <c r="C1371" s="69"/>
      <c r="D1371" s="70"/>
      <c r="S1371" s="34"/>
      <c r="T1371" s="60" t="str">
        <f>IF(P1371&lt;&gt;"",
    IF(OR(O1371="", Q1371="", R1371=""),
        "Fill all the required columns",
        IFERROR(
            IF(OR(
                AND(R1371="Marine Protected", VLOOKUP(O1371, Reference!$A$2:$D$34, 4, FALSE) &lt;= P1371),
                AND(R1371="General Use", VLOOKUP(O1371, Reference!$A$2:$D$34, 3, FALSE) &lt;= P1371)
            ),
                "Exceeded",
                "OK"
            ),
            "No Regulation defined"
        )
    ),
    ""
)</f>
        <v/>
      </c>
      <c r="AB1371" s="62" t="str">
        <f t="shared" si="21"/>
        <v/>
      </c>
    </row>
    <row r="1372" spans="3:28" x14ac:dyDescent="0.2">
      <c r="C1372" s="69"/>
      <c r="D1372" s="70"/>
      <c r="S1372" s="34"/>
      <c r="T1372" s="60" t="str">
        <f>IF(P1372&lt;&gt;"",
    IF(OR(O1372="", Q1372="", R1372=""),
        "Fill all the required columns",
        IFERROR(
            IF(OR(
                AND(R1372="Marine Protected", VLOOKUP(O1372, Reference!$A$2:$D$34, 4, FALSE) &lt;= P1372),
                AND(R1372="General Use", VLOOKUP(O1372, Reference!$A$2:$D$34, 3, FALSE) &lt;= P1372)
            ),
                "Exceeded",
                "OK"
            ),
            "No Regulation defined"
        )
    ),
    ""
)</f>
        <v/>
      </c>
      <c r="AB1372" s="62" t="str">
        <f t="shared" si="21"/>
        <v/>
      </c>
    </row>
    <row r="1373" spans="3:28" x14ac:dyDescent="0.2">
      <c r="C1373" s="69"/>
      <c r="D1373" s="70"/>
      <c r="S1373" s="34"/>
      <c r="T1373" s="60" t="str">
        <f>IF(P1373&lt;&gt;"",
    IF(OR(O1373="", Q1373="", R1373=""),
        "Fill all the required columns",
        IFERROR(
            IF(OR(
                AND(R1373="Marine Protected", VLOOKUP(O1373, Reference!$A$2:$D$34, 4, FALSE) &lt;= P1373),
                AND(R1373="General Use", VLOOKUP(O1373, Reference!$A$2:$D$34, 3, FALSE) &lt;= P1373)
            ),
                "Exceeded",
                "OK"
            ),
            "No Regulation defined"
        )
    ),
    ""
)</f>
        <v/>
      </c>
      <c r="AB1373" s="62" t="str">
        <f t="shared" si="21"/>
        <v/>
      </c>
    </row>
    <row r="1374" spans="3:28" x14ac:dyDescent="0.2">
      <c r="C1374" s="69"/>
      <c r="D1374" s="70"/>
      <c r="S1374" s="34"/>
      <c r="T1374" s="60" t="str">
        <f>IF(P1374&lt;&gt;"",
    IF(OR(O1374="", Q1374="", R1374=""),
        "Fill all the required columns",
        IFERROR(
            IF(OR(
                AND(R1374="Marine Protected", VLOOKUP(O1374, Reference!$A$2:$D$34, 4, FALSE) &lt;= P1374),
                AND(R1374="General Use", VLOOKUP(O1374, Reference!$A$2:$D$34, 3, FALSE) &lt;= P1374)
            ),
                "Exceeded",
                "OK"
            ),
            "No Regulation defined"
        )
    ),
    ""
)</f>
        <v/>
      </c>
      <c r="AB1374" s="62" t="str">
        <f t="shared" si="21"/>
        <v/>
      </c>
    </row>
    <row r="1375" spans="3:28" x14ac:dyDescent="0.2">
      <c r="C1375" s="69"/>
      <c r="D1375" s="70"/>
      <c r="S1375" s="34"/>
      <c r="T1375" s="60" t="str">
        <f>IF(P1375&lt;&gt;"",
    IF(OR(O1375="", Q1375="", R1375=""),
        "Fill all the required columns",
        IFERROR(
            IF(OR(
                AND(R1375="Marine Protected", VLOOKUP(O1375, Reference!$A$2:$D$34, 4, FALSE) &lt;= P1375),
                AND(R1375="General Use", VLOOKUP(O1375, Reference!$A$2:$D$34, 3, FALSE) &lt;= P1375)
            ),
                "Exceeded",
                "OK"
            ),
            "No Regulation defined"
        )
    ),
    ""
)</f>
        <v/>
      </c>
      <c r="AB1375" s="62" t="str">
        <f t="shared" si="21"/>
        <v/>
      </c>
    </row>
    <row r="1376" spans="3:28" x14ac:dyDescent="0.2">
      <c r="C1376" s="69"/>
      <c r="D1376" s="70"/>
      <c r="S1376" s="34"/>
      <c r="T1376" s="60" t="str">
        <f>IF(P1376&lt;&gt;"",
    IF(OR(O1376="", Q1376="", R1376=""),
        "Fill all the required columns",
        IFERROR(
            IF(OR(
                AND(R1376="Marine Protected", VLOOKUP(O1376, Reference!$A$2:$D$34, 4, FALSE) &lt;= P1376),
                AND(R1376="General Use", VLOOKUP(O1376, Reference!$A$2:$D$34, 3, FALSE) &lt;= P1376)
            ),
                "Exceeded",
                "OK"
            ),
            "No Regulation defined"
        )
    ),
    ""
)</f>
        <v/>
      </c>
      <c r="AB1376" s="62" t="str">
        <f t="shared" si="21"/>
        <v/>
      </c>
    </row>
    <row r="1377" spans="3:28" x14ac:dyDescent="0.2">
      <c r="C1377" s="69"/>
      <c r="D1377" s="70"/>
      <c r="S1377" s="34"/>
      <c r="T1377" s="60" t="str">
        <f>IF(P1377&lt;&gt;"",
    IF(OR(O1377="", Q1377="", R1377=""),
        "Fill all the required columns",
        IFERROR(
            IF(OR(
                AND(R1377="Marine Protected", VLOOKUP(O1377, Reference!$A$2:$D$34, 4, FALSE) &lt;= P1377),
                AND(R1377="General Use", VLOOKUP(O1377, Reference!$A$2:$D$34, 3, FALSE) &lt;= P1377)
            ),
                "Exceeded",
                "OK"
            ),
            "No Regulation defined"
        )
    ),
    ""
)</f>
        <v/>
      </c>
      <c r="AB1377" s="62" t="str">
        <f t="shared" si="21"/>
        <v/>
      </c>
    </row>
    <row r="1378" spans="3:28" x14ac:dyDescent="0.2">
      <c r="C1378" s="69"/>
      <c r="D1378" s="70"/>
      <c r="S1378" s="34"/>
      <c r="T1378" s="60" t="str">
        <f>IF(P1378&lt;&gt;"",
    IF(OR(O1378="", Q1378="", R1378=""),
        "Fill all the required columns",
        IFERROR(
            IF(OR(
                AND(R1378="Marine Protected", VLOOKUP(O1378, Reference!$A$2:$D$34, 4, FALSE) &lt;= P1378),
                AND(R1378="General Use", VLOOKUP(O1378, Reference!$A$2:$D$34, 3, FALSE) &lt;= P1378)
            ),
                "Exceeded",
                "OK"
            ),
            "No Regulation defined"
        )
    ),
    ""
)</f>
        <v/>
      </c>
      <c r="AB1378" s="62" t="str">
        <f t="shared" si="21"/>
        <v/>
      </c>
    </row>
    <row r="1379" spans="3:28" x14ac:dyDescent="0.2">
      <c r="C1379" s="69"/>
      <c r="D1379" s="70"/>
      <c r="S1379" s="34"/>
      <c r="T1379" s="60" t="str">
        <f>IF(P1379&lt;&gt;"",
    IF(OR(O1379="", Q1379="", R1379=""),
        "Fill all the required columns",
        IFERROR(
            IF(OR(
                AND(R1379="Marine Protected", VLOOKUP(O1379, Reference!$A$2:$D$34, 4, FALSE) &lt;= P1379),
                AND(R1379="General Use", VLOOKUP(O1379, Reference!$A$2:$D$34, 3, FALSE) &lt;= P1379)
            ),
                "Exceeded",
                "OK"
            ),
            "No Regulation defined"
        )
    ),
    ""
)</f>
        <v/>
      </c>
      <c r="AB1379" s="62" t="str">
        <f t="shared" si="21"/>
        <v/>
      </c>
    </row>
    <row r="1380" spans="3:28" x14ac:dyDescent="0.2">
      <c r="C1380" s="69"/>
      <c r="D1380" s="70"/>
      <c r="S1380" s="34"/>
      <c r="T1380" s="60" t="str">
        <f>IF(P1380&lt;&gt;"",
    IF(OR(O1380="", Q1380="", R1380=""),
        "Fill all the required columns",
        IFERROR(
            IF(OR(
                AND(R1380="Marine Protected", VLOOKUP(O1380, Reference!$A$2:$D$34, 4, FALSE) &lt;= P1380),
                AND(R1380="General Use", VLOOKUP(O1380, Reference!$A$2:$D$34, 3, FALSE) &lt;= P1380)
            ),
                "Exceeded",
                "OK"
            ),
            "No Regulation defined"
        )
    ),
    ""
)</f>
        <v/>
      </c>
      <c r="AB1380" s="62" t="str">
        <f t="shared" si="21"/>
        <v/>
      </c>
    </row>
    <row r="1381" spans="3:28" x14ac:dyDescent="0.2">
      <c r="C1381" s="69"/>
      <c r="D1381" s="70"/>
      <c r="S1381" s="34"/>
      <c r="T1381" s="60" t="str">
        <f>IF(P1381&lt;&gt;"",
    IF(OR(O1381="", Q1381="", R1381=""),
        "Fill all the required columns",
        IFERROR(
            IF(OR(
                AND(R1381="Marine Protected", VLOOKUP(O1381, Reference!$A$2:$D$34, 4, FALSE) &lt;= P1381),
                AND(R1381="General Use", VLOOKUP(O1381, Reference!$A$2:$D$34, 3, FALSE) &lt;= P1381)
            ),
                "Exceeded",
                "OK"
            ),
            "No Regulation defined"
        )
    ),
    ""
)</f>
        <v/>
      </c>
      <c r="AB1381" s="62" t="str">
        <f t="shared" si="21"/>
        <v/>
      </c>
    </row>
    <row r="1382" spans="3:28" x14ac:dyDescent="0.2">
      <c r="C1382" s="69"/>
      <c r="D1382" s="70"/>
      <c r="S1382" s="34"/>
      <c r="T1382" s="60" t="str">
        <f>IF(P1382&lt;&gt;"",
    IF(OR(O1382="", Q1382="", R1382=""),
        "Fill all the required columns",
        IFERROR(
            IF(OR(
                AND(R1382="Marine Protected", VLOOKUP(O1382, Reference!$A$2:$D$34, 4, FALSE) &lt;= P1382),
                AND(R1382="General Use", VLOOKUP(O1382, Reference!$A$2:$D$34, 3, FALSE) &lt;= P1382)
            ),
                "Exceeded",
                "OK"
            ),
            "No Regulation defined"
        )
    ),
    ""
)</f>
        <v/>
      </c>
      <c r="AB1382" s="62" t="str">
        <f t="shared" si="21"/>
        <v/>
      </c>
    </row>
    <row r="1383" spans="3:28" x14ac:dyDescent="0.2">
      <c r="C1383" s="69"/>
      <c r="D1383" s="70"/>
      <c r="S1383" s="34"/>
      <c r="T1383" s="60" t="str">
        <f>IF(P1383&lt;&gt;"",
    IF(OR(O1383="", Q1383="", R1383=""),
        "Fill all the required columns",
        IFERROR(
            IF(OR(
                AND(R1383="Marine Protected", VLOOKUP(O1383, Reference!$A$2:$D$34, 4, FALSE) &lt;= P1383),
                AND(R1383="General Use", VLOOKUP(O1383, Reference!$A$2:$D$34, 3, FALSE) &lt;= P1383)
            ),
                "Exceeded",
                "OK"
            ),
            "No Regulation defined"
        )
    ),
    ""
)</f>
        <v/>
      </c>
      <c r="AB1383" s="62" t="str">
        <f t="shared" si="21"/>
        <v/>
      </c>
    </row>
    <row r="1384" spans="3:28" x14ac:dyDescent="0.2">
      <c r="C1384" s="69"/>
      <c r="D1384" s="70"/>
      <c r="S1384" s="34"/>
      <c r="T1384" s="60" t="str">
        <f>IF(P1384&lt;&gt;"",
    IF(OR(O1384="", Q1384="", R1384=""),
        "Fill all the required columns",
        IFERROR(
            IF(OR(
                AND(R1384="Marine Protected", VLOOKUP(O1384, Reference!$A$2:$D$34, 4, FALSE) &lt;= P1384),
                AND(R1384="General Use", VLOOKUP(O1384, Reference!$A$2:$D$34, 3, FALSE) &lt;= P1384)
            ),
                "Exceeded",
                "OK"
            ),
            "No Regulation defined"
        )
    ),
    ""
)</f>
        <v/>
      </c>
      <c r="AB1384" s="62" t="str">
        <f t="shared" si="21"/>
        <v/>
      </c>
    </row>
    <row r="1385" spans="3:28" x14ac:dyDescent="0.2">
      <c r="C1385" s="69"/>
      <c r="D1385" s="70"/>
      <c r="S1385" s="34"/>
      <c r="T1385" s="60" t="str">
        <f>IF(P1385&lt;&gt;"",
    IF(OR(O1385="", Q1385="", R1385=""),
        "Fill all the required columns",
        IFERROR(
            IF(OR(
                AND(R1385="Marine Protected", VLOOKUP(O1385, Reference!$A$2:$D$34, 4, FALSE) &lt;= P1385),
                AND(R1385="General Use", VLOOKUP(O1385, Reference!$A$2:$D$34, 3, FALSE) &lt;= P1385)
            ),
                "Exceeded",
                "OK"
            ),
            "No Regulation defined"
        )
    ),
    ""
)</f>
        <v/>
      </c>
      <c r="AB1385" s="62" t="str">
        <f t="shared" si="21"/>
        <v/>
      </c>
    </row>
    <row r="1386" spans="3:28" x14ac:dyDescent="0.2">
      <c r="C1386" s="69"/>
      <c r="D1386" s="70"/>
      <c r="S1386" s="34"/>
      <c r="T1386" s="60" t="str">
        <f>IF(P1386&lt;&gt;"",
    IF(OR(O1386="", Q1386="", R1386=""),
        "Fill all the required columns",
        IFERROR(
            IF(OR(
                AND(R1386="Marine Protected", VLOOKUP(O1386, Reference!$A$2:$D$34, 4, FALSE) &lt;= P1386),
                AND(R1386="General Use", VLOOKUP(O1386, Reference!$A$2:$D$34, 3, FALSE) &lt;= P1386)
            ),
                "Exceeded",
                "OK"
            ),
            "No Regulation defined"
        )
    ),
    ""
)</f>
        <v/>
      </c>
      <c r="AB1386" s="62" t="str">
        <f t="shared" si="21"/>
        <v/>
      </c>
    </row>
    <row r="1387" spans="3:28" x14ac:dyDescent="0.2">
      <c r="C1387" s="69"/>
      <c r="D1387" s="70"/>
      <c r="S1387" s="34"/>
      <c r="T1387" s="60" t="str">
        <f>IF(P1387&lt;&gt;"",
    IF(OR(O1387="", Q1387="", R1387=""),
        "Fill all the required columns",
        IFERROR(
            IF(OR(
                AND(R1387="Marine Protected", VLOOKUP(O1387, Reference!$A$2:$D$34, 4, FALSE) &lt;= P1387),
                AND(R1387="General Use", VLOOKUP(O1387, Reference!$A$2:$D$34, 3, FALSE) &lt;= P1387)
            ),
                "Exceeded",
                "OK"
            ),
            "No Regulation defined"
        )
    ),
    ""
)</f>
        <v/>
      </c>
      <c r="AB1387" s="62" t="str">
        <f t="shared" si="21"/>
        <v/>
      </c>
    </row>
    <row r="1388" spans="3:28" x14ac:dyDescent="0.2">
      <c r="C1388" s="69"/>
      <c r="D1388" s="70"/>
      <c r="S1388" s="34"/>
      <c r="T1388" s="60" t="str">
        <f>IF(P1388&lt;&gt;"",
    IF(OR(O1388="", Q1388="", R1388=""),
        "Fill all the required columns",
        IFERROR(
            IF(OR(
                AND(R1388="Marine Protected", VLOOKUP(O1388, Reference!$A$2:$D$34, 4, FALSE) &lt;= P1388),
                AND(R1388="General Use", VLOOKUP(O1388, Reference!$A$2:$D$34, 3, FALSE) &lt;= P1388)
            ),
                "Exceeded",
                "OK"
            ),
            "No Regulation defined"
        )
    ),
    ""
)</f>
        <v/>
      </c>
      <c r="AB1388" s="62" t="str">
        <f t="shared" si="21"/>
        <v/>
      </c>
    </row>
    <row r="1389" spans="3:28" x14ac:dyDescent="0.2">
      <c r="C1389" s="69"/>
      <c r="D1389" s="70"/>
      <c r="S1389" s="34"/>
      <c r="T1389" s="60" t="str">
        <f>IF(P1389&lt;&gt;"",
    IF(OR(O1389="", Q1389="", R1389=""),
        "Fill all the required columns",
        IFERROR(
            IF(OR(
                AND(R1389="Marine Protected", VLOOKUP(O1389, Reference!$A$2:$D$34, 4, FALSE) &lt;= P1389),
                AND(R1389="General Use", VLOOKUP(O1389, Reference!$A$2:$D$34, 3, FALSE) &lt;= P1389)
            ),
                "Exceeded",
                "OK"
            ),
            "No Regulation defined"
        )
    ),
    ""
)</f>
        <v/>
      </c>
      <c r="AB1389" s="62" t="str">
        <f t="shared" si="21"/>
        <v/>
      </c>
    </row>
    <row r="1390" spans="3:28" x14ac:dyDescent="0.2">
      <c r="C1390" s="69"/>
      <c r="D1390" s="70"/>
      <c r="S1390" s="34"/>
      <c r="T1390" s="60" t="str">
        <f>IF(P1390&lt;&gt;"",
    IF(OR(O1390="", Q1390="", R1390=""),
        "Fill all the required columns",
        IFERROR(
            IF(OR(
                AND(R1390="Marine Protected", VLOOKUP(O1390, Reference!$A$2:$D$34, 4, FALSE) &lt;= P1390),
                AND(R1390="General Use", VLOOKUP(O1390, Reference!$A$2:$D$34, 3, FALSE) &lt;= P1390)
            ),
                "Exceeded",
                "OK"
            ),
            "No Regulation defined"
        )
    ),
    ""
)</f>
        <v/>
      </c>
      <c r="AB1390" s="62" t="str">
        <f t="shared" si="21"/>
        <v/>
      </c>
    </row>
    <row r="1391" spans="3:28" x14ac:dyDescent="0.2">
      <c r="C1391" s="69"/>
      <c r="D1391" s="70"/>
      <c r="S1391" s="34"/>
      <c r="T1391" s="60" t="str">
        <f>IF(P1391&lt;&gt;"",
    IF(OR(O1391="", Q1391="", R1391=""),
        "Fill all the required columns",
        IFERROR(
            IF(OR(
                AND(R1391="Marine Protected", VLOOKUP(O1391, Reference!$A$2:$D$34, 4, FALSE) &lt;= P1391),
                AND(R1391="General Use", VLOOKUP(O1391, Reference!$A$2:$D$34, 3, FALSE) &lt;= P1391)
            ),
                "Exceeded",
                "OK"
            ),
            "No Regulation defined"
        )
    ),
    ""
)</f>
        <v/>
      </c>
      <c r="AB1391" s="62" t="str">
        <f t="shared" si="21"/>
        <v/>
      </c>
    </row>
    <row r="1392" spans="3:28" x14ac:dyDescent="0.2">
      <c r="C1392" s="69"/>
      <c r="D1392" s="70"/>
      <c r="S1392" s="34"/>
      <c r="T1392" s="60" t="str">
        <f>IF(P1392&lt;&gt;"",
    IF(OR(O1392="", Q1392="", R1392=""),
        "Fill all the required columns",
        IFERROR(
            IF(OR(
                AND(R1392="Marine Protected", VLOOKUP(O1392, Reference!$A$2:$D$34, 4, FALSE) &lt;= P1392),
                AND(R1392="General Use", VLOOKUP(O1392, Reference!$A$2:$D$34, 3, FALSE) &lt;= P1392)
            ),
                "Exceeded",
                "OK"
            ),
            "No Regulation defined"
        )
    ),
    ""
)</f>
        <v/>
      </c>
      <c r="AB1392" s="62" t="str">
        <f t="shared" si="21"/>
        <v/>
      </c>
    </row>
    <row r="1393" spans="3:28" x14ac:dyDescent="0.2">
      <c r="C1393" s="69"/>
      <c r="D1393" s="70"/>
      <c r="S1393" s="34"/>
      <c r="T1393" s="60" t="str">
        <f>IF(P1393&lt;&gt;"",
    IF(OR(O1393="", Q1393="", R1393=""),
        "Fill all the required columns",
        IFERROR(
            IF(OR(
                AND(R1393="Marine Protected", VLOOKUP(O1393, Reference!$A$2:$D$34, 4, FALSE) &lt;= P1393),
                AND(R1393="General Use", VLOOKUP(O1393, Reference!$A$2:$D$34, 3, FALSE) &lt;= P1393)
            ),
                "Exceeded",
                "OK"
            ),
            "No Regulation defined"
        )
    ),
    ""
)</f>
        <v/>
      </c>
      <c r="AB1393" s="62" t="str">
        <f t="shared" si="21"/>
        <v/>
      </c>
    </row>
    <row r="1394" spans="3:28" x14ac:dyDescent="0.2">
      <c r="C1394" s="69"/>
      <c r="D1394" s="70"/>
      <c r="S1394" s="34"/>
      <c r="T1394" s="60" t="str">
        <f>IF(P1394&lt;&gt;"",
    IF(OR(O1394="", Q1394="", R1394=""),
        "Fill all the required columns",
        IFERROR(
            IF(OR(
                AND(R1394="Marine Protected", VLOOKUP(O1394, Reference!$A$2:$D$34, 4, FALSE) &lt;= P1394),
                AND(R1394="General Use", VLOOKUP(O1394, Reference!$A$2:$D$34, 3, FALSE) &lt;= P1394)
            ),
                "Exceeded",
                "OK"
            ),
            "No Regulation defined"
        )
    ),
    ""
)</f>
        <v/>
      </c>
      <c r="AB1394" s="62" t="str">
        <f t="shared" si="21"/>
        <v/>
      </c>
    </row>
    <row r="1395" spans="3:28" x14ac:dyDescent="0.2">
      <c r="C1395" s="69"/>
      <c r="D1395" s="70"/>
      <c r="S1395" s="34"/>
      <c r="T1395" s="60" t="str">
        <f>IF(P1395&lt;&gt;"",
    IF(OR(O1395="", Q1395="", R1395=""),
        "Fill all the required columns",
        IFERROR(
            IF(OR(
                AND(R1395="Marine Protected", VLOOKUP(O1395, Reference!$A$2:$D$34, 4, FALSE) &lt;= P1395),
                AND(R1395="General Use", VLOOKUP(O1395, Reference!$A$2:$D$34, 3, FALSE) &lt;= P1395)
            ),
                "Exceeded",
                "OK"
            ),
            "No Regulation defined"
        )
    ),
    ""
)</f>
        <v/>
      </c>
      <c r="AB1395" s="62" t="str">
        <f t="shared" si="21"/>
        <v/>
      </c>
    </row>
    <row r="1396" spans="3:28" x14ac:dyDescent="0.2">
      <c r="C1396" s="69"/>
      <c r="D1396" s="70"/>
      <c r="S1396" s="34"/>
      <c r="T1396" s="60" t="str">
        <f>IF(P1396&lt;&gt;"",
    IF(OR(O1396="", Q1396="", R1396=""),
        "Fill all the required columns",
        IFERROR(
            IF(OR(
                AND(R1396="Marine Protected", VLOOKUP(O1396, Reference!$A$2:$D$34, 4, FALSE) &lt;= P1396),
                AND(R1396="General Use", VLOOKUP(O1396, Reference!$A$2:$D$34, 3, FALSE) &lt;= P1396)
            ),
                "Exceeded",
                "OK"
            ),
            "No Regulation defined"
        )
    ),
    ""
)</f>
        <v/>
      </c>
      <c r="AB1396" s="62" t="str">
        <f t="shared" si="21"/>
        <v/>
      </c>
    </row>
    <row r="1397" spans="3:28" x14ac:dyDescent="0.2">
      <c r="C1397" s="69"/>
      <c r="D1397" s="70"/>
      <c r="S1397" s="34"/>
      <c r="T1397" s="60" t="str">
        <f>IF(P1397&lt;&gt;"",
    IF(OR(O1397="", Q1397="", R1397=""),
        "Fill all the required columns",
        IFERROR(
            IF(OR(
                AND(R1397="Marine Protected", VLOOKUP(O1397, Reference!$A$2:$D$34, 4, FALSE) &lt;= P1397),
                AND(R1397="General Use", VLOOKUP(O1397, Reference!$A$2:$D$34, 3, FALSE) &lt;= P1397)
            ),
                "Exceeded",
                "OK"
            ),
            "No Regulation defined"
        )
    ),
    ""
)</f>
        <v/>
      </c>
      <c r="AB1397" s="62" t="str">
        <f t="shared" si="21"/>
        <v/>
      </c>
    </row>
    <row r="1398" spans="3:28" x14ac:dyDescent="0.2">
      <c r="C1398" s="69"/>
      <c r="D1398" s="70"/>
      <c r="S1398" s="34"/>
      <c r="T1398" s="60" t="str">
        <f>IF(P1398&lt;&gt;"",
    IF(OR(O1398="", Q1398="", R1398=""),
        "Fill all the required columns",
        IFERROR(
            IF(OR(
                AND(R1398="Marine Protected", VLOOKUP(O1398, Reference!$A$2:$D$34, 4, FALSE) &lt;= P1398),
                AND(R1398="General Use", VLOOKUP(O1398, Reference!$A$2:$D$34, 3, FALSE) &lt;= P1398)
            ),
                "Exceeded",
                "OK"
            ),
            "No Regulation defined"
        )
    ),
    ""
)</f>
        <v/>
      </c>
      <c r="AB1398" s="62" t="str">
        <f t="shared" si="21"/>
        <v/>
      </c>
    </row>
    <row r="1399" spans="3:28" x14ac:dyDescent="0.2">
      <c r="C1399" s="69"/>
      <c r="D1399" s="70"/>
      <c r="S1399" s="34"/>
      <c r="T1399" s="60" t="str">
        <f>IF(P1399&lt;&gt;"",
    IF(OR(O1399="", Q1399="", R1399=""),
        "Fill all the required columns",
        IFERROR(
            IF(OR(
                AND(R1399="Marine Protected", VLOOKUP(O1399, Reference!$A$2:$D$34, 4, FALSE) &lt;= P1399),
                AND(R1399="General Use", VLOOKUP(O1399, Reference!$A$2:$D$34, 3, FALSE) &lt;= P1399)
            ),
                "Exceeded",
                "OK"
            ),
            "No Regulation defined"
        )
    ),
    ""
)</f>
        <v/>
      </c>
      <c r="AB1399" s="62" t="str">
        <f t="shared" si="21"/>
        <v/>
      </c>
    </row>
    <row r="1400" spans="3:28" x14ac:dyDescent="0.2">
      <c r="C1400" s="69"/>
      <c r="D1400" s="70"/>
      <c r="S1400" s="34"/>
      <c r="T1400" s="60" t="str">
        <f>IF(P1400&lt;&gt;"",
    IF(OR(O1400="", Q1400="", R1400=""),
        "Fill all the required columns",
        IFERROR(
            IF(OR(
                AND(R1400="Marine Protected", VLOOKUP(O1400, Reference!$A$2:$D$34, 4, FALSE) &lt;= P1400),
                AND(R1400="General Use", VLOOKUP(O1400, Reference!$A$2:$D$34, 3, FALSE) &lt;= P1400)
            ),
                "Exceeded",
                "OK"
            ),
            "No Regulation defined"
        )
    ),
    ""
)</f>
        <v/>
      </c>
      <c r="AB1400" s="62" t="str">
        <f t="shared" si="21"/>
        <v/>
      </c>
    </row>
    <row r="1401" spans="3:28" x14ac:dyDescent="0.2">
      <c r="C1401" s="69"/>
      <c r="D1401" s="70"/>
      <c r="S1401" s="34"/>
      <c r="T1401" s="60" t="str">
        <f>IF(P1401&lt;&gt;"",
    IF(OR(O1401="", Q1401="", R1401=""),
        "Fill all the required columns",
        IFERROR(
            IF(OR(
                AND(R1401="Marine Protected", VLOOKUP(O1401, Reference!$A$2:$D$34, 4, FALSE) &lt;= P1401),
                AND(R1401="General Use", VLOOKUP(O1401, Reference!$A$2:$D$34, 3, FALSE) &lt;= P1401)
            ),
                "Exceeded",
                "OK"
            ),
            "No Regulation defined"
        )
    ),
    ""
)</f>
        <v/>
      </c>
      <c r="AB1401" s="62" t="str">
        <f t="shared" si="21"/>
        <v/>
      </c>
    </row>
    <row r="1402" spans="3:28" x14ac:dyDescent="0.2">
      <c r="C1402" s="69"/>
      <c r="D1402" s="70"/>
      <c r="S1402" s="34"/>
      <c r="T1402" s="60" t="str">
        <f>IF(P1402&lt;&gt;"",
    IF(OR(O1402="", Q1402="", R1402=""),
        "Fill all the required columns",
        IFERROR(
            IF(OR(
                AND(R1402="Marine Protected", VLOOKUP(O1402, Reference!$A$2:$D$34, 4, FALSE) &lt;= P1402),
                AND(R1402="General Use", VLOOKUP(O1402, Reference!$A$2:$D$34, 3, FALSE) &lt;= P1402)
            ),
                "Exceeded",
                "OK"
            ),
            "No Regulation defined"
        )
    ),
    ""
)</f>
        <v/>
      </c>
      <c r="AB1402" s="62" t="str">
        <f t="shared" si="21"/>
        <v/>
      </c>
    </row>
    <row r="1403" spans="3:28" x14ac:dyDescent="0.2">
      <c r="C1403" s="69"/>
      <c r="D1403" s="70"/>
      <c r="S1403" s="34"/>
      <c r="T1403" s="60" t="str">
        <f>IF(P1403&lt;&gt;"",
    IF(OR(O1403="", Q1403="", R1403=""),
        "Fill all the required columns",
        IFERROR(
            IF(OR(
                AND(R1403="Marine Protected", VLOOKUP(O1403, Reference!$A$2:$D$34, 4, FALSE) &lt;= P1403),
                AND(R1403="General Use", VLOOKUP(O1403, Reference!$A$2:$D$34, 3, FALSE) &lt;= P1403)
            ),
                "Exceeded",
                "OK"
            ),
            "No Regulation defined"
        )
    ),
    ""
)</f>
        <v/>
      </c>
      <c r="AB1403" s="62" t="str">
        <f t="shared" si="21"/>
        <v/>
      </c>
    </row>
    <row r="1404" spans="3:28" x14ac:dyDescent="0.2">
      <c r="C1404" s="69"/>
      <c r="D1404" s="70"/>
      <c r="S1404" s="34"/>
      <c r="T1404" s="60" t="str">
        <f>IF(P1404&lt;&gt;"",
    IF(OR(O1404="", Q1404="", R1404=""),
        "Fill all the required columns",
        IFERROR(
            IF(OR(
                AND(R1404="Marine Protected", VLOOKUP(O1404, Reference!$A$2:$D$34, 4, FALSE) &lt;= P1404),
                AND(R1404="General Use", VLOOKUP(O1404, Reference!$A$2:$D$34, 3, FALSE) &lt;= P1404)
            ),
                "Exceeded",
                "OK"
            ),
            "No Regulation defined"
        )
    ),
    ""
)</f>
        <v/>
      </c>
      <c r="AB1404" s="62" t="str">
        <f t="shared" si="21"/>
        <v/>
      </c>
    </row>
    <row r="1405" spans="3:28" x14ac:dyDescent="0.2">
      <c r="C1405" s="69"/>
      <c r="D1405" s="70"/>
      <c r="S1405" s="34"/>
      <c r="T1405" s="60" t="str">
        <f>IF(P1405&lt;&gt;"",
    IF(OR(O1405="", Q1405="", R1405=""),
        "Fill all the required columns",
        IFERROR(
            IF(OR(
                AND(R1405="Marine Protected", VLOOKUP(O1405, Reference!$A$2:$D$34, 4, FALSE) &lt;= P1405),
                AND(R1405="General Use", VLOOKUP(O1405, Reference!$A$2:$D$34, 3, FALSE) &lt;= P1405)
            ),
                "Exceeded",
                "OK"
            ),
            "No Regulation defined"
        )
    ),
    ""
)</f>
        <v/>
      </c>
      <c r="AB1405" s="62" t="str">
        <f t="shared" si="21"/>
        <v/>
      </c>
    </row>
    <row r="1406" spans="3:28" x14ac:dyDescent="0.2">
      <c r="C1406" s="69"/>
      <c r="D1406" s="70"/>
      <c r="S1406" s="34"/>
      <c r="T1406" s="60" t="str">
        <f>IF(P1406&lt;&gt;"",
    IF(OR(O1406="", Q1406="", R1406=""),
        "Fill all the required columns",
        IFERROR(
            IF(OR(
                AND(R1406="Marine Protected", VLOOKUP(O1406, Reference!$A$2:$D$34, 4, FALSE) &lt;= P1406),
                AND(R1406="General Use", VLOOKUP(O1406, Reference!$A$2:$D$34, 3, FALSE) &lt;= P1406)
            ),
                "Exceeded",
                "OK"
            ),
            "No Regulation defined"
        )
    ),
    ""
)</f>
        <v/>
      </c>
      <c r="AB1406" s="62" t="str">
        <f t="shared" si="21"/>
        <v/>
      </c>
    </row>
    <row r="1407" spans="3:28" x14ac:dyDescent="0.2">
      <c r="C1407" s="69"/>
      <c r="D1407" s="70"/>
      <c r="S1407" s="34"/>
      <c r="T1407" s="60" t="str">
        <f>IF(P1407&lt;&gt;"",
    IF(OR(O1407="", Q1407="", R1407=""),
        "Fill all the required columns",
        IFERROR(
            IF(OR(
                AND(R1407="Marine Protected", VLOOKUP(O1407, Reference!$A$2:$D$34, 4, FALSE) &lt;= P1407),
                AND(R1407="General Use", VLOOKUP(O1407, Reference!$A$2:$D$34, 3, FALSE) &lt;= P1407)
            ),
                "Exceeded",
                "OK"
            ),
            "No Regulation defined"
        )
    ),
    ""
)</f>
        <v/>
      </c>
      <c r="AB1407" s="62" t="str">
        <f t="shared" si="21"/>
        <v/>
      </c>
    </row>
    <row r="1408" spans="3:28" x14ac:dyDescent="0.2">
      <c r="C1408" s="69"/>
      <c r="D1408" s="70"/>
      <c r="S1408" s="34"/>
      <c r="T1408" s="60" t="str">
        <f>IF(P1408&lt;&gt;"",
    IF(OR(O1408="", Q1408="", R1408=""),
        "Fill all the required columns",
        IFERROR(
            IF(OR(
                AND(R1408="Marine Protected", VLOOKUP(O1408, Reference!$A$2:$D$34, 4, FALSE) &lt;= P1408),
                AND(R1408="General Use", VLOOKUP(O1408, Reference!$A$2:$D$34, 3, FALSE) &lt;= P1408)
            ),
                "Exceeded",
                "OK"
            ),
            "No Regulation defined"
        )
    ),
    ""
)</f>
        <v/>
      </c>
      <c r="AB1408" s="62" t="str">
        <f t="shared" si="21"/>
        <v/>
      </c>
    </row>
    <row r="1409" spans="3:28" x14ac:dyDescent="0.2">
      <c r="C1409" s="69"/>
      <c r="D1409" s="70"/>
      <c r="S1409" s="34"/>
      <c r="T1409" s="60" t="str">
        <f>IF(P1409&lt;&gt;"",
    IF(OR(O1409="", Q1409="", R1409=""),
        "Fill all the required columns",
        IFERROR(
            IF(OR(
                AND(R1409="Marine Protected", VLOOKUP(O1409, Reference!$A$2:$D$34, 4, FALSE) &lt;= P1409),
                AND(R1409="General Use", VLOOKUP(O1409, Reference!$A$2:$D$34, 3, FALSE) &lt;= P1409)
            ),
                "Exceeded",
                "OK"
            ),
            "No Regulation defined"
        )
    ),
    ""
)</f>
        <v/>
      </c>
      <c r="AB1409" s="62" t="str">
        <f t="shared" si="21"/>
        <v/>
      </c>
    </row>
    <row r="1410" spans="3:28" x14ac:dyDescent="0.2">
      <c r="C1410" s="69"/>
      <c r="D1410" s="70"/>
      <c r="S1410" s="34"/>
      <c r="T1410" s="60" t="str">
        <f>IF(P1410&lt;&gt;"",
    IF(OR(O1410="", Q1410="", R1410=""),
        "Fill all the required columns",
        IFERROR(
            IF(OR(
                AND(R1410="Marine Protected", VLOOKUP(O1410, Reference!$A$2:$D$34, 4, FALSE) &lt;= P1410),
                AND(R1410="General Use", VLOOKUP(O1410, Reference!$A$2:$D$34, 3, FALSE) &lt;= P1410)
            ),
                "Exceeded",
                "OK"
            ),
            "No Regulation defined"
        )
    ),
    ""
)</f>
        <v/>
      </c>
      <c r="AB1410" s="62" t="str">
        <f t="shared" si="21"/>
        <v/>
      </c>
    </row>
    <row r="1411" spans="3:28" x14ac:dyDescent="0.2">
      <c r="C1411" s="69"/>
      <c r="D1411" s="70"/>
      <c r="S1411" s="34"/>
      <c r="T1411" s="60" t="str">
        <f>IF(P1411&lt;&gt;"",
    IF(OR(O1411="", Q1411="", R1411=""),
        "Fill all the required columns",
        IFERROR(
            IF(OR(
                AND(R1411="Marine Protected", VLOOKUP(O1411, Reference!$A$2:$D$34, 4, FALSE) &lt;= P1411),
                AND(R1411="General Use", VLOOKUP(O1411, Reference!$A$2:$D$34, 3, FALSE) &lt;= P1411)
            ),
                "Exceeded",
                "OK"
            ),
            "No Regulation defined"
        )
    ),
    ""
)</f>
        <v/>
      </c>
      <c r="AB1411" s="62" t="str">
        <f t="shared" ref="AB1411:AB1474" si="22">IF(COUNTA(A1411, E1411, F1411, H1411, I1411, O1411, P1411, Q1411, R1411,S1411) = 0, "", IF(COUNTA(A1411, E1411, F1411, H1411, I1411, O1411, P1411, Q1411, R1411,S1411) = 10, "OK", "Incomplete"))</f>
        <v/>
      </c>
    </row>
    <row r="1412" spans="3:28" x14ac:dyDescent="0.2">
      <c r="C1412" s="69"/>
      <c r="D1412" s="70"/>
      <c r="S1412" s="34"/>
      <c r="T1412" s="60" t="str">
        <f>IF(P1412&lt;&gt;"",
    IF(OR(O1412="", Q1412="", R1412=""),
        "Fill all the required columns",
        IFERROR(
            IF(OR(
                AND(R1412="Marine Protected", VLOOKUP(O1412, Reference!$A$2:$D$34, 4, FALSE) &lt;= P1412),
                AND(R1412="General Use", VLOOKUP(O1412, Reference!$A$2:$D$34, 3, FALSE) &lt;= P1412)
            ),
                "Exceeded",
                "OK"
            ),
            "No Regulation defined"
        )
    ),
    ""
)</f>
        <v/>
      </c>
      <c r="AB1412" s="62" t="str">
        <f t="shared" si="22"/>
        <v/>
      </c>
    </row>
    <row r="1413" spans="3:28" x14ac:dyDescent="0.2">
      <c r="C1413" s="69"/>
      <c r="D1413" s="70"/>
      <c r="S1413" s="34"/>
      <c r="T1413" s="60" t="str">
        <f>IF(P1413&lt;&gt;"",
    IF(OR(O1413="", Q1413="", R1413=""),
        "Fill all the required columns",
        IFERROR(
            IF(OR(
                AND(R1413="Marine Protected", VLOOKUP(O1413, Reference!$A$2:$D$34, 4, FALSE) &lt;= P1413),
                AND(R1413="General Use", VLOOKUP(O1413, Reference!$A$2:$D$34, 3, FALSE) &lt;= P1413)
            ),
                "Exceeded",
                "OK"
            ),
            "No Regulation defined"
        )
    ),
    ""
)</f>
        <v/>
      </c>
      <c r="AB1413" s="62" t="str">
        <f t="shared" si="22"/>
        <v/>
      </c>
    </row>
    <row r="1414" spans="3:28" x14ac:dyDescent="0.2">
      <c r="C1414" s="69"/>
      <c r="D1414" s="70"/>
      <c r="S1414" s="34"/>
      <c r="T1414" s="60" t="str">
        <f>IF(P1414&lt;&gt;"",
    IF(OR(O1414="", Q1414="", R1414=""),
        "Fill all the required columns",
        IFERROR(
            IF(OR(
                AND(R1414="Marine Protected", VLOOKUP(O1414, Reference!$A$2:$D$34, 4, FALSE) &lt;= P1414),
                AND(R1414="General Use", VLOOKUP(O1414, Reference!$A$2:$D$34, 3, FALSE) &lt;= P1414)
            ),
                "Exceeded",
                "OK"
            ),
            "No Regulation defined"
        )
    ),
    ""
)</f>
        <v/>
      </c>
      <c r="AB1414" s="62" t="str">
        <f t="shared" si="22"/>
        <v/>
      </c>
    </row>
    <row r="1415" spans="3:28" x14ac:dyDescent="0.2">
      <c r="C1415" s="69"/>
      <c r="D1415" s="70"/>
      <c r="S1415" s="34"/>
      <c r="T1415" s="60" t="str">
        <f>IF(P1415&lt;&gt;"",
    IF(OR(O1415="", Q1415="", R1415=""),
        "Fill all the required columns",
        IFERROR(
            IF(OR(
                AND(R1415="Marine Protected", VLOOKUP(O1415, Reference!$A$2:$D$34, 4, FALSE) &lt;= P1415),
                AND(R1415="General Use", VLOOKUP(O1415, Reference!$A$2:$D$34, 3, FALSE) &lt;= P1415)
            ),
                "Exceeded",
                "OK"
            ),
            "No Regulation defined"
        )
    ),
    ""
)</f>
        <v/>
      </c>
      <c r="AB1415" s="62" t="str">
        <f t="shared" si="22"/>
        <v/>
      </c>
    </row>
    <row r="1416" spans="3:28" x14ac:dyDescent="0.2">
      <c r="C1416" s="69"/>
      <c r="D1416" s="70"/>
      <c r="S1416" s="34"/>
      <c r="T1416" s="60" t="str">
        <f>IF(P1416&lt;&gt;"",
    IF(OR(O1416="", Q1416="", R1416=""),
        "Fill all the required columns",
        IFERROR(
            IF(OR(
                AND(R1416="Marine Protected", VLOOKUP(O1416, Reference!$A$2:$D$34, 4, FALSE) &lt;= P1416),
                AND(R1416="General Use", VLOOKUP(O1416, Reference!$A$2:$D$34, 3, FALSE) &lt;= P1416)
            ),
                "Exceeded",
                "OK"
            ),
            "No Regulation defined"
        )
    ),
    ""
)</f>
        <v/>
      </c>
      <c r="AB1416" s="62" t="str">
        <f t="shared" si="22"/>
        <v/>
      </c>
    </row>
    <row r="1417" spans="3:28" x14ac:dyDescent="0.2">
      <c r="C1417" s="69"/>
      <c r="D1417" s="70"/>
      <c r="S1417" s="34"/>
      <c r="T1417" s="60" t="str">
        <f>IF(P1417&lt;&gt;"",
    IF(OR(O1417="", Q1417="", R1417=""),
        "Fill all the required columns",
        IFERROR(
            IF(OR(
                AND(R1417="Marine Protected", VLOOKUP(O1417, Reference!$A$2:$D$34, 4, FALSE) &lt;= P1417),
                AND(R1417="General Use", VLOOKUP(O1417, Reference!$A$2:$D$34, 3, FALSE) &lt;= P1417)
            ),
                "Exceeded",
                "OK"
            ),
            "No Regulation defined"
        )
    ),
    ""
)</f>
        <v/>
      </c>
      <c r="AB1417" s="62" t="str">
        <f t="shared" si="22"/>
        <v/>
      </c>
    </row>
    <row r="1418" spans="3:28" x14ac:dyDescent="0.2">
      <c r="C1418" s="69"/>
      <c r="D1418" s="70"/>
      <c r="S1418" s="34"/>
      <c r="T1418" s="60" t="str">
        <f>IF(P1418&lt;&gt;"",
    IF(OR(O1418="", Q1418="", R1418=""),
        "Fill all the required columns",
        IFERROR(
            IF(OR(
                AND(R1418="Marine Protected", VLOOKUP(O1418, Reference!$A$2:$D$34, 4, FALSE) &lt;= P1418),
                AND(R1418="General Use", VLOOKUP(O1418, Reference!$A$2:$D$34, 3, FALSE) &lt;= P1418)
            ),
                "Exceeded",
                "OK"
            ),
            "No Regulation defined"
        )
    ),
    ""
)</f>
        <v/>
      </c>
      <c r="AB1418" s="62" t="str">
        <f t="shared" si="22"/>
        <v/>
      </c>
    </row>
    <row r="1419" spans="3:28" x14ac:dyDescent="0.2">
      <c r="C1419" s="69"/>
      <c r="D1419" s="70"/>
      <c r="S1419" s="34"/>
      <c r="T1419" s="60" t="str">
        <f>IF(P1419&lt;&gt;"",
    IF(OR(O1419="", Q1419="", R1419=""),
        "Fill all the required columns",
        IFERROR(
            IF(OR(
                AND(R1419="Marine Protected", VLOOKUP(O1419, Reference!$A$2:$D$34, 4, FALSE) &lt;= P1419),
                AND(R1419="General Use", VLOOKUP(O1419, Reference!$A$2:$D$34, 3, FALSE) &lt;= P1419)
            ),
                "Exceeded",
                "OK"
            ),
            "No Regulation defined"
        )
    ),
    ""
)</f>
        <v/>
      </c>
      <c r="AB1419" s="62" t="str">
        <f t="shared" si="22"/>
        <v/>
      </c>
    </row>
    <row r="1420" spans="3:28" x14ac:dyDescent="0.2">
      <c r="C1420" s="69"/>
      <c r="D1420" s="70"/>
      <c r="S1420" s="34"/>
      <c r="T1420" s="60" t="str">
        <f>IF(P1420&lt;&gt;"",
    IF(OR(O1420="", Q1420="", R1420=""),
        "Fill all the required columns",
        IFERROR(
            IF(OR(
                AND(R1420="Marine Protected", VLOOKUP(O1420, Reference!$A$2:$D$34, 4, FALSE) &lt;= P1420),
                AND(R1420="General Use", VLOOKUP(O1420, Reference!$A$2:$D$34, 3, FALSE) &lt;= P1420)
            ),
                "Exceeded",
                "OK"
            ),
            "No Regulation defined"
        )
    ),
    ""
)</f>
        <v/>
      </c>
      <c r="AB1420" s="62" t="str">
        <f t="shared" si="22"/>
        <v/>
      </c>
    </row>
    <row r="1421" spans="3:28" x14ac:dyDescent="0.2">
      <c r="C1421" s="69"/>
      <c r="D1421" s="70"/>
      <c r="S1421" s="34"/>
      <c r="T1421" s="60" t="str">
        <f>IF(P1421&lt;&gt;"",
    IF(OR(O1421="", Q1421="", R1421=""),
        "Fill all the required columns",
        IFERROR(
            IF(OR(
                AND(R1421="Marine Protected", VLOOKUP(O1421, Reference!$A$2:$D$34, 4, FALSE) &lt;= P1421),
                AND(R1421="General Use", VLOOKUP(O1421, Reference!$A$2:$D$34, 3, FALSE) &lt;= P1421)
            ),
                "Exceeded",
                "OK"
            ),
            "No Regulation defined"
        )
    ),
    ""
)</f>
        <v/>
      </c>
      <c r="AB1421" s="62" t="str">
        <f t="shared" si="22"/>
        <v/>
      </c>
    </row>
    <row r="1422" spans="3:28" x14ac:dyDescent="0.2">
      <c r="C1422" s="69"/>
      <c r="D1422" s="70"/>
      <c r="S1422" s="34"/>
      <c r="T1422" s="60" t="str">
        <f>IF(P1422&lt;&gt;"",
    IF(OR(O1422="", Q1422="", R1422=""),
        "Fill all the required columns",
        IFERROR(
            IF(OR(
                AND(R1422="Marine Protected", VLOOKUP(O1422, Reference!$A$2:$D$34, 4, FALSE) &lt;= P1422),
                AND(R1422="General Use", VLOOKUP(O1422, Reference!$A$2:$D$34, 3, FALSE) &lt;= P1422)
            ),
                "Exceeded",
                "OK"
            ),
            "No Regulation defined"
        )
    ),
    ""
)</f>
        <v/>
      </c>
      <c r="AB1422" s="62" t="str">
        <f t="shared" si="22"/>
        <v/>
      </c>
    </row>
    <row r="1423" spans="3:28" x14ac:dyDescent="0.2">
      <c r="C1423" s="69"/>
      <c r="D1423" s="70"/>
      <c r="S1423" s="34"/>
      <c r="T1423" s="60" t="str">
        <f>IF(P1423&lt;&gt;"",
    IF(OR(O1423="", Q1423="", R1423=""),
        "Fill all the required columns",
        IFERROR(
            IF(OR(
                AND(R1423="Marine Protected", VLOOKUP(O1423, Reference!$A$2:$D$34, 4, FALSE) &lt;= P1423),
                AND(R1423="General Use", VLOOKUP(O1423, Reference!$A$2:$D$34, 3, FALSE) &lt;= P1423)
            ),
                "Exceeded",
                "OK"
            ),
            "No Regulation defined"
        )
    ),
    ""
)</f>
        <v/>
      </c>
      <c r="AB1423" s="62" t="str">
        <f t="shared" si="22"/>
        <v/>
      </c>
    </row>
    <row r="1424" spans="3:28" x14ac:dyDescent="0.2">
      <c r="C1424" s="69"/>
      <c r="D1424" s="70"/>
      <c r="S1424" s="34"/>
      <c r="T1424" s="60" t="str">
        <f>IF(P1424&lt;&gt;"",
    IF(OR(O1424="", Q1424="", R1424=""),
        "Fill all the required columns",
        IFERROR(
            IF(OR(
                AND(R1424="Marine Protected", VLOOKUP(O1424, Reference!$A$2:$D$34, 4, FALSE) &lt;= P1424),
                AND(R1424="General Use", VLOOKUP(O1424, Reference!$A$2:$D$34, 3, FALSE) &lt;= P1424)
            ),
                "Exceeded",
                "OK"
            ),
            "No Regulation defined"
        )
    ),
    ""
)</f>
        <v/>
      </c>
      <c r="AB1424" s="62" t="str">
        <f t="shared" si="22"/>
        <v/>
      </c>
    </row>
    <row r="1425" spans="3:28" x14ac:dyDescent="0.2">
      <c r="C1425" s="69"/>
      <c r="D1425" s="70"/>
      <c r="S1425" s="34"/>
      <c r="T1425" s="60" t="str">
        <f>IF(P1425&lt;&gt;"",
    IF(OR(O1425="", Q1425="", R1425=""),
        "Fill all the required columns",
        IFERROR(
            IF(OR(
                AND(R1425="Marine Protected", VLOOKUP(O1425, Reference!$A$2:$D$34, 4, FALSE) &lt;= P1425),
                AND(R1425="General Use", VLOOKUP(O1425, Reference!$A$2:$D$34, 3, FALSE) &lt;= P1425)
            ),
                "Exceeded",
                "OK"
            ),
            "No Regulation defined"
        )
    ),
    ""
)</f>
        <v/>
      </c>
      <c r="AB1425" s="62" t="str">
        <f t="shared" si="22"/>
        <v/>
      </c>
    </row>
    <row r="1426" spans="3:28" x14ac:dyDescent="0.2">
      <c r="C1426" s="69"/>
      <c r="D1426" s="70"/>
      <c r="S1426" s="34"/>
      <c r="T1426" s="60" t="str">
        <f>IF(P1426&lt;&gt;"",
    IF(OR(O1426="", Q1426="", R1426=""),
        "Fill all the required columns",
        IFERROR(
            IF(OR(
                AND(R1426="Marine Protected", VLOOKUP(O1426, Reference!$A$2:$D$34, 4, FALSE) &lt;= P1426),
                AND(R1426="General Use", VLOOKUP(O1426, Reference!$A$2:$D$34, 3, FALSE) &lt;= P1426)
            ),
                "Exceeded",
                "OK"
            ),
            "No Regulation defined"
        )
    ),
    ""
)</f>
        <v/>
      </c>
      <c r="AB1426" s="62" t="str">
        <f t="shared" si="22"/>
        <v/>
      </c>
    </row>
    <row r="1427" spans="3:28" x14ac:dyDescent="0.2">
      <c r="C1427" s="69"/>
      <c r="D1427" s="70"/>
      <c r="S1427" s="34"/>
      <c r="T1427" s="60" t="str">
        <f>IF(P1427&lt;&gt;"",
    IF(OR(O1427="", Q1427="", R1427=""),
        "Fill all the required columns",
        IFERROR(
            IF(OR(
                AND(R1427="Marine Protected", VLOOKUP(O1427, Reference!$A$2:$D$34, 4, FALSE) &lt;= P1427),
                AND(R1427="General Use", VLOOKUP(O1427, Reference!$A$2:$D$34, 3, FALSE) &lt;= P1427)
            ),
                "Exceeded",
                "OK"
            ),
            "No Regulation defined"
        )
    ),
    ""
)</f>
        <v/>
      </c>
      <c r="AB1427" s="62" t="str">
        <f t="shared" si="22"/>
        <v/>
      </c>
    </row>
    <row r="1428" spans="3:28" x14ac:dyDescent="0.2">
      <c r="C1428" s="69"/>
      <c r="D1428" s="70"/>
      <c r="S1428" s="34"/>
      <c r="T1428" s="60" t="str">
        <f>IF(P1428&lt;&gt;"",
    IF(OR(O1428="", Q1428="", R1428=""),
        "Fill all the required columns",
        IFERROR(
            IF(OR(
                AND(R1428="Marine Protected", VLOOKUP(O1428, Reference!$A$2:$D$34, 4, FALSE) &lt;= P1428),
                AND(R1428="General Use", VLOOKUP(O1428, Reference!$A$2:$D$34, 3, FALSE) &lt;= P1428)
            ),
                "Exceeded",
                "OK"
            ),
            "No Regulation defined"
        )
    ),
    ""
)</f>
        <v/>
      </c>
      <c r="AB1428" s="62" t="str">
        <f t="shared" si="22"/>
        <v/>
      </c>
    </row>
    <row r="1429" spans="3:28" x14ac:dyDescent="0.2">
      <c r="C1429" s="69"/>
      <c r="D1429" s="70"/>
      <c r="S1429" s="34"/>
      <c r="T1429" s="60" t="str">
        <f>IF(P1429&lt;&gt;"",
    IF(OR(O1429="", Q1429="", R1429=""),
        "Fill all the required columns",
        IFERROR(
            IF(OR(
                AND(R1429="Marine Protected", VLOOKUP(O1429, Reference!$A$2:$D$34, 4, FALSE) &lt;= P1429),
                AND(R1429="General Use", VLOOKUP(O1429, Reference!$A$2:$D$34, 3, FALSE) &lt;= P1429)
            ),
                "Exceeded",
                "OK"
            ),
            "No Regulation defined"
        )
    ),
    ""
)</f>
        <v/>
      </c>
      <c r="AB1429" s="62" t="str">
        <f t="shared" si="22"/>
        <v/>
      </c>
    </row>
    <row r="1430" spans="3:28" x14ac:dyDescent="0.2">
      <c r="C1430" s="69"/>
      <c r="D1430" s="70"/>
      <c r="S1430" s="34"/>
      <c r="T1430" s="60" t="str">
        <f>IF(P1430&lt;&gt;"",
    IF(OR(O1430="", Q1430="", R1430=""),
        "Fill all the required columns",
        IFERROR(
            IF(OR(
                AND(R1430="Marine Protected", VLOOKUP(O1430, Reference!$A$2:$D$34, 4, FALSE) &lt;= P1430),
                AND(R1430="General Use", VLOOKUP(O1430, Reference!$A$2:$D$34, 3, FALSE) &lt;= P1430)
            ),
                "Exceeded",
                "OK"
            ),
            "No Regulation defined"
        )
    ),
    ""
)</f>
        <v/>
      </c>
      <c r="AB1430" s="62" t="str">
        <f t="shared" si="22"/>
        <v/>
      </c>
    </row>
    <row r="1431" spans="3:28" x14ac:dyDescent="0.2">
      <c r="C1431" s="69"/>
      <c r="D1431" s="70"/>
      <c r="S1431" s="34"/>
      <c r="T1431" s="60" t="str">
        <f>IF(P1431&lt;&gt;"",
    IF(OR(O1431="", Q1431="", R1431=""),
        "Fill all the required columns",
        IFERROR(
            IF(OR(
                AND(R1431="Marine Protected", VLOOKUP(O1431, Reference!$A$2:$D$34, 4, FALSE) &lt;= P1431),
                AND(R1431="General Use", VLOOKUP(O1431, Reference!$A$2:$D$34, 3, FALSE) &lt;= P1431)
            ),
                "Exceeded",
                "OK"
            ),
            "No Regulation defined"
        )
    ),
    ""
)</f>
        <v/>
      </c>
      <c r="AB1431" s="62" t="str">
        <f t="shared" si="22"/>
        <v/>
      </c>
    </row>
    <row r="1432" spans="3:28" x14ac:dyDescent="0.2">
      <c r="C1432" s="69"/>
      <c r="D1432" s="70"/>
      <c r="S1432" s="34"/>
      <c r="T1432" s="60" t="str">
        <f>IF(P1432&lt;&gt;"",
    IF(OR(O1432="", Q1432="", R1432=""),
        "Fill all the required columns",
        IFERROR(
            IF(OR(
                AND(R1432="Marine Protected", VLOOKUP(O1432, Reference!$A$2:$D$34, 4, FALSE) &lt;= P1432),
                AND(R1432="General Use", VLOOKUP(O1432, Reference!$A$2:$D$34, 3, FALSE) &lt;= P1432)
            ),
                "Exceeded",
                "OK"
            ),
            "No Regulation defined"
        )
    ),
    ""
)</f>
        <v/>
      </c>
      <c r="AB1432" s="62" t="str">
        <f t="shared" si="22"/>
        <v/>
      </c>
    </row>
    <row r="1433" spans="3:28" x14ac:dyDescent="0.2">
      <c r="C1433" s="69"/>
      <c r="D1433" s="70"/>
      <c r="S1433" s="34"/>
      <c r="T1433" s="60" t="str">
        <f>IF(P1433&lt;&gt;"",
    IF(OR(O1433="", Q1433="", R1433=""),
        "Fill all the required columns",
        IFERROR(
            IF(OR(
                AND(R1433="Marine Protected", VLOOKUP(O1433, Reference!$A$2:$D$34, 4, FALSE) &lt;= P1433),
                AND(R1433="General Use", VLOOKUP(O1433, Reference!$A$2:$D$34, 3, FALSE) &lt;= P1433)
            ),
                "Exceeded",
                "OK"
            ),
            "No Regulation defined"
        )
    ),
    ""
)</f>
        <v/>
      </c>
      <c r="AB1433" s="62" t="str">
        <f t="shared" si="22"/>
        <v/>
      </c>
    </row>
    <row r="1434" spans="3:28" x14ac:dyDescent="0.2">
      <c r="C1434" s="69"/>
      <c r="D1434" s="70"/>
      <c r="S1434" s="34"/>
      <c r="T1434" s="60" t="str">
        <f>IF(P1434&lt;&gt;"",
    IF(OR(O1434="", Q1434="", R1434=""),
        "Fill all the required columns",
        IFERROR(
            IF(OR(
                AND(R1434="Marine Protected", VLOOKUP(O1434, Reference!$A$2:$D$34, 4, FALSE) &lt;= P1434),
                AND(R1434="General Use", VLOOKUP(O1434, Reference!$A$2:$D$34, 3, FALSE) &lt;= P1434)
            ),
                "Exceeded",
                "OK"
            ),
            "No Regulation defined"
        )
    ),
    ""
)</f>
        <v/>
      </c>
      <c r="AB1434" s="62" t="str">
        <f t="shared" si="22"/>
        <v/>
      </c>
    </row>
    <row r="1435" spans="3:28" x14ac:dyDescent="0.2">
      <c r="C1435" s="69"/>
      <c r="D1435" s="70"/>
      <c r="S1435" s="34"/>
      <c r="T1435" s="60" t="str">
        <f>IF(P1435&lt;&gt;"",
    IF(OR(O1435="", Q1435="", R1435=""),
        "Fill all the required columns",
        IFERROR(
            IF(OR(
                AND(R1435="Marine Protected", VLOOKUP(O1435, Reference!$A$2:$D$34, 4, FALSE) &lt;= P1435),
                AND(R1435="General Use", VLOOKUP(O1435, Reference!$A$2:$D$34, 3, FALSE) &lt;= P1435)
            ),
                "Exceeded",
                "OK"
            ),
            "No Regulation defined"
        )
    ),
    ""
)</f>
        <v/>
      </c>
      <c r="AB1435" s="62" t="str">
        <f t="shared" si="22"/>
        <v/>
      </c>
    </row>
    <row r="1436" spans="3:28" x14ac:dyDescent="0.2">
      <c r="C1436" s="69"/>
      <c r="D1436" s="70"/>
      <c r="S1436" s="34"/>
      <c r="T1436" s="60" t="str">
        <f>IF(P1436&lt;&gt;"",
    IF(OR(O1436="", Q1436="", R1436=""),
        "Fill all the required columns",
        IFERROR(
            IF(OR(
                AND(R1436="Marine Protected", VLOOKUP(O1436, Reference!$A$2:$D$34, 4, FALSE) &lt;= P1436),
                AND(R1436="General Use", VLOOKUP(O1436, Reference!$A$2:$D$34, 3, FALSE) &lt;= P1436)
            ),
                "Exceeded",
                "OK"
            ),
            "No Regulation defined"
        )
    ),
    ""
)</f>
        <v/>
      </c>
      <c r="AB1436" s="62" t="str">
        <f t="shared" si="22"/>
        <v/>
      </c>
    </row>
    <row r="1437" spans="3:28" x14ac:dyDescent="0.2">
      <c r="C1437" s="69"/>
      <c r="D1437" s="70"/>
      <c r="S1437" s="34"/>
      <c r="T1437" s="60" t="str">
        <f>IF(P1437&lt;&gt;"",
    IF(OR(O1437="", Q1437="", R1437=""),
        "Fill all the required columns",
        IFERROR(
            IF(OR(
                AND(R1437="Marine Protected", VLOOKUP(O1437, Reference!$A$2:$D$34, 4, FALSE) &lt;= P1437),
                AND(R1437="General Use", VLOOKUP(O1437, Reference!$A$2:$D$34, 3, FALSE) &lt;= P1437)
            ),
                "Exceeded",
                "OK"
            ),
            "No Regulation defined"
        )
    ),
    ""
)</f>
        <v/>
      </c>
      <c r="AB1437" s="62" t="str">
        <f t="shared" si="22"/>
        <v/>
      </c>
    </row>
    <row r="1438" spans="3:28" x14ac:dyDescent="0.2">
      <c r="C1438" s="69"/>
      <c r="D1438" s="70"/>
      <c r="S1438" s="34"/>
      <c r="T1438" s="60" t="str">
        <f>IF(P1438&lt;&gt;"",
    IF(OR(O1438="", Q1438="", R1438=""),
        "Fill all the required columns",
        IFERROR(
            IF(OR(
                AND(R1438="Marine Protected", VLOOKUP(O1438, Reference!$A$2:$D$34, 4, FALSE) &lt;= P1438),
                AND(R1438="General Use", VLOOKUP(O1438, Reference!$A$2:$D$34, 3, FALSE) &lt;= P1438)
            ),
                "Exceeded",
                "OK"
            ),
            "No Regulation defined"
        )
    ),
    ""
)</f>
        <v/>
      </c>
      <c r="AB1438" s="62" t="str">
        <f t="shared" si="22"/>
        <v/>
      </c>
    </row>
    <row r="1439" spans="3:28" x14ac:dyDescent="0.2">
      <c r="C1439" s="69"/>
      <c r="D1439" s="70"/>
      <c r="S1439" s="34"/>
      <c r="T1439" s="60" t="str">
        <f>IF(P1439&lt;&gt;"",
    IF(OR(O1439="", Q1439="", R1439=""),
        "Fill all the required columns",
        IFERROR(
            IF(OR(
                AND(R1439="Marine Protected", VLOOKUP(O1439, Reference!$A$2:$D$34, 4, FALSE) &lt;= P1439),
                AND(R1439="General Use", VLOOKUP(O1439, Reference!$A$2:$D$34, 3, FALSE) &lt;= P1439)
            ),
                "Exceeded",
                "OK"
            ),
            "No Regulation defined"
        )
    ),
    ""
)</f>
        <v/>
      </c>
      <c r="AB1439" s="62" t="str">
        <f t="shared" si="22"/>
        <v/>
      </c>
    </row>
    <row r="1440" spans="3:28" x14ac:dyDescent="0.2">
      <c r="C1440" s="69"/>
      <c r="D1440" s="70"/>
      <c r="S1440" s="34"/>
      <c r="T1440" s="60" t="str">
        <f>IF(P1440&lt;&gt;"",
    IF(OR(O1440="", Q1440="", R1440=""),
        "Fill all the required columns",
        IFERROR(
            IF(OR(
                AND(R1440="Marine Protected", VLOOKUP(O1440, Reference!$A$2:$D$34, 4, FALSE) &lt;= P1440),
                AND(R1440="General Use", VLOOKUP(O1440, Reference!$A$2:$D$34, 3, FALSE) &lt;= P1440)
            ),
                "Exceeded",
                "OK"
            ),
            "No Regulation defined"
        )
    ),
    ""
)</f>
        <v/>
      </c>
      <c r="AB1440" s="62" t="str">
        <f t="shared" si="22"/>
        <v/>
      </c>
    </row>
    <row r="1441" spans="3:28" x14ac:dyDescent="0.2">
      <c r="C1441" s="69"/>
      <c r="D1441" s="70"/>
      <c r="S1441" s="34"/>
      <c r="T1441" s="60" t="str">
        <f>IF(P1441&lt;&gt;"",
    IF(OR(O1441="", Q1441="", R1441=""),
        "Fill all the required columns",
        IFERROR(
            IF(OR(
                AND(R1441="Marine Protected", VLOOKUP(O1441, Reference!$A$2:$D$34, 4, FALSE) &lt;= P1441),
                AND(R1441="General Use", VLOOKUP(O1441, Reference!$A$2:$D$34, 3, FALSE) &lt;= P1441)
            ),
                "Exceeded",
                "OK"
            ),
            "No Regulation defined"
        )
    ),
    ""
)</f>
        <v/>
      </c>
      <c r="AB1441" s="62" t="str">
        <f t="shared" si="22"/>
        <v/>
      </c>
    </row>
    <row r="1442" spans="3:28" x14ac:dyDescent="0.2">
      <c r="C1442" s="69"/>
      <c r="D1442" s="70"/>
      <c r="S1442" s="34"/>
      <c r="T1442" s="60" t="str">
        <f>IF(P1442&lt;&gt;"",
    IF(OR(O1442="", Q1442="", R1442=""),
        "Fill all the required columns",
        IFERROR(
            IF(OR(
                AND(R1442="Marine Protected", VLOOKUP(O1442, Reference!$A$2:$D$34, 4, FALSE) &lt;= P1442),
                AND(R1442="General Use", VLOOKUP(O1442, Reference!$A$2:$D$34, 3, FALSE) &lt;= P1442)
            ),
                "Exceeded",
                "OK"
            ),
            "No Regulation defined"
        )
    ),
    ""
)</f>
        <v/>
      </c>
      <c r="AB1442" s="62" t="str">
        <f t="shared" si="22"/>
        <v/>
      </c>
    </row>
    <row r="1443" spans="3:28" x14ac:dyDescent="0.2">
      <c r="C1443" s="69"/>
      <c r="D1443" s="70"/>
      <c r="S1443" s="34"/>
      <c r="T1443" s="60" t="str">
        <f>IF(P1443&lt;&gt;"",
    IF(OR(O1443="", Q1443="", R1443=""),
        "Fill all the required columns",
        IFERROR(
            IF(OR(
                AND(R1443="Marine Protected", VLOOKUP(O1443, Reference!$A$2:$D$34, 4, FALSE) &lt;= P1443),
                AND(R1443="General Use", VLOOKUP(O1443, Reference!$A$2:$D$34, 3, FALSE) &lt;= P1443)
            ),
                "Exceeded",
                "OK"
            ),
            "No Regulation defined"
        )
    ),
    ""
)</f>
        <v/>
      </c>
      <c r="AB1443" s="62" t="str">
        <f t="shared" si="22"/>
        <v/>
      </c>
    </row>
    <row r="1444" spans="3:28" x14ac:dyDescent="0.2">
      <c r="C1444" s="69"/>
      <c r="D1444" s="70"/>
      <c r="S1444" s="34"/>
      <c r="T1444" s="60" t="str">
        <f>IF(P1444&lt;&gt;"",
    IF(OR(O1444="", Q1444="", R1444=""),
        "Fill all the required columns",
        IFERROR(
            IF(OR(
                AND(R1444="Marine Protected", VLOOKUP(O1444, Reference!$A$2:$D$34, 4, FALSE) &lt;= P1444),
                AND(R1444="General Use", VLOOKUP(O1444, Reference!$A$2:$D$34, 3, FALSE) &lt;= P1444)
            ),
                "Exceeded",
                "OK"
            ),
            "No Regulation defined"
        )
    ),
    ""
)</f>
        <v/>
      </c>
      <c r="AB1444" s="62" t="str">
        <f t="shared" si="22"/>
        <v/>
      </c>
    </row>
    <row r="1445" spans="3:28" x14ac:dyDescent="0.2">
      <c r="C1445" s="69"/>
      <c r="D1445" s="70"/>
      <c r="S1445" s="34"/>
      <c r="T1445" s="60" t="str">
        <f>IF(P1445&lt;&gt;"",
    IF(OR(O1445="", Q1445="", R1445=""),
        "Fill all the required columns",
        IFERROR(
            IF(OR(
                AND(R1445="Marine Protected", VLOOKUP(O1445, Reference!$A$2:$D$34, 4, FALSE) &lt;= P1445),
                AND(R1445="General Use", VLOOKUP(O1445, Reference!$A$2:$D$34, 3, FALSE) &lt;= P1445)
            ),
                "Exceeded",
                "OK"
            ),
            "No Regulation defined"
        )
    ),
    ""
)</f>
        <v/>
      </c>
      <c r="AB1445" s="62" t="str">
        <f t="shared" si="22"/>
        <v/>
      </c>
    </row>
    <row r="1446" spans="3:28" x14ac:dyDescent="0.2">
      <c r="C1446" s="69"/>
      <c r="D1446" s="70"/>
      <c r="S1446" s="34"/>
      <c r="T1446" s="60" t="str">
        <f>IF(P1446&lt;&gt;"",
    IF(OR(O1446="", Q1446="", R1446=""),
        "Fill all the required columns",
        IFERROR(
            IF(OR(
                AND(R1446="Marine Protected", VLOOKUP(O1446, Reference!$A$2:$D$34, 4, FALSE) &lt;= P1446),
                AND(R1446="General Use", VLOOKUP(O1446, Reference!$A$2:$D$34, 3, FALSE) &lt;= P1446)
            ),
                "Exceeded",
                "OK"
            ),
            "No Regulation defined"
        )
    ),
    ""
)</f>
        <v/>
      </c>
      <c r="AB1446" s="62" t="str">
        <f t="shared" si="22"/>
        <v/>
      </c>
    </row>
    <row r="1447" spans="3:28" x14ac:dyDescent="0.2">
      <c r="C1447" s="69"/>
      <c r="D1447" s="70"/>
      <c r="S1447" s="34"/>
      <c r="T1447" s="60" t="str">
        <f>IF(P1447&lt;&gt;"",
    IF(OR(O1447="", Q1447="", R1447=""),
        "Fill all the required columns",
        IFERROR(
            IF(OR(
                AND(R1447="Marine Protected", VLOOKUP(O1447, Reference!$A$2:$D$34, 4, FALSE) &lt;= P1447),
                AND(R1447="General Use", VLOOKUP(O1447, Reference!$A$2:$D$34, 3, FALSE) &lt;= P1447)
            ),
                "Exceeded",
                "OK"
            ),
            "No Regulation defined"
        )
    ),
    ""
)</f>
        <v/>
      </c>
      <c r="AB1447" s="62" t="str">
        <f t="shared" si="22"/>
        <v/>
      </c>
    </row>
    <row r="1448" spans="3:28" x14ac:dyDescent="0.2">
      <c r="C1448" s="69"/>
      <c r="D1448" s="70"/>
      <c r="S1448" s="34"/>
      <c r="T1448" s="60" t="str">
        <f>IF(P1448&lt;&gt;"",
    IF(OR(O1448="", Q1448="", R1448=""),
        "Fill all the required columns",
        IFERROR(
            IF(OR(
                AND(R1448="Marine Protected", VLOOKUP(O1448, Reference!$A$2:$D$34, 4, FALSE) &lt;= P1448),
                AND(R1448="General Use", VLOOKUP(O1448, Reference!$A$2:$D$34, 3, FALSE) &lt;= P1448)
            ),
                "Exceeded",
                "OK"
            ),
            "No Regulation defined"
        )
    ),
    ""
)</f>
        <v/>
      </c>
      <c r="AB1448" s="62" t="str">
        <f t="shared" si="22"/>
        <v/>
      </c>
    </row>
    <row r="1449" spans="3:28" x14ac:dyDescent="0.2">
      <c r="C1449" s="69"/>
      <c r="D1449" s="70"/>
      <c r="S1449" s="34"/>
      <c r="T1449" s="60" t="str">
        <f>IF(P1449&lt;&gt;"",
    IF(OR(O1449="", Q1449="", R1449=""),
        "Fill all the required columns",
        IFERROR(
            IF(OR(
                AND(R1449="Marine Protected", VLOOKUP(O1449, Reference!$A$2:$D$34, 4, FALSE) &lt;= P1449),
                AND(R1449="General Use", VLOOKUP(O1449, Reference!$A$2:$D$34, 3, FALSE) &lt;= P1449)
            ),
                "Exceeded",
                "OK"
            ),
            "No Regulation defined"
        )
    ),
    ""
)</f>
        <v/>
      </c>
      <c r="AB1449" s="62" t="str">
        <f t="shared" si="22"/>
        <v/>
      </c>
    </row>
    <row r="1450" spans="3:28" x14ac:dyDescent="0.2">
      <c r="C1450" s="69"/>
      <c r="D1450" s="70"/>
      <c r="S1450" s="34"/>
      <c r="T1450" s="60" t="str">
        <f>IF(P1450&lt;&gt;"",
    IF(OR(O1450="", Q1450="", R1450=""),
        "Fill all the required columns",
        IFERROR(
            IF(OR(
                AND(R1450="Marine Protected", VLOOKUP(O1450, Reference!$A$2:$D$34, 4, FALSE) &lt;= P1450),
                AND(R1450="General Use", VLOOKUP(O1450, Reference!$A$2:$D$34, 3, FALSE) &lt;= P1450)
            ),
                "Exceeded",
                "OK"
            ),
            "No Regulation defined"
        )
    ),
    ""
)</f>
        <v/>
      </c>
      <c r="AB1450" s="62" t="str">
        <f t="shared" si="22"/>
        <v/>
      </c>
    </row>
    <row r="1451" spans="3:28" x14ac:dyDescent="0.2">
      <c r="C1451" s="69"/>
      <c r="D1451" s="70"/>
      <c r="S1451" s="34"/>
      <c r="T1451" s="60" t="str">
        <f>IF(P1451&lt;&gt;"",
    IF(OR(O1451="", Q1451="", R1451=""),
        "Fill all the required columns",
        IFERROR(
            IF(OR(
                AND(R1451="Marine Protected", VLOOKUP(O1451, Reference!$A$2:$D$34, 4, FALSE) &lt;= P1451),
                AND(R1451="General Use", VLOOKUP(O1451, Reference!$A$2:$D$34, 3, FALSE) &lt;= P1451)
            ),
                "Exceeded",
                "OK"
            ),
            "No Regulation defined"
        )
    ),
    ""
)</f>
        <v/>
      </c>
      <c r="AB1451" s="62" t="str">
        <f t="shared" si="22"/>
        <v/>
      </c>
    </row>
    <row r="1452" spans="3:28" x14ac:dyDescent="0.2">
      <c r="C1452" s="69"/>
      <c r="D1452" s="70"/>
      <c r="S1452" s="34"/>
      <c r="T1452" s="60" t="str">
        <f>IF(P1452&lt;&gt;"",
    IF(OR(O1452="", Q1452="", R1452=""),
        "Fill all the required columns",
        IFERROR(
            IF(OR(
                AND(R1452="Marine Protected", VLOOKUP(O1452, Reference!$A$2:$D$34, 4, FALSE) &lt;= P1452),
                AND(R1452="General Use", VLOOKUP(O1452, Reference!$A$2:$D$34, 3, FALSE) &lt;= P1452)
            ),
                "Exceeded",
                "OK"
            ),
            "No Regulation defined"
        )
    ),
    ""
)</f>
        <v/>
      </c>
      <c r="AB1452" s="62" t="str">
        <f t="shared" si="22"/>
        <v/>
      </c>
    </row>
    <row r="1453" spans="3:28" x14ac:dyDescent="0.2">
      <c r="C1453" s="69"/>
      <c r="D1453" s="70"/>
      <c r="S1453" s="34"/>
      <c r="T1453" s="60" t="str">
        <f>IF(P1453&lt;&gt;"",
    IF(OR(O1453="", Q1453="", R1453=""),
        "Fill all the required columns",
        IFERROR(
            IF(OR(
                AND(R1453="Marine Protected", VLOOKUP(O1453, Reference!$A$2:$D$34, 4, FALSE) &lt;= P1453),
                AND(R1453="General Use", VLOOKUP(O1453, Reference!$A$2:$D$34, 3, FALSE) &lt;= P1453)
            ),
                "Exceeded",
                "OK"
            ),
            "No Regulation defined"
        )
    ),
    ""
)</f>
        <v/>
      </c>
      <c r="AB1453" s="62" t="str">
        <f t="shared" si="22"/>
        <v/>
      </c>
    </row>
    <row r="1454" spans="3:28" x14ac:dyDescent="0.2">
      <c r="C1454" s="69"/>
      <c r="D1454" s="70"/>
      <c r="S1454" s="34"/>
      <c r="T1454" s="60" t="str">
        <f>IF(P1454&lt;&gt;"",
    IF(OR(O1454="", Q1454="", R1454=""),
        "Fill all the required columns",
        IFERROR(
            IF(OR(
                AND(R1454="Marine Protected", VLOOKUP(O1454, Reference!$A$2:$D$34, 4, FALSE) &lt;= P1454),
                AND(R1454="General Use", VLOOKUP(O1454, Reference!$A$2:$D$34, 3, FALSE) &lt;= P1454)
            ),
                "Exceeded",
                "OK"
            ),
            "No Regulation defined"
        )
    ),
    ""
)</f>
        <v/>
      </c>
      <c r="AB1454" s="62" t="str">
        <f t="shared" si="22"/>
        <v/>
      </c>
    </row>
    <row r="1455" spans="3:28" x14ac:dyDescent="0.2">
      <c r="C1455" s="69"/>
      <c r="D1455" s="70"/>
      <c r="S1455" s="34"/>
      <c r="T1455" s="60" t="str">
        <f>IF(P1455&lt;&gt;"",
    IF(OR(O1455="", Q1455="", R1455=""),
        "Fill all the required columns",
        IFERROR(
            IF(OR(
                AND(R1455="Marine Protected", VLOOKUP(O1455, Reference!$A$2:$D$34, 4, FALSE) &lt;= P1455),
                AND(R1455="General Use", VLOOKUP(O1455, Reference!$A$2:$D$34, 3, FALSE) &lt;= P1455)
            ),
                "Exceeded",
                "OK"
            ),
            "No Regulation defined"
        )
    ),
    ""
)</f>
        <v/>
      </c>
      <c r="AB1455" s="62" t="str">
        <f t="shared" si="22"/>
        <v/>
      </c>
    </row>
    <row r="1456" spans="3:28" x14ac:dyDescent="0.2">
      <c r="C1456" s="69"/>
      <c r="D1456" s="70"/>
      <c r="S1456" s="34"/>
      <c r="T1456" s="60" t="str">
        <f>IF(P1456&lt;&gt;"",
    IF(OR(O1456="", Q1456="", R1456=""),
        "Fill all the required columns",
        IFERROR(
            IF(OR(
                AND(R1456="Marine Protected", VLOOKUP(O1456, Reference!$A$2:$D$34, 4, FALSE) &lt;= P1456),
                AND(R1456="General Use", VLOOKUP(O1456, Reference!$A$2:$D$34, 3, FALSE) &lt;= P1456)
            ),
                "Exceeded",
                "OK"
            ),
            "No Regulation defined"
        )
    ),
    ""
)</f>
        <v/>
      </c>
      <c r="AB1456" s="62" t="str">
        <f t="shared" si="22"/>
        <v/>
      </c>
    </row>
    <row r="1457" spans="3:28" x14ac:dyDescent="0.2">
      <c r="C1457" s="69"/>
      <c r="D1457" s="70"/>
      <c r="S1457" s="34"/>
      <c r="T1457" s="60" t="str">
        <f>IF(P1457&lt;&gt;"",
    IF(OR(O1457="", Q1457="", R1457=""),
        "Fill all the required columns",
        IFERROR(
            IF(OR(
                AND(R1457="Marine Protected", VLOOKUP(O1457, Reference!$A$2:$D$34, 4, FALSE) &lt;= P1457),
                AND(R1457="General Use", VLOOKUP(O1457, Reference!$A$2:$D$34, 3, FALSE) &lt;= P1457)
            ),
                "Exceeded",
                "OK"
            ),
            "No Regulation defined"
        )
    ),
    ""
)</f>
        <v/>
      </c>
      <c r="AB1457" s="62" t="str">
        <f t="shared" si="22"/>
        <v/>
      </c>
    </row>
    <row r="1458" spans="3:28" x14ac:dyDescent="0.2">
      <c r="C1458" s="69"/>
      <c r="D1458" s="70"/>
      <c r="S1458" s="34"/>
      <c r="T1458" s="60" t="str">
        <f>IF(P1458&lt;&gt;"",
    IF(OR(O1458="", Q1458="", R1458=""),
        "Fill all the required columns",
        IFERROR(
            IF(OR(
                AND(R1458="Marine Protected", VLOOKUP(O1458, Reference!$A$2:$D$34, 4, FALSE) &lt;= P1458),
                AND(R1458="General Use", VLOOKUP(O1458, Reference!$A$2:$D$34, 3, FALSE) &lt;= P1458)
            ),
                "Exceeded",
                "OK"
            ),
            "No Regulation defined"
        )
    ),
    ""
)</f>
        <v/>
      </c>
      <c r="AB1458" s="62" t="str">
        <f t="shared" si="22"/>
        <v/>
      </c>
    </row>
    <row r="1459" spans="3:28" x14ac:dyDescent="0.2">
      <c r="C1459" s="69"/>
      <c r="D1459" s="70"/>
      <c r="S1459" s="34"/>
      <c r="T1459" s="60" t="str">
        <f>IF(P1459&lt;&gt;"",
    IF(OR(O1459="", Q1459="", R1459=""),
        "Fill all the required columns",
        IFERROR(
            IF(OR(
                AND(R1459="Marine Protected", VLOOKUP(O1459, Reference!$A$2:$D$34, 4, FALSE) &lt;= P1459),
                AND(R1459="General Use", VLOOKUP(O1459, Reference!$A$2:$D$34, 3, FALSE) &lt;= P1459)
            ),
                "Exceeded",
                "OK"
            ),
            "No Regulation defined"
        )
    ),
    ""
)</f>
        <v/>
      </c>
      <c r="AB1459" s="62" t="str">
        <f t="shared" si="22"/>
        <v/>
      </c>
    </row>
    <row r="1460" spans="3:28" x14ac:dyDescent="0.2">
      <c r="C1460" s="69"/>
      <c r="D1460" s="70"/>
      <c r="S1460" s="34"/>
      <c r="T1460" s="60" t="str">
        <f>IF(P1460&lt;&gt;"",
    IF(OR(O1460="", Q1460="", R1460=""),
        "Fill all the required columns",
        IFERROR(
            IF(OR(
                AND(R1460="Marine Protected", VLOOKUP(O1460, Reference!$A$2:$D$34, 4, FALSE) &lt;= P1460),
                AND(R1460="General Use", VLOOKUP(O1460, Reference!$A$2:$D$34, 3, FALSE) &lt;= P1460)
            ),
                "Exceeded",
                "OK"
            ),
            "No Regulation defined"
        )
    ),
    ""
)</f>
        <v/>
      </c>
      <c r="AB1460" s="62" t="str">
        <f t="shared" si="22"/>
        <v/>
      </c>
    </row>
    <row r="1461" spans="3:28" x14ac:dyDescent="0.2">
      <c r="C1461" s="69"/>
      <c r="D1461" s="70"/>
      <c r="S1461" s="34"/>
      <c r="T1461" s="60" t="str">
        <f>IF(P1461&lt;&gt;"",
    IF(OR(O1461="", Q1461="", R1461=""),
        "Fill all the required columns",
        IFERROR(
            IF(OR(
                AND(R1461="Marine Protected", VLOOKUP(O1461, Reference!$A$2:$D$34, 4, FALSE) &lt;= P1461),
                AND(R1461="General Use", VLOOKUP(O1461, Reference!$A$2:$D$34, 3, FALSE) &lt;= P1461)
            ),
                "Exceeded",
                "OK"
            ),
            "No Regulation defined"
        )
    ),
    ""
)</f>
        <v/>
      </c>
      <c r="AB1461" s="62" t="str">
        <f t="shared" si="22"/>
        <v/>
      </c>
    </row>
    <row r="1462" spans="3:28" x14ac:dyDescent="0.2">
      <c r="C1462" s="69"/>
      <c r="D1462" s="70"/>
      <c r="S1462" s="34"/>
      <c r="T1462" s="60" t="str">
        <f>IF(P1462&lt;&gt;"",
    IF(OR(O1462="", Q1462="", R1462=""),
        "Fill all the required columns",
        IFERROR(
            IF(OR(
                AND(R1462="Marine Protected", VLOOKUP(O1462, Reference!$A$2:$D$34, 4, FALSE) &lt;= P1462),
                AND(R1462="General Use", VLOOKUP(O1462, Reference!$A$2:$D$34, 3, FALSE) &lt;= P1462)
            ),
                "Exceeded",
                "OK"
            ),
            "No Regulation defined"
        )
    ),
    ""
)</f>
        <v/>
      </c>
      <c r="AB1462" s="62" t="str">
        <f t="shared" si="22"/>
        <v/>
      </c>
    </row>
    <row r="1463" spans="3:28" x14ac:dyDescent="0.2">
      <c r="C1463" s="69"/>
      <c r="D1463" s="70"/>
      <c r="S1463" s="34"/>
      <c r="T1463" s="60" t="str">
        <f>IF(P1463&lt;&gt;"",
    IF(OR(O1463="", Q1463="", R1463=""),
        "Fill all the required columns",
        IFERROR(
            IF(OR(
                AND(R1463="Marine Protected", VLOOKUP(O1463, Reference!$A$2:$D$34, 4, FALSE) &lt;= P1463),
                AND(R1463="General Use", VLOOKUP(O1463, Reference!$A$2:$D$34, 3, FALSE) &lt;= P1463)
            ),
                "Exceeded",
                "OK"
            ),
            "No Regulation defined"
        )
    ),
    ""
)</f>
        <v/>
      </c>
      <c r="AB1463" s="62" t="str">
        <f t="shared" si="22"/>
        <v/>
      </c>
    </row>
    <row r="1464" spans="3:28" x14ac:dyDescent="0.2">
      <c r="C1464" s="69"/>
      <c r="D1464" s="70"/>
      <c r="S1464" s="34"/>
      <c r="T1464" s="60" t="str">
        <f>IF(P1464&lt;&gt;"",
    IF(OR(O1464="", Q1464="", R1464=""),
        "Fill all the required columns",
        IFERROR(
            IF(OR(
                AND(R1464="Marine Protected", VLOOKUP(O1464, Reference!$A$2:$D$34, 4, FALSE) &lt;= P1464),
                AND(R1464="General Use", VLOOKUP(O1464, Reference!$A$2:$D$34, 3, FALSE) &lt;= P1464)
            ),
                "Exceeded",
                "OK"
            ),
            "No Regulation defined"
        )
    ),
    ""
)</f>
        <v/>
      </c>
      <c r="AB1464" s="62" t="str">
        <f t="shared" si="22"/>
        <v/>
      </c>
    </row>
    <row r="1465" spans="3:28" x14ac:dyDescent="0.2">
      <c r="C1465" s="69"/>
      <c r="D1465" s="70"/>
      <c r="S1465" s="34"/>
      <c r="T1465" s="60" t="str">
        <f>IF(P1465&lt;&gt;"",
    IF(OR(O1465="", Q1465="", R1465=""),
        "Fill all the required columns",
        IFERROR(
            IF(OR(
                AND(R1465="Marine Protected", VLOOKUP(O1465, Reference!$A$2:$D$34, 4, FALSE) &lt;= P1465),
                AND(R1465="General Use", VLOOKUP(O1465, Reference!$A$2:$D$34, 3, FALSE) &lt;= P1465)
            ),
                "Exceeded",
                "OK"
            ),
            "No Regulation defined"
        )
    ),
    ""
)</f>
        <v/>
      </c>
      <c r="AB1465" s="62" t="str">
        <f t="shared" si="22"/>
        <v/>
      </c>
    </row>
    <row r="1466" spans="3:28" x14ac:dyDescent="0.2">
      <c r="C1466" s="69"/>
      <c r="D1466" s="70"/>
      <c r="S1466" s="34"/>
      <c r="T1466" s="60" t="str">
        <f>IF(P1466&lt;&gt;"",
    IF(OR(O1466="", Q1466="", R1466=""),
        "Fill all the required columns",
        IFERROR(
            IF(OR(
                AND(R1466="Marine Protected", VLOOKUP(O1466, Reference!$A$2:$D$34, 4, FALSE) &lt;= P1466),
                AND(R1466="General Use", VLOOKUP(O1466, Reference!$A$2:$D$34, 3, FALSE) &lt;= P1466)
            ),
                "Exceeded",
                "OK"
            ),
            "No Regulation defined"
        )
    ),
    ""
)</f>
        <v/>
      </c>
      <c r="AB1466" s="62" t="str">
        <f t="shared" si="22"/>
        <v/>
      </c>
    </row>
    <row r="1467" spans="3:28" x14ac:dyDescent="0.2">
      <c r="C1467" s="69"/>
      <c r="D1467" s="70"/>
      <c r="S1467" s="34"/>
      <c r="T1467" s="60" t="str">
        <f>IF(P1467&lt;&gt;"",
    IF(OR(O1467="", Q1467="", R1467=""),
        "Fill all the required columns",
        IFERROR(
            IF(OR(
                AND(R1467="Marine Protected", VLOOKUP(O1467, Reference!$A$2:$D$34, 4, FALSE) &lt;= P1467),
                AND(R1467="General Use", VLOOKUP(O1467, Reference!$A$2:$D$34, 3, FALSE) &lt;= P1467)
            ),
                "Exceeded",
                "OK"
            ),
            "No Regulation defined"
        )
    ),
    ""
)</f>
        <v/>
      </c>
      <c r="AB1467" s="62" t="str">
        <f t="shared" si="22"/>
        <v/>
      </c>
    </row>
    <row r="1468" spans="3:28" x14ac:dyDescent="0.2">
      <c r="C1468" s="69"/>
      <c r="D1468" s="70"/>
      <c r="S1468" s="34"/>
      <c r="T1468" s="60" t="str">
        <f>IF(P1468&lt;&gt;"",
    IF(OR(O1468="", Q1468="", R1468=""),
        "Fill all the required columns",
        IFERROR(
            IF(OR(
                AND(R1468="Marine Protected", VLOOKUP(O1468, Reference!$A$2:$D$34, 4, FALSE) &lt;= P1468),
                AND(R1468="General Use", VLOOKUP(O1468, Reference!$A$2:$D$34, 3, FALSE) &lt;= P1468)
            ),
                "Exceeded",
                "OK"
            ),
            "No Regulation defined"
        )
    ),
    ""
)</f>
        <v/>
      </c>
      <c r="AB1468" s="62" t="str">
        <f t="shared" si="22"/>
        <v/>
      </c>
    </row>
    <row r="1469" spans="3:28" x14ac:dyDescent="0.2">
      <c r="C1469" s="69"/>
      <c r="D1469" s="70"/>
      <c r="S1469" s="34"/>
      <c r="T1469" s="60" t="str">
        <f>IF(P1469&lt;&gt;"",
    IF(OR(O1469="", Q1469="", R1469=""),
        "Fill all the required columns",
        IFERROR(
            IF(OR(
                AND(R1469="Marine Protected", VLOOKUP(O1469, Reference!$A$2:$D$34, 4, FALSE) &lt;= P1469),
                AND(R1469="General Use", VLOOKUP(O1469, Reference!$A$2:$D$34, 3, FALSE) &lt;= P1469)
            ),
                "Exceeded",
                "OK"
            ),
            "No Regulation defined"
        )
    ),
    ""
)</f>
        <v/>
      </c>
      <c r="AB1469" s="62" t="str">
        <f t="shared" si="22"/>
        <v/>
      </c>
    </row>
    <row r="1470" spans="3:28" x14ac:dyDescent="0.2">
      <c r="C1470" s="69"/>
      <c r="D1470" s="70"/>
      <c r="S1470" s="34"/>
      <c r="T1470" s="60" t="str">
        <f>IF(P1470&lt;&gt;"",
    IF(OR(O1470="", Q1470="", R1470=""),
        "Fill all the required columns",
        IFERROR(
            IF(OR(
                AND(R1470="Marine Protected", VLOOKUP(O1470, Reference!$A$2:$D$34, 4, FALSE) &lt;= P1470),
                AND(R1470="General Use", VLOOKUP(O1470, Reference!$A$2:$D$34, 3, FALSE) &lt;= P1470)
            ),
                "Exceeded",
                "OK"
            ),
            "No Regulation defined"
        )
    ),
    ""
)</f>
        <v/>
      </c>
      <c r="AB1470" s="62" t="str">
        <f t="shared" si="22"/>
        <v/>
      </c>
    </row>
    <row r="1471" spans="3:28" x14ac:dyDescent="0.2">
      <c r="C1471" s="69"/>
      <c r="D1471" s="70"/>
      <c r="S1471" s="34"/>
      <c r="T1471" s="60" t="str">
        <f>IF(P1471&lt;&gt;"",
    IF(OR(O1471="", Q1471="", R1471=""),
        "Fill all the required columns",
        IFERROR(
            IF(OR(
                AND(R1471="Marine Protected", VLOOKUP(O1471, Reference!$A$2:$D$34, 4, FALSE) &lt;= P1471),
                AND(R1471="General Use", VLOOKUP(O1471, Reference!$A$2:$D$34, 3, FALSE) &lt;= P1471)
            ),
                "Exceeded",
                "OK"
            ),
            "No Regulation defined"
        )
    ),
    ""
)</f>
        <v/>
      </c>
      <c r="AB1471" s="62" t="str">
        <f t="shared" si="22"/>
        <v/>
      </c>
    </row>
    <row r="1472" spans="3:28" x14ac:dyDescent="0.2">
      <c r="C1472" s="69"/>
      <c r="D1472" s="70"/>
      <c r="S1472" s="34"/>
      <c r="T1472" s="60" t="str">
        <f>IF(P1472&lt;&gt;"",
    IF(OR(O1472="", Q1472="", R1472=""),
        "Fill all the required columns",
        IFERROR(
            IF(OR(
                AND(R1472="Marine Protected", VLOOKUP(O1472, Reference!$A$2:$D$34, 4, FALSE) &lt;= P1472),
                AND(R1472="General Use", VLOOKUP(O1472, Reference!$A$2:$D$34, 3, FALSE) &lt;= P1472)
            ),
                "Exceeded",
                "OK"
            ),
            "No Regulation defined"
        )
    ),
    ""
)</f>
        <v/>
      </c>
      <c r="AB1472" s="62" t="str">
        <f t="shared" si="22"/>
        <v/>
      </c>
    </row>
    <row r="1473" spans="3:28" x14ac:dyDescent="0.2">
      <c r="C1473" s="69"/>
      <c r="D1473" s="70"/>
      <c r="S1473" s="34"/>
      <c r="T1473" s="60" t="str">
        <f>IF(P1473&lt;&gt;"",
    IF(OR(O1473="", Q1473="", R1473=""),
        "Fill all the required columns",
        IFERROR(
            IF(OR(
                AND(R1473="Marine Protected", VLOOKUP(O1473, Reference!$A$2:$D$34, 4, FALSE) &lt;= P1473),
                AND(R1473="General Use", VLOOKUP(O1473, Reference!$A$2:$D$34, 3, FALSE) &lt;= P1473)
            ),
                "Exceeded",
                "OK"
            ),
            "No Regulation defined"
        )
    ),
    ""
)</f>
        <v/>
      </c>
      <c r="AB1473" s="62" t="str">
        <f t="shared" si="22"/>
        <v/>
      </c>
    </row>
    <row r="1474" spans="3:28" x14ac:dyDescent="0.2">
      <c r="C1474" s="69"/>
      <c r="D1474" s="70"/>
      <c r="S1474" s="34"/>
      <c r="T1474" s="60" t="str">
        <f>IF(P1474&lt;&gt;"",
    IF(OR(O1474="", Q1474="", R1474=""),
        "Fill all the required columns",
        IFERROR(
            IF(OR(
                AND(R1474="Marine Protected", VLOOKUP(O1474, Reference!$A$2:$D$34, 4, FALSE) &lt;= P1474),
                AND(R1474="General Use", VLOOKUP(O1474, Reference!$A$2:$D$34, 3, FALSE) &lt;= P1474)
            ),
                "Exceeded",
                "OK"
            ),
            "No Regulation defined"
        )
    ),
    ""
)</f>
        <v/>
      </c>
      <c r="AB1474" s="62" t="str">
        <f t="shared" si="22"/>
        <v/>
      </c>
    </row>
    <row r="1475" spans="3:28" x14ac:dyDescent="0.2">
      <c r="C1475" s="69"/>
      <c r="D1475" s="70"/>
      <c r="S1475" s="34"/>
      <c r="T1475" s="60" t="str">
        <f>IF(P1475&lt;&gt;"",
    IF(OR(O1475="", Q1475="", R1475=""),
        "Fill all the required columns",
        IFERROR(
            IF(OR(
                AND(R1475="Marine Protected", VLOOKUP(O1475, Reference!$A$2:$D$34, 4, FALSE) &lt;= P1475),
                AND(R1475="General Use", VLOOKUP(O1475, Reference!$A$2:$D$34, 3, FALSE) &lt;= P1475)
            ),
                "Exceeded",
                "OK"
            ),
            "No Regulation defined"
        )
    ),
    ""
)</f>
        <v/>
      </c>
      <c r="AB1475" s="62" t="str">
        <f t="shared" ref="AB1475:AB1538" si="23">IF(COUNTA(A1475, E1475, F1475, H1475, I1475, O1475, P1475, Q1475, R1475,S1475) = 0, "", IF(COUNTA(A1475, E1475, F1475, H1475, I1475, O1475, P1475, Q1475, R1475,S1475) = 10, "OK", "Incomplete"))</f>
        <v/>
      </c>
    </row>
    <row r="1476" spans="3:28" x14ac:dyDescent="0.2">
      <c r="C1476" s="69"/>
      <c r="D1476" s="70"/>
      <c r="S1476" s="34"/>
      <c r="T1476" s="60" t="str">
        <f>IF(P1476&lt;&gt;"",
    IF(OR(O1476="", Q1476="", R1476=""),
        "Fill all the required columns",
        IFERROR(
            IF(OR(
                AND(R1476="Marine Protected", VLOOKUP(O1476, Reference!$A$2:$D$34, 4, FALSE) &lt;= P1476),
                AND(R1476="General Use", VLOOKUP(O1476, Reference!$A$2:$D$34, 3, FALSE) &lt;= P1476)
            ),
                "Exceeded",
                "OK"
            ),
            "No Regulation defined"
        )
    ),
    ""
)</f>
        <v/>
      </c>
      <c r="AB1476" s="62" t="str">
        <f t="shared" si="23"/>
        <v/>
      </c>
    </row>
    <row r="1477" spans="3:28" x14ac:dyDescent="0.2">
      <c r="C1477" s="69"/>
      <c r="D1477" s="70"/>
      <c r="S1477" s="34"/>
      <c r="T1477" s="60" t="str">
        <f>IF(P1477&lt;&gt;"",
    IF(OR(O1477="", Q1477="", R1477=""),
        "Fill all the required columns",
        IFERROR(
            IF(OR(
                AND(R1477="Marine Protected", VLOOKUP(O1477, Reference!$A$2:$D$34, 4, FALSE) &lt;= P1477),
                AND(R1477="General Use", VLOOKUP(O1477, Reference!$A$2:$D$34, 3, FALSE) &lt;= P1477)
            ),
                "Exceeded",
                "OK"
            ),
            "No Regulation defined"
        )
    ),
    ""
)</f>
        <v/>
      </c>
      <c r="AB1477" s="62" t="str">
        <f t="shared" si="23"/>
        <v/>
      </c>
    </row>
    <row r="1478" spans="3:28" x14ac:dyDescent="0.2">
      <c r="C1478" s="69"/>
      <c r="D1478" s="70"/>
      <c r="S1478" s="34"/>
      <c r="T1478" s="60" t="str">
        <f>IF(P1478&lt;&gt;"",
    IF(OR(O1478="", Q1478="", R1478=""),
        "Fill all the required columns",
        IFERROR(
            IF(OR(
                AND(R1478="Marine Protected", VLOOKUP(O1478, Reference!$A$2:$D$34, 4, FALSE) &lt;= P1478),
                AND(R1478="General Use", VLOOKUP(O1478, Reference!$A$2:$D$34, 3, FALSE) &lt;= P1478)
            ),
                "Exceeded",
                "OK"
            ),
            "No Regulation defined"
        )
    ),
    ""
)</f>
        <v/>
      </c>
      <c r="AB1478" s="62" t="str">
        <f t="shared" si="23"/>
        <v/>
      </c>
    </row>
    <row r="1479" spans="3:28" x14ac:dyDescent="0.2">
      <c r="C1479" s="69"/>
      <c r="D1479" s="70"/>
      <c r="S1479" s="34"/>
      <c r="T1479" s="60" t="str">
        <f>IF(P1479&lt;&gt;"",
    IF(OR(O1479="", Q1479="", R1479=""),
        "Fill all the required columns",
        IFERROR(
            IF(OR(
                AND(R1479="Marine Protected", VLOOKUP(O1479, Reference!$A$2:$D$34, 4, FALSE) &lt;= P1479),
                AND(R1479="General Use", VLOOKUP(O1479, Reference!$A$2:$D$34, 3, FALSE) &lt;= P1479)
            ),
                "Exceeded",
                "OK"
            ),
            "No Regulation defined"
        )
    ),
    ""
)</f>
        <v/>
      </c>
      <c r="AB1479" s="62" t="str">
        <f t="shared" si="23"/>
        <v/>
      </c>
    </row>
    <row r="1480" spans="3:28" x14ac:dyDescent="0.2">
      <c r="C1480" s="69"/>
      <c r="D1480" s="70"/>
      <c r="S1480" s="34"/>
      <c r="T1480" s="60" t="str">
        <f>IF(P1480&lt;&gt;"",
    IF(OR(O1480="", Q1480="", R1480=""),
        "Fill all the required columns",
        IFERROR(
            IF(OR(
                AND(R1480="Marine Protected", VLOOKUP(O1480, Reference!$A$2:$D$34, 4, FALSE) &lt;= P1480),
                AND(R1480="General Use", VLOOKUP(O1480, Reference!$A$2:$D$34, 3, FALSE) &lt;= P1480)
            ),
                "Exceeded",
                "OK"
            ),
            "No Regulation defined"
        )
    ),
    ""
)</f>
        <v/>
      </c>
      <c r="AB1480" s="62" t="str">
        <f t="shared" si="23"/>
        <v/>
      </c>
    </row>
    <row r="1481" spans="3:28" x14ac:dyDescent="0.2">
      <c r="C1481" s="69"/>
      <c r="D1481" s="70"/>
      <c r="S1481" s="34"/>
      <c r="T1481" s="60" t="str">
        <f>IF(P1481&lt;&gt;"",
    IF(OR(O1481="", Q1481="", R1481=""),
        "Fill all the required columns",
        IFERROR(
            IF(OR(
                AND(R1481="Marine Protected", VLOOKUP(O1481, Reference!$A$2:$D$34, 4, FALSE) &lt;= P1481),
                AND(R1481="General Use", VLOOKUP(O1481, Reference!$A$2:$D$34, 3, FALSE) &lt;= P1481)
            ),
                "Exceeded",
                "OK"
            ),
            "No Regulation defined"
        )
    ),
    ""
)</f>
        <v/>
      </c>
      <c r="AB1481" s="62" t="str">
        <f t="shared" si="23"/>
        <v/>
      </c>
    </row>
    <row r="1482" spans="3:28" x14ac:dyDescent="0.2">
      <c r="C1482" s="69"/>
      <c r="D1482" s="70"/>
      <c r="S1482" s="34"/>
      <c r="T1482" s="60" t="str">
        <f>IF(P1482&lt;&gt;"",
    IF(OR(O1482="", Q1482="", R1482=""),
        "Fill all the required columns",
        IFERROR(
            IF(OR(
                AND(R1482="Marine Protected", VLOOKUP(O1482, Reference!$A$2:$D$34, 4, FALSE) &lt;= P1482),
                AND(R1482="General Use", VLOOKUP(O1482, Reference!$A$2:$D$34, 3, FALSE) &lt;= P1482)
            ),
                "Exceeded",
                "OK"
            ),
            "No Regulation defined"
        )
    ),
    ""
)</f>
        <v/>
      </c>
      <c r="AB1482" s="62" t="str">
        <f t="shared" si="23"/>
        <v/>
      </c>
    </row>
    <row r="1483" spans="3:28" x14ac:dyDescent="0.2">
      <c r="C1483" s="69"/>
      <c r="D1483" s="70"/>
      <c r="S1483" s="34"/>
      <c r="T1483" s="60" t="str">
        <f>IF(P1483&lt;&gt;"",
    IF(OR(O1483="", Q1483="", R1483=""),
        "Fill all the required columns",
        IFERROR(
            IF(OR(
                AND(R1483="Marine Protected", VLOOKUP(O1483, Reference!$A$2:$D$34, 4, FALSE) &lt;= P1483),
                AND(R1483="General Use", VLOOKUP(O1483, Reference!$A$2:$D$34, 3, FALSE) &lt;= P1483)
            ),
                "Exceeded",
                "OK"
            ),
            "No Regulation defined"
        )
    ),
    ""
)</f>
        <v/>
      </c>
      <c r="AB1483" s="62" t="str">
        <f t="shared" si="23"/>
        <v/>
      </c>
    </row>
    <row r="1484" spans="3:28" x14ac:dyDescent="0.2">
      <c r="C1484" s="69"/>
      <c r="D1484" s="70"/>
      <c r="S1484" s="34"/>
      <c r="T1484" s="60" t="str">
        <f>IF(P1484&lt;&gt;"",
    IF(OR(O1484="", Q1484="", R1484=""),
        "Fill all the required columns",
        IFERROR(
            IF(OR(
                AND(R1484="Marine Protected", VLOOKUP(O1484, Reference!$A$2:$D$34, 4, FALSE) &lt;= P1484),
                AND(R1484="General Use", VLOOKUP(O1484, Reference!$A$2:$D$34, 3, FALSE) &lt;= P1484)
            ),
                "Exceeded",
                "OK"
            ),
            "No Regulation defined"
        )
    ),
    ""
)</f>
        <v/>
      </c>
      <c r="AB1484" s="62" t="str">
        <f t="shared" si="23"/>
        <v/>
      </c>
    </row>
    <row r="1485" spans="3:28" x14ac:dyDescent="0.2">
      <c r="C1485" s="69"/>
      <c r="D1485" s="70"/>
      <c r="S1485" s="34"/>
      <c r="T1485" s="60" t="str">
        <f>IF(P1485&lt;&gt;"",
    IF(OR(O1485="", Q1485="", R1485=""),
        "Fill all the required columns",
        IFERROR(
            IF(OR(
                AND(R1485="Marine Protected", VLOOKUP(O1485, Reference!$A$2:$D$34, 4, FALSE) &lt;= P1485),
                AND(R1485="General Use", VLOOKUP(O1485, Reference!$A$2:$D$34, 3, FALSE) &lt;= P1485)
            ),
                "Exceeded",
                "OK"
            ),
            "No Regulation defined"
        )
    ),
    ""
)</f>
        <v/>
      </c>
      <c r="AB1485" s="62" t="str">
        <f t="shared" si="23"/>
        <v/>
      </c>
    </row>
    <row r="1486" spans="3:28" x14ac:dyDescent="0.2">
      <c r="C1486" s="69"/>
      <c r="D1486" s="70"/>
      <c r="S1486" s="34"/>
      <c r="T1486" s="60" t="str">
        <f>IF(P1486&lt;&gt;"",
    IF(OR(O1486="", Q1486="", R1486=""),
        "Fill all the required columns",
        IFERROR(
            IF(OR(
                AND(R1486="Marine Protected", VLOOKUP(O1486, Reference!$A$2:$D$34, 4, FALSE) &lt;= P1486),
                AND(R1486="General Use", VLOOKUP(O1486, Reference!$A$2:$D$34, 3, FALSE) &lt;= P1486)
            ),
                "Exceeded",
                "OK"
            ),
            "No Regulation defined"
        )
    ),
    ""
)</f>
        <v/>
      </c>
      <c r="AB1486" s="62" t="str">
        <f t="shared" si="23"/>
        <v/>
      </c>
    </row>
    <row r="1487" spans="3:28" x14ac:dyDescent="0.2">
      <c r="C1487" s="69"/>
      <c r="D1487" s="70"/>
      <c r="S1487" s="34"/>
      <c r="T1487" s="60" t="str">
        <f>IF(P1487&lt;&gt;"",
    IF(OR(O1487="", Q1487="", R1487=""),
        "Fill all the required columns",
        IFERROR(
            IF(OR(
                AND(R1487="Marine Protected", VLOOKUP(O1487, Reference!$A$2:$D$34, 4, FALSE) &lt;= P1487),
                AND(R1487="General Use", VLOOKUP(O1487, Reference!$A$2:$D$34, 3, FALSE) &lt;= P1487)
            ),
                "Exceeded",
                "OK"
            ),
            "No Regulation defined"
        )
    ),
    ""
)</f>
        <v/>
      </c>
      <c r="AB1487" s="62" t="str">
        <f t="shared" si="23"/>
        <v/>
      </c>
    </row>
    <row r="1488" spans="3:28" x14ac:dyDescent="0.2">
      <c r="C1488" s="69"/>
      <c r="D1488" s="70"/>
      <c r="S1488" s="34"/>
      <c r="T1488" s="60" t="str">
        <f>IF(P1488&lt;&gt;"",
    IF(OR(O1488="", Q1488="", R1488=""),
        "Fill all the required columns",
        IFERROR(
            IF(OR(
                AND(R1488="Marine Protected", VLOOKUP(O1488, Reference!$A$2:$D$34, 4, FALSE) &lt;= P1488),
                AND(R1488="General Use", VLOOKUP(O1488, Reference!$A$2:$D$34, 3, FALSE) &lt;= P1488)
            ),
                "Exceeded",
                "OK"
            ),
            "No Regulation defined"
        )
    ),
    ""
)</f>
        <v/>
      </c>
      <c r="AB1488" s="62" t="str">
        <f t="shared" si="23"/>
        <v/>
      </c>
    </row>
    <row r="1489" spans="3:28" x14ac:dyDescent="0.2">
      <c r="C1489" s="69"/>
      <c r="D1489" s="70"/>
      <c r="S1489" s="34"/>
      <c r="T1489" s="60" t="str">
        <f>IF(P1489&lt;&gt;"",
    IF(OR(O1489="", Q1489="", R1489=""),
        "Fill all the required columns",
        IFERROR(
            IF(OR(
                AND(R1489="Marine Protected", VLOOKUP(O1489, Reference!$A$2:$D$34, 4, FALSE) &lt;= P1489),
                AND(R1489="General Use", VLOOKUP(O1489, Reference!$A$2:$D$34, 3, FALSE) &lt;= P1489)
            ),
                "Exceeded",
                "OK"
            ),
            "No Regulation defined"
        )
    ),
    ""
)</f>
        <v/>
      </c>
      <c r="AB1489" s="62" t="str">
        <f t="shared" si="23"/>
        <v/>
      </c>
    </row>
    <row r="1490" spans="3:28" x14ac:dyDescent="0.2">
      <c r="C1490" s="69"/>
      <c r="D1490" s="70"/>
      <c r="S1490" s="34"/>
      <c r="T1490" s="60" t="str">
        <f>IF(P1490&lt;&gt;"",
    IF(OR(O1490="", Q1490="", R1490=""),
        "Fill all the required columns",
        IFERROR(
            IF(OR(
                AND(R1490="Marine Protected", VLOOKUP(O1490, Reference!$A$2:$D$34, 4, FALSE) &lt;= P1490),
                AND(R1490="General Use", VLOOKUP(O1490, Reference!$A$2:$D$34, 3, FALSE) &lt;= P1490)
            ),
                "Exceeded",
                "OK"
            ),
            "No Regulation defined"
        )
    ),
    ""
)</f>
        <v/>
      </c>
      <c r="AB1490" s="62" t="str">
        <f t="shared" si="23"/>
        <v/>
      </c>
    </row>
    <row r="1491" spans="3:28" x14ac:dyDescent="0.2">
      <c r="C1491" s="69"/>
      <c r="D1491" s="70"/>
      <c r="S1491" s="34"/>
      <c r="T1491" s="60" t="str">
        <f>IF(P1491&lt;&gt;"",
    IF(OR(O1491="", Q1491="", R1491=""),
        "Fill all the required columns",
        IFERROR(
            IF(OR(
                AND(R1491="Marine Protected", VLOOKUP(O1491, Reference!$A$2:$D$34, 4, FALSE) &lt;= P1491),
                AND(R1491="General Use", VLOOKUP(O1491, Reference!$A$2:$D$34, 3, FALSE) &lt;= P1491)
            ),
                "Exceeded",
                "OK"
            ),
            "No Regulation defined"
        )
    ),
    ""
)</f>
        <v/>
      </c>
      <c r="AB1491" s="62" t="str">
        <f t="shared" si="23"/>
        <v/>
      </c>
    </row>
    <row r="1492" spans="3:28" x14ac:dyDescent="0.2">
      <c r="C1492" s="69"/>
      <c r="D1492" s="70"/>
      <c r="S1492" s="34"/>
      <c r="T1492" s="60" t="str">
        <f>IF(P1492&lt;&gt;"",
    IF(OR(O1492="", Q1492="", R1492=""),
        "Fill all the required columns",
        IFERROR(
            IF(OR(
                AND(R1492="Marine Protected", VLOOKUP(O1492, Reference!$A$2:$D$34, 4, FALSE) &lt;= P1492),
                AND(R1492="General Use", VLOOKUP(O1492, Reference!$A$2:$D$34, 3, FALSE) &lt;= P1492)
            ),
                "Exceeded",
                "OK"
            ),
            "No Regulation defined"
        )
    ),
    ""
)</f>
        <v/>
      </c>
      <c r="AB1492" s="62" t="str">
        <f t="shared" si="23"/>
        <v/>
      </c>
    </row>
    <row r="1493" spans="3:28" x14ac:dyDescent="0.2">
      <c r="C1493" s="69"/>
      <c r="D1493" s="70"/>
      <c r="S1493" s="34"/>
      <c r="T1493" s="60" t="str">
        <f>IF(P1493&lt;&gt;"",
    IF(OR(O1493="", Q1493="", R1493=""),
        "Fill all the required columns",
        IFERROR(
            IF(OR(
                AND(R1493="Marine Protected", VLOOKUP(O1493, Reference!$A$2:$D$34, 4, FALSE) &lt;= P1493),
                AND(R1493="General Use", VLOOKUP(O1493, Reference!$A$2:$D$34, 3, FALSE) &lt;= P1493)
            ),
                "Exceeded",
                "OK"
            ),
            "No Regulation defined"
        )
    ),
    ""
)</f>
        <v/>
      </c>
      <c r="AB1493" s="62" t="str">
        <f t="shared" si="23"/>
        <v/>
      </c>
    </row>
    <row r="1494" spans="3:28" x14ac:dyDescent="0.2">
      <c r="C1494" s="69"/>
      <c r="D1494" s="70"/>
      <c r="S1494" s="34"/>
      <c r="T1494" s="60" t="str">
        <f>IF(P1494&lt;&gt;"",
    IF(OR(O1494="", Q1494="", R1494=""),
        "Fill all the required columns",
        IFERROR(
            IF(OR(
                AND(R1494="Marine Protected", VLOOKUP(O1494, Reference!$A$2:$D$34, 4, FALSE) &lt;= P1494),
                AND(R1494="General Use", VLOOKUP(O1494, Reference!$A$2:$D$34, 3, FALSE) &lt;= P1494)
            ),
                "Exceeded",
                "OK"
            ),
            "No Regulation defined"
        )
    ),
    ""
)</f>
        <v/>
      </c>
      <c r="AB1494" s="62" t="str">
        <f t="shared" si="23"/>
        <v/>
      </c>
    </row>
    <row r="1495" spans="3:28" x14ac:dyDescent="0.2">
      <c r="C1495" s="69"/>
      <c r="D1495" s="70"/>
      <c r="S1495" s="34"/>
      <c r="T1495" s="60" t="str">
        <f>IF(P1495&lt;&gt;"",
    IF(OR(O1495="", Q1495="", R1495=""),
        "Fill all the required columns",
        IFERROR(
            IF(OR(
                AND(R1495="Marine Protected", VLOOKUP(O1495, Reference!$A$2:$D$34, 4, FALSE) &lt;= P1495),
                AND(R1495="General Use", VLOOKUP(O1495, Reference!$A$2:$D$34, 3, FALSE) &lt;= P1495)
            ),
                "Exceeded",
                "OK"
            ),
            "No Regulation defined"
        )
    ),
    ""
)</f>
        <v/>
      </c>
      <c r="AB1495" s="62" t="str">
        <f t="shared" si="23"/>
        <v/>
      </c>
    </row>
    <row r="1496" spans="3:28" x14ac:dyDescent="0.2">
      <c r="C1496" s="69"/>
      <c r="D1496" s="70"/>
      <c r="S1496" s="34"/>
      <c r="T1496" s="60" t="str">
        <f>IF(P1496&lt;&gt;"",
    IF(OR(O1496="", Q1496="", R1496=""),
        "Fill all the required columns",
        IFERROR(
            IF(OR(
                AND(R1496="Marine Protected", VLOOKUP(O1496, Reference!$A$2:$D$34, 4, FALSE) &lt;= P1496),
                AND(R1496="General Use", VLOOKUP(O1496, Reference!$A$2:$D$34, 3, FALSE) &lt;= P1496)
            ),
                "Exceeded",
                "OK"
            ),
            "No Regulation defined"
        )
    ),
    ""
)</f>
        <v/>
      </c>
      <c r="AB1496" s="62" t="str">
        <f t="shared" si="23"/>
        <v/>
      </c>
    </row>
    <row r="1497" spans="3:28" x14ac:dyDescent="0.2">
      <c r="C1497" s="69"/>
      <c r="D1497" s="70"/>
      <c r="S1497" s="34"/>
      <c r="T1497" s="60" t="str">
        <f>IF(P1497&lt;&gt;"",
    IF(OR(O1497="", Q1497="", R1497=""),
        "Fill all the required columns",
        IFERROR(
            IF(OR(
                AND(R1497="Marine Protected", VLOOKUP(O1497, Reference!$A$2:$D$34, 4, FALSE) &lt;= P1497),
                AND(R1497="General Use", VLOOKUP(O1497, Reference!$A$2:$D$34, 3, FALSE) &lt;= P1497)
            ),
                "Exceeded",
                "OK"
            ),
            "No Regulation defined"
        )
    ),
    ""
)</f>
        <v/>
      </c>
      <c r="AB1497" s="62" t="str">
        <f t="shared" si="23"/>
        <v/>
      </c>
    </row>
    <row r="1498" spans="3:28" x14ac:dyDescent="0.2">
      <c r="C1498" s="69"/>
      <c r="D1498" s="70"/>
      <c r="S1498" s="34"/>
      <c r="T1498" s="60" t="str">
        <f>IF(P1498&lt;&gt;"",
    IF(OR(O1498="", Q1498="", R1498=""),
        "Fill all the required columns",
        IFERROR(
            IF(OR(
                AND(R1498="Marine Protected", VLOOKUP(O1498, Reference!$A$2:$D$34, 4, FALSE) &lt;= P1498),
                AND(R1498="General Use", VLOOKUP(O1498, Reference!$A$2:$D$34, 3, FALSE) &lt;= P1498)
            ),
                "Exceeded",
                "OK"
            ),
            "No Regulation defined"
        )
    ),
    ""
)</f>
        <v/>
      </c>
      <c r="AB1498" s="62" t="str">
        <f t="shared" si="23"/>
        <v/>
      </c>
    </row>
    <row r="1499" spans="3:28" x14ac:dyDescent="0.2">
      <c r="C1499" s="69"/>
      <c r="D1499" s="70"/>
      <c r="S1499" s="34"/>
      <c r="T1499" s="60" t="str">
        <f>IF(P1499&lt;&gt;"",
    IF(OR(O1499="", Q1499="", R1499=""),
        "Fill all the required columns",
        IFERROR(
            IF(OR(
                AND(R1499="Marine Protected", VLOOKUP(O1499, Reference!$A$2:$D$34, 4, FALSE) &lt;= P1499),
                AND(R1499="General Use", VLOOKUP(O1499, Reference!$A$2:$D$34, 3, FALSE) &lt;= P1499)
            ),
                "Exceeded",
                "OK"
            ),
            "No Regulation defined"
        )
    ),
    ""
)</f>
        <v/>
      </c>
      <c r="AB1499" s="62" t="str">
        <f t="shared" si="23"/>
        <v/>
      </c>
    </row>
    <row r="1500" spans="3:28" x14ac:dyDescent="0.2">
      <c r="C1500" s="69"/>
      <c r="D1500" s="70"/>
      <c r="S1500" s="34"/>
      <c r="T1500" s="60" t="str">
        <f>IF(P1500&lt;&gt;"",
    IF(OR(O1500="", Q1500="", R1500=""),
        "Fill all the required columns",
        IFERROR(
            IF(OR(
                AND(R1500="Marine Protected", VLOOKUP(O1500, Reference!$A$2:$D$34, 4, FALSE) &lt;= P1500),
                AND(R1500="General Use", VLOOKUP(O1500, Reference!$A$2:$D$34, 3, FALSE) &lt;= P1500)
            ),
                "Exceeded",
                "OK"
            ),
            "No Regulation defined"
        )
    ),
    ""
)</f>
        <v/>
      </c>
      <c r="AB1500" s="62" t="str">
        <f t="shared" si="23"/>
        <v/>
      </c>
    </row>
    <row r="1501" spans="3:28" x14ac:dyDescent="0.2">
      <c r="C1501" s="69"/>
      <c r="D1501" s="70"/>
      <c r="S1501" s="34"/>
      <c r="T1501" s="60" t="str">
        <f>IF(P1501&lt;&gt;"",
    IF(OR(O1501="", Q1501="", R1501=""),
        "Fill all the required columns",
        IFERROR(
            IF(OR(
                AND(R1501="Marine Protected", VLOOKUP(O1501, Reference!$A$2:$D$34, 4, FALSE) &lt;= P1501),
                AND(R1501="General Use", VLOOKUP(O1501, Reference!$A$2:$D$34, 3, FALSE) &lt;= P1501)
            ),
                "Exceeded",
                "OK"
            ),
            "No Regulation defined"
        )
    ),
    ""
)</f>
        <v/>
      </c>
      <c r="AB1501" s="62" t="str">
        <f t="shared" si="23"/>
        <v/>
      </c>
    </row>
    <row r="1502" spans="3:28" x14ac:dyDescent="0.2">
      <c r="C1502" s="69"/>
      <c r="D1502" s="70"/>
      <c r="S1502" s="34"/>
      <c r="T1502" s="60" t="str">
        <f>IF(P1502&lt;&gt;"",
    IF(OR(O1502="", Q1502="", R1502=""),
        "Fill all the required columns",
        IFERROR(
            IF(OR(
                AND(R1502="Marine Protected", VLOOKUP(O1502, Reference!$A$2:$D$34, 4, FALSE) &lt;= P1502),
                AND(R1502="General Use", VLOOKUP(O1502, Reference!$A$2:$D$34, 3, FALSE) &lt;= P1502)
            ),
                "Exceeded",
                "OK"
            ),
            "No Regulation defined"
        )
    ),
    ""
)</f>
        <v/>
      </c>
      <c r="AB1502" s="62" t="str">
        <f t="shared" si="23"/>
        <v/>
      </c>
    </row>
    <row r="1503" spans="3:28" x14ac:dyDescent="0.2">
      <c r="C1503" s="69"/>
      <c r="D1503" s="70"/>
      <c r="S1503" s="34"/>
      <c r="T1503" s="60" t="str">
        <f>IF(P1503&lt;&gt;"",
    IF(OR(O1503="", Q1503="", R1503=""),
        "Fill all the required columns",
        IFERROR(
            IF(OR(
                AND(R1503="Marine Protected", VLOOKUP(O1503, Reference!$A$2:$D$34, 4, FALSE) &lt;= P1503),
                AND(R1503="General Use", VLOOKUP(O1503, Reference!$A$2:$D$34, 3, FALSE) &lt;= P1503)
            ),
                "Exceeded",
                "OK"
            ),
            "No Regulation defined"
        )
    ),
    ""
)</f>
        <v/>
      </c>
      <c r="AB1503" s="62" t="str">
        <f t="shared" si="23"/>
        <v/>
      </c>
    </row>
    <row r="1504" spans="3:28" x14ac:dyDescent="0.2">
      <c r="C1504" s="69"/>
      <c r="D1504" s="70"/>
      <c r="S1504" s="34"/>
      <c r="T1504" s="60" t="str">
        <f>IF(P1504&lt;&gt;"",
    IF(OR(O1504="", Q1504="", R1504=""),
        "Fill all the required columns",
        IFERROR(
            IF(OR(
                AND(R1504="Marine Protected", VLOOKUP(O1504, Reference!$A$2:$D$34, 4, FALSE) &lt;= P1504),
                AND(R1504="General Use", VLOOKUP(O1504, Reference!$A$2:$D$34, 3, FALSE) &lt;= P1504)
            ),
                "Exceeded",
                "OK"
            ),
            "No Regulation defined"
        )
    ),
    ""
)</f>
        <v/>
      </c>
      <c r="AB1504" s="62" t="str">
        <f t="shared" si="23"/>
        <v/>
      </c>
    </row>
    <row r="1505" spans="3:28" x14ac:dyDescent="0.2">
      <c r="C1505" s="69"/>
      <c r="D1505" s="70"/>
      <c r="S1505" s="34"/>
      <c r="T1505" s="60" t="str">
        <f>IF(P1505&lt;&gt;"",
    IF(OR(O1505="", Q1505="", R1505=""),
        "Fill all the required columns",
        IFERROR(
            IF(OR(
                AND(R1505="Marine Protected", VLOOKUP(O1505, Reference!$A$2:$D$34, 4, FALSE) &lt;= P1505),
                AND(R1505="General Use", VLOOKUP(O1505, Reference!$A$2:$D$34, 3, FALSE) &lt;= P1505)
            ),
                "Exceeded",
                "OK"
            ),
            "No Regulation defined"
        )
    ),
    ""
)</f>
        <v/>
      </c>
      <c r="AB1505" s="62" t="str">
        <f t="shared" si="23"/>
        <v/>
      </c>
    </row>
    <row r="1506" spans="3:28" x14ac:dyDescent="0.2">
      <c r="C1506" s="69"/>
      <c r="D1506" s="70"/>
      <c r="S1506" s="34"/>
      <c r="T1506" s="60" t="str">
        <f>IF(P1506&lt;&gt;"",
    IF(OR(O1506="", Q1506="", R1506=""),
        "Fill all the required columns",
        IFERROR(
            IF(OR(
                AND(R1506="Marine Protected", VLOOKUP(O1506, Reference!$A$2:$D$34, 4, FALSE) &lt;= P1506),
                AND(R1506="General Use", VLOOKUP(O1506, Reference!$A$2:$D$34, 3, FALSE) &lt;= P1506)
            ),
                "Exceeded",
                "OK"
            ),
            "No Regulation defined"
        )
    ),
    ""
)</f>
        <v/>
      </c>
      <c r="AB1506" s="62" t="str">
        <f t="shared" si="23"/>
        <v/>
      </c>
    </row>
    <row r="1507" spans="3:28" x14ac:dyDescent="0.2">
      <c r="C1507" s="69"/>
      <c r="D1507" s="70"/>
      <c r="S1507" s="34"/>
      <c r="T1507" s="60" t="str">
        <f>IF(P1507&lt;&gt;"",
    IF(OR(O1507="", Q1507="", R1507=""),
        "Fill all the required columns",
        IFERROR(
            IF(OR(
                AND(R1507="Marine Protected", VLOOKUP(O1507, Reference!$A$2:$D$34, 4, FALSE) &lt;= P1507),
                AND(R1507="General Use", VLOOKUP(O1507, Reference!$A$2:$D$34, 3, FALSE) &lt;= P1507)
            ),
                "Exceeded",
                "OK"
            ),
            "No Regulation defined"
        )
    ),
    ""
)</f>
        <v/>
      </c>
      <c r="AB1507" s="62" t="str">
        <f t="shared" si="23"/>
        <v/>
      </c>
    </row>
    <row r="1508" spans="3:28" x14ac:dyDescent="0.2">
      <c r="C1508" s="69"/>
      <c r="D1508" s="70"/>
      <c r="S1508" s="34"/>
      <c r="T1508" s="60" t="str">
        <f>IF(P1508&lt;&gt;"",
    IF(OR(O1508="", Q1508="", R1508=""),
        "Fill all the required columns",
        IFERROR(
            IF(OR(
                AND(R1508="Marine Protected", VLOOKUP(O1508, Reference!$A$2:$D$34, 4, FALSE) &lt;= P1508),
                AND(R1508="General Use", VLOOKUP(O1508, Reference!$A$2:$D$34, 3, FALSE) &lt;= P1508)
            ),
                "Exceeded",
                "OK"
            ),
            "No Regulation defined"
        )
    ),
    ""
)</f>
        <v/>
      </c>
      <c r="AB1508" s="62" t="str">
        <f t="shared" si="23"/>
        <v/>
      </c>
    </row>
    <row r="1509" spans="3:28" x14ac:dyDescent="0.2">
      <c r="C1509" s="69"/>
      <c r="D1509" s="70"/>
      <c r="S1509" s="34"/>
      <c r="T1509" s="60" t="str">
        <f>IF(P1509&lt;&gt;"",
    IF(OR(O1509="", Q1509="", R1509=""),
        "Fill all the required columns",
        IFERROR(
            IF(OR(
                AND(R1509="Marine Protected", VLOOKUP(O1509, Reference!$A$2:$D$34, 4, FALSE) &lt;= P1509),
                AND(R1509="General Use", VLOOKUP(O1509, Reference!$A$2:$D$34, 3, FALSE) &lt;= P1509)
            ),
                "Exceeded",
                "OK"
            ),
            "No Regulation defined"
        )
    ),
    ""
)</f>
        <v/>
      </c>
      <c r="AB1509" s="62" t="str">
        <f t="shared" si="23"/>
        <v/>
      </c>
    </row>
    <row r="1510" spans="3:28" x14ac:dyDescent="0.2">
      <c r="C1510" s="69"/>
      <c r="D1510" s="70"/>
      <c r="S1510" s="34"/>
      <c r="T1510" s="60" t="str">
        <f>IF(P1510&lt;&gt;"",
    IF(OR(O1510="", Q1510="", R1510=""),
        "Fill all the required columns",
        IFERROR(
            IF(OR(
                AND(R1510="Marine Protected", VLOOKUP(O1510, Reference!$A$2:$D$34, 4, FALSE) &lt;= P1510),
                AND(R1510="General Use", VLOOKUP(O1510, Reference!$A$2:$D$34, 3, FALSE) &lt;= P1510)
            ),
                "Exceeded",
                "OK"
            ),
            "No Regulation defined"
        )
    ),
    ""
)</f>
        <v/>
      </c>
      <c r="AB1510" s="62" t="str">
        <f t="shared" si="23"/>
        <v/>
      </c>
    </row>
    <row r="1511" spans="3:28" x14ac:dyDescent="0.2">
      <c r="C1511" s="69"/>
      <c r="D1511" s="70"/>
      <c r="S1511" s="34"/>
      <c r="T1511" s="60" t="str">
        <f>IF(P1511&lt;&gt;"",
    IF(OR(O1511="", Q1511="", R1511=""),
        "Fill all the required columns",
        IFERROR(
            IF(OR(
                AND(R1511="Marine Protected", VLOOKUP(O1511, Reference!$A$2:$D$34, 4, FALSE) &lt;= P1511),
                AND(R1511="General Use", VLOOKUP(O1511, Reference!$A$2:$D$34, 3, FALSE) &lt;= P1511)
            ),
                "Exceeded",
                "OK"
            ),
            "No Regulation defined"
        )
    ),
    ""
)</f>
        <v/>
      </c>
      <c r="AB1511" s="62" t="str">
        <f t="shared" si="23"/>
        <v/>
      </c>
    </row>
    <row r="1512" spans="3:28" x14ac:dyDescent="0.2">
      <c r="C1512" s="69"/>
      <c r="D1512" s="70"/>
      <c r="S1512" s="34"/>
      <c r="T1512" s="60" t="str">
        <f>IF(P1512&lt;&gt;"",
    IF(OR(O1512="", Q1512="", R1512=""),
        "Fill all the required columns",
        IFERROR(
            IF(OR(
                AND(R1512="Marine Protected", VLOOKUP(O1512, Reference!$A$2:$D$34, 4, FALSE) &lt;= P1512),
                AND(R1512="General Use", VLOOKUP(O1512, Reference!$A$2:$D$34, 3, FALSE) &lt;= P1512)
            ),
                "Exceeded",
                "OK"
            ),
            "No Regulation defined"
        )
    ),
    ""
)</f>
        <v/>
      </c>
      <c r="AB1512" s="62" t="str">
        <f t="shared" si="23"/>
        <v/>
      </c>
    </row>
    <row r="1513" spans="3:28" x14ac:dyDescent="0.2">
      <c r="C1513" s="69"/>
      <c r="D1513" s="70"/>
      <c r="S1513" s="34"/>
      <c r="T1513" s="60" t="str">
        <f>IF(P1513&lt;&gt;"",
    IF(OR(O1513="", Q1513="", R1513=""),
        "Fill all the required columns",
        IFERROR(
            IF(OR(
                AND(R1513="Marine Protected", VLOOKUP(O1513, Reference!$A$2:$D$34, 4, FALSE) &lt;= P1513),
                AND(R1513="General Use", VLOOKUP(O1513, Reference!$A$2:$D$34, 3, FALSE) &lt;= P1513)
            ),
                "Exceeded",
                "OK"
            ),
            "No Regulation defined"
        )
    ),
    ""
)</f>
        <v/>
      </c>
      <c r="AB1513" s="62" t="str">
        <f t="shared" si="23"/>
        <v/>
      </c>
    </row>
    <row r="1514" spans="3:28" x14ac:dyDescent="0.2">
      <c r="C1514" s="69"/>
      <c r="D1514" s="70"/>
      <c r="S1514" s="34"/>
      <c r="T1514" s="60" t="str">
        <f>IF(P1514&lt;&gt;"",
    IF(OR(O1514="", Q1514="", R1514=""),
        "Fill all the required columns",
        IFERROR(
            IF(OR(
                AND(R1514="Marine Protected", VLOOKUP(O1514, Reference!$A$2:$D$34, 4, FALSE) &lt;= P1514),
                AND(R1514="General Use", VLOOKUP(O1514, Reference!$A$2:$D$34, 3, FALSE) &lt;= P1514)
            ),
                "Exceeded",
                "OK"
            ),
            "No Regulation defined"
        )
    ),
    ""
)</f>
        <v/>
      </c>
      <c r="AB1514" s="62" t="str">
        <f t="shared" si="23"/>
        <v/>
      </c>
    </row>
    <row r="1515" spans="3:28" x14ac:dyDescent="0.2">
      <c r="C1515" s="69"/>
      <c r="D1515" s="70"/>
      <c r="S1515" s="34"/>
      <c r="T1515" s="60" t="str">
        <f>IF(P1515&lt;&gt;"",
    IF(OR(O1515="", Q1515="", R1515=""),
        "Fill all the required columns",
        IFERROR(
            IF(OR(
                AND(R1515="Marine Protected", VLOOKUP(O1515, Reference!$A$2:$D$34, 4, FALSE) &lt;= P1515),
                AND(R1515="General Use", VLOOKUP(O1515, Reference!$A$2:$D$34, 3, FALSE) &lt;= P1515)
            ),
                "Exceeded",
                "OK"
            ),
            "No Regulation defined"
        )
    ),
    ""
)</f>
        <v/>
      </c>
      <c r="AB1515" s="62" t="str">
        <f t="shared" si="23"/>
        <v/>
      </c>
    </row>
    <row r="1516" spans="3:28" x14ac:dyDescent="0.2">
      <c r="C1516" s="69"/>
      <c r="D1516" s="70"/>
      <c r="S1516" s="34"/>
      <c r="T1516" s="60" t="str">
        <f>IF(P1516&lt;&gt;"",
    IF(OR(O1516="", Q1516="", R1516=""),
        "Fill all the required columns",
        IFERROR(
            IF(OR(
                AND(R1516="Marine Protected", VLOOKUP(O1516, Reference!$A$2:$D$34, 4, FALSE) &lt;= P1516),
                AND(R1516="General Use", VLOOKUP(O1516, Reference!$A$2:$D$34, 3, FALSE) &lt;= P1516)
            ),
                "Exceeded",
                "OK"
            ),
            "No Regulation defined"
        )
    ),
    ""
)</f>
        <v/>
      </c>
      <c r="AB1516" s="62" t="str">
        <f t="shared" si="23"/>
        <v/>
      </c>
    </row>
    <row r="1517" spans="3:28" x14ac:dyDescent="0.2">
      <c r="C1517" s="69"/>
      <c r="D1517" s="70"/>
      <c r="S1517" s="34"/>
      <c r="T1517" s="60" t="str">
        <f>IF(P1517&lt;&gt;"",
    IF(OR(O1517="", Q1517="", R1517=""),
        "Fill all the required columns",
        IFERROR(
            IF(OR(
                AND(R1517="Marine Protected", VLOOKUP(O1517, Reference!$A$2:$D$34, 4, FALSE) &lt;= P1517),
                AND(R1517="General Use", VLOOKUP(O1517, Reference!$A$2:$D$34, 3, FALSE) &lt;= P1517)
            ),
                "Exceeded",
                "OK"
            ),
            "No Regulation defined"
        )
    ),
    ""
)</f>
        <v/>
      </c>
      <c r="AB1517" s="62" t="str">
        <f t="shared" si="23"/>
        <v/>
      </c>
    </row>
    <row r="1518" spans="3:28" x14ac:dyDescent="0.2">
      <c r="C1518" s="69"/>
      <c r="D1518" s="70"/>
      <c r="S1518" s="34"/>
      <c r="T1518" s="60" t="str">
        <f>IF(P1518&lt;&gt;"",
    IF(OR(O1518="", Q1518="", R1518=""),
        "Fill all the required columns",
        IFERROR(
            IF(OR(
                AND(R1518="Marine Protected", VLOOKUP(O1518, Reference!$A$2:$D$34, 4, FALSE) &lt;= P1518),
                AND(R1518="General Use", VLOOKUP(O1518, Reference!$A$2:$D$34, 3, FALSE) &lt;= P1518)
            ),
                "Exceeded",
                "OK"
            ),
            "No Regulation defined"
        )
    ),
    ""
)</f>
        <v/>
      </c>
      <c r="AB1518" s="62" t="str">
        <f t="shared" si="23"/>
        <v/>
      </c>
    </row>
    <row r="1519" spans="3:28" x14ac:dyDescent="0.2">
      <c r="C1519" s="69"/>
      <c r="D1519" s="70"/>
      <c r="S1519" s="34"/>
      <c r="T1519" s="60" t="str">
        <f>IF(P1519&lt;&gt;"",
    IF(OR(O1519="", Q1519="", R1519=""),
        "Fill all the required columns",
        IFERROR(
            IF(OR(
                AND(R1519="Marine Protected", VLOOKUP(O1519, Reference!$A$2:$D$34, 4, FALSE) &lt;= P1519),
                AND(R1519="General Use", VLOOKUP(O1519, Reference!$A$2:$D$34, 3, FALSE) &lt;= P1519)
            ),
                "Exceeded",
                "OK"
            ),
            "No Regulation defined"
        )
    ),
    ""
)</f>
        <v/>
      </c>
      <c r="AB1519" s="62" t="str">
        <f t="shared" si="23"/>
        <v/>
      </c>
    </row>
    <row r="1520" spans="3:28" x14ac:dyDescent="0.2">
      <c r="C1520" s="69"/>
      <c r="D1520" s="70"/>
      <c r="S1520" s="34"/>
      <c r="T1520" s="60" t="str">
        <f>IF(P1520&lt;&gt;"",
    IF(OR(O1520="", Q1520="", R1520=""),
        "Fill all the required columns",
        IFERROR(
            IF(OR(
                AND(R1520="Marine Protected", VLOOKUP(O1520, Reference!$A$2:$D$34, 4, FALSE) &lt;= P1520),
                AND(R1520="General Use", VLOOKUP(O1520, Reference!$A$2:$D$34, 3, FALSE) &lt;= P1520)
            ),
                "Exceeded",
                "OK"
            ),
            "No Regulation defined"
        )
    ),
    ""
)</f>
        <v/>
      </c>
      <c r="AB1520" s="62" t="str">
        <f t="shared" si="23"/>
        <v/>
      </c>
    </row>
    <row r="1521" spans="3:28" x14ac:dyDescent="0.2">
      <c r="C1521" s="69"/>
      <c r="D1521" s="70"/>
      <c r="S1521" s="34"/>
      <c r="T1521" s="60" t="str">
        <f>IF(P1521&lt;&gt;"",
    IF(OR(O1521="", Q1521="", R1521=""),
        "Fill all the required columns",
        IFERROR(
            IF(OR(
                AND(R1521="Marine Protected", VLOOKUP(O1521, Reference!$A$2:$D$34, 4, FALSE) &lt;= P1521),
                AND(R1521="General Use", VLOOKUP(O1521, Reference!$A$2:$D$34, 3, FALSE) &lt;= P1521)
            ),
                "Exceeded",
                "OK"
            ),
            "No Regulation defined"
        )
    ),
    ""
)</f>
        <v/>
      </c>
      <c r="AB1521" s="62" t="str">
        <f t="shared" si="23"/>
        <v/>
      </c>
    </row>
    <row r="1522" spans="3:28" x14ac:dyDescent="0.2">
      <c r="C1522" s="69"/>
      <c r="D1522" s="70"/>
      <c r="S1522" s="34"/>
      <c r="T1522" s="60" t="str">
        <f>IF(P1522&lt;&gt;"",
    IF(OR(O1522="", Q1522="", R1522=""),
        "Fill all the required columns",
        IFERROR(
            IF(OR(
                AND(R1522="Marine Protected", VLOOKUP(O1522, Reference!$A$2:$D$34, 4, FALSE) &lt;= P1522),
                AND(R1522="General Use", VLOOKUP(O1522, Reference!$A$2:$D$34, 3, FALSE) &lt;= P1522)
            ),
                "Exceeded",
                "OK"
            ),
            "No Regulation defined"
        )
    ),
    ""
)</f>
        <v/>
      </c>
      <c r="AB1522" s="62" t="str">
        <f t="shared" si="23"/>
        <v/>
      </c>
    </row>
    <row r="1523" spans="3:28" x14ac:dyDescent="0.2">
      <c r="C1523" s="69"/>
      <c r="D1523" s="70"/>
      <c r="S1523" s="34"/>
      <c r="T1523" s="60" t="str">
        <f>IF(P1523&lt;&gt;"",
    IF(OR(O1523="", Q1523="", R1523=""),
        "Fill all the required columns",
        IFERROR(
            IF(OR(
                AND(R1523="Marine Protected", VLOOKUP(O1523, Reference!$A$2:$D$34, 4, FALSE) &lt;= P1523),
                AND(R1523="General Use", VLOOKUP(O1523, Reference!$A$2:$D$34, 3, FALSE) &lt;= P1523)
            ),
                "Exceeded",
                "OK"
            ),
            "No Regulation defined"
        )
    ),
    ""
)</f>
        <v/>
      </c>
      <c r="AB1523" s="62" t="str">
        <f t="shared" si="23"/>
        <v/>
      </c>
    </row>
    <row r="1524" spans="3:28" x14ac:dyDescent="0.2">
      <c r="C1524" s="69"/>
      <c r="D1524" s="70"/>
      <c r="S1524" s="34"/>
      <c r="T1524" s="60" t="str">
        <f>IF(P1524&lt;&gt;"",
    IF(OR(O1524="", Q1524="", R1524=""),
        "Fill all the required columns",
        IFERROR(
            IF(OR(
                AND(R1524="Marine Protected", VLOOKUP(O1524, Reference!$A$2:$D$34, 4, FALSE) &lt;= P1524),
                AND(R1524="General Use", VLOOKUP(O1524, Reference!$A$2:$D$34, 3, FALSE) &lt;= P1524)
            ),
                "Exceeded",
                "OK"
            ),
            "No Regulation defined"
        )
    ),
    ""
)</f>
        <v/>
      </c>
      <c r="AB1524" s="62" t="str">
        <f t="shared" si="23"/>
        <v/>
      </c>
    </row>
    <row r="1525" spans="3:28" x14ac:dyDescent="0.2">
      <c r="C1525" s="69"/>
      <c r="D1525" s="70"/>
      <c r="S1525" s="34"/>
      <c r="T1525" s="60" t="str">
        <f>IF(P1525&lt;&gt;"",
    IF(OR(O1525="", Q1525="", R1525=""),
        "Fill all the required columns",
        IFERROR(
            IF(OR(
                AND(R1525="Marine Protected", VLOOKUP(O1525, Reference!$A$2:$D$34, 4, FALSE) &lt;= P1525),
                AND(R1525="General Use", VLOOKUP(O1525, Reference!$A$2:$D$34, 3, FALSE) &lt;= P1525)
            ),
                "Exceeded",
                "OK"
            ),
            "No Regulation defined"
        )
    ),
    ""
)</f>
        <v/>
      </c>
      <c r="AB1525" s="62" t="str">
        <f t="shared" si="23"/>
        <v/>
      </c>
    </row>
    <row r="1526" spans="3:28" x14ac:dyDescent="0.2">
      <c r="C1526" s="69"/>
      <c r="D1526" s="70"/>
      <c r="S1526" s="34"/>
      <c r="T1526" s="60" t="str">
        <f>IF(P1526&lt;&gt;"",
    IF(OR(O1526="", Q1526="", R1526=""),
        "Fill all the required columns",
        IFERROR(
            IF(OR(
                AND(R1526="Marine Protected", VLOOKUP(O1526, Reference!$A$2:$D$34, 4, FALSE) &lt;= P1526),
                AND(R1526="General Use", VLOOKUP(O1526, Reference!$A$2:$D$34, 3, FALSE) &lt;= P1526)
            ),
                "Exceeded",
                "OK"
            ),
            "No Regulation defined"
        )
    ),
    ""
)</f>
        <v/>
      </c>
      <c r="AB1526" s="62" t="str">
        <f t="shared" si="23"/>
        <v/>
      </c>
    </row>
    <row r="1527" spans="3:28" x14ac:dyDescent="0.2">
      <c r="C1527" s="69"/>
      <c r="D1527" s="70"/>
      <c r="S1527" s="34"/>
      <c r="T1527" s="60" t="str">
        <f>IF(P1527&lt;&gt;"",
    IF(OR(O1527="", Q1527="", R1527=""),
        "Fill all the required columns",
        IFERROR(
            IF(OR(
                AND(R1527="Marine Protected", VLOOKUP(O1527, Reference!$A$2:$D$34, 4, FALSE) &lt;= P1527),
                AND(R1527="General Use", VLOOKUP(O1527, Reference!$A$2:$D$34, 3, FALSE) &lt;= P1527)
            ),
                "Exceeded",
                "OK"
            ),
            "No Regulation defined"
        )
    ),
    ""
)</f>
        <v/>
      </c>
      <c r="AB1527" s="62" t="str">
        <f t="shared" si="23"/>
        <v/>
      </c>
    </row>
    <row r="1528" spans="3:28" x14ac:dyDescent="0.2">
      <c r="C1528" s="69"/>
      <c r="D1528" s="70"/>
      <c r="S1528" s="34"/>
      <c r="T1528" s="60" t="str">
        <f>IF(P1528&lt;&gt;"",
    IF(OR(O1528="", Q1528="", R1528=""),
        "Fill all the required columns",
        IFERROR(
            IF(OR(
                AND(R1528="Marine Protected", VLOOKUP(O1528, Reference!$A$2:$D$34, 4, FALSE) &lt;= P1528),
                AND(R1528="General Use", VLOOKUP(O1528, Reference!$A$2:$D$34, 3, FALSE) &lt;= P1528)
            ),
                "Exceeded",
                "OK"
            ),
            "No Regulation defined"
        )
    ),
    ""
)</f>
        <v/>
      </c>
      <c r="AB1528" s="62" t="str">
        <f t="shared" si="23"/>
        <v/>
      </c>
    </row>
    <row r="1529" spans="3:28" x14ac:dyDescent="0.2">
      <c r="C1529" s="69"/>
      <c r="D1529" s="70"/>
      <c r="S1529" s="34"/>
      <c r="T1529" s="60" t="str">
        <f>IF(P1529&lt;&gt;"",
    IF(OR(O1529="", Q1529="", R1529=""),
        "Fill all the required columns",
        IFERROR(
            IF(OR(
                AND(R1529="Marine Protected", VLOOKUP(O1529, Reference!$A$2:$D$34, 4, FALSE) &lt;= P1529),
                AND(R1529="General Use", VLOOKUP(O1529, Reference!$A$2:$D$34, 3, FALSE) &lt;= P1529)
            ),
                "Exceeded",
                "OK"
            ),
            "No Regulation defined"
        )
    ),
    ""
)</f>
        <v/>
      </c>
      <c r="AB1529" s="62" t="str">
        <f t="shared" si="23"/>
        <v/>
      </c>
    </row>
    <row r="1530" spans="3:28" x14ac:dyDescent="0.2">
      <c r="C1530" s="69"/>
      <c r="D1530" s="70"/>
      <c r="S1530" s="34"/>
      <c r="T1530" s="60" t="str">
        <f>IF(P1530&lt;&gt;"",
    IF(OR(O1530="", Q1530="", R1530=""),
        "Fill all the required columns",
        IFERROR(
            IF(OR(
                AND(R1530="Marine Protected", VLOOKUP(O1530, Reference!$A$2:$D$34, 4, FALSE) &lt;= P1530),
                AND(R1530="General Use", VLOOKUP(O1530, Reference!$A$2:$D$34, 3, FALSE) &lt;= P1530)
            ),
                "Exceeded",
                "OK"
            ),
            "No Regulation defined"
        )
    ),
    ""
)</f>
        <v/>
      </c>
      <c r="AB1530" s="62" t="str">
        <f t="shared" si="23"/>
        <v/>
      </c>
    </row>
    <row r="1531" spans="3:28" x14ac:dyDescent="0.2">
      <c r="C1531" s="69"/>
      <c r="D1531" s="70"/>
      <c r="S1531" s="34"/>
      <c r="T1531" s="60" t="str">
        <f>IF(P1531&lt;&gt;"",
    IF(OR(O1531="", Q1531="", R1531=""),
        "Fill all the required columns",
        IFERROR(
            IF(OR(
                AND(R1531="Marine Protected", VLOOKUP(O1531, Reference!$A$2:$D$34, 4, FALSE) &lt;= P1531),
                AND(R1531="General Use", VLOOKUP(O1531, Reference!$A$2:$D$34, 3, FALSE) &lt;= P1531)
            ),
                "Exceeded",
                "OK"
            ),
            "No Regulation defined"
        )
    ),
    ""
)</f>
        <v/>
      </c>
      <c r="AB1531" s="62" t="str">
        <f t="shared" si="23"/>
        <v/>
      </c>
    </row>
    <row r="1532" spans="3:28" x14ac:dyDescent="0.2">
      <c r="C1532" s="69"/>
      <c r="D1532" s="70"/>
      <c r="S1532" s="34"/>
      <c r="T1532" s="60" t="str">
        <f>IF(P1532&lt;&gt;"",
    IF(OR(O1532="", Q1532="", R1532=""),
        "Fill all the required columns",
        IFERROR(
            IF(OR(
                AND(R1532="Marine Protected", VLOOKUP(O1532, Reference!$A$2:$D$34, 4, FALSE) &lt;= P1532),
                AND(R1532="General Use", VLOOKUP(O1532, Reference!$A$2:$D$34, 3, FALSE) &lt;= P1532)
            ),
                "Exceeded",
                "OK"
            ),
            "No Regulation defined"
        )
    ),
    ""
)</f>
        <v/>
      </c>
      <c r="AB1532" s="62" t="str">
        <f t="shared" si="23"/>
        <v/>
      </c>
    </row>
    <row r="1533" spans="3:28" x14ac:dyDescent="0.2">
      <c r="C1533" s="69"/>
      <c r="D1533" s="70"/>
      <c r="S1533" s="34"/>
      <c r="T1533" s="60" t="str">
        <f>IF(P1533&lt;&gt;"",
    IF(OR(O1533="", Q1533="", R1533=""),
        "Fill all the required columns",
        IFERROR(
            IF(OR(
                AND(R1533="Marine Protected", VLOOKUP(O1533, Reference!$A$2:$D$34, 4, FALSE) &lt;= P1533),
                AND(R1533="General Use", VLOOKUP(O1533, Reference!$A$2:$D$34, 3, FALSE) &lt;= P1533)
            ),
                "Exceeded",
                "OK"
            ),
            "No Regulation defined"
        )
    ),
    ""
)</f>
        <v/>
      </c>
      <c r="AB1533" s="62" t="str">
        <f t="shared" si="23"/>
        <v/>
      </c>
    </row>
    <row r="1534" spans="3:28" x14ac:dyDescent="0.2">
      <c r="C1534" s="69"/>
      <c r="D1534" s="70"/>
      <c r="S1534" s="34"/>
      <c r="T1534" s="60" t="str">
        <f>IF(P1534&lt;&gt;"",
    IF(OR(O1534="", Q1534="", R1534=""),
        "Fill all the required columns",
        IFERROR(
            IF(OR(
                AND(R1534="Marine Protected", VLOOKUP(O1534, Reference!$A$2:$D$34, 4, FALSE) &lt;= P1534),
                AND(R1534="General Use", VLOOKUP(O1534, Reference!$A$2:$D$34, 3, FALSE) &lt;= P1534)
            ),
                "Exceeded",
                "OK"
            ),
            "No Regulation defined"
        )
    ),
    ""
)</f>
        <v/>
      </c>
      <c r="AB1534" s="62" t="str">
        <f t="shared" si="23"/>
        <v/>
      </c>
    </row>
    <row r="1535" spans="3:28" x14ac:dyDescent="0.2">
      <c r="C1535" s="69"/>
      <c r="D1535" s="70"/>
      <c r="S1535" s="34"/>
      <c r="T1535" s="60" t="str">
        <f>IF(P1535&lt;&gt;"",
    IF(OR(O1535="", Q1535="", R1535=""),
        "Fill all the required columns",
        IFERROR(
            IF(OR(
                AND(R1535="Marine Protected", VLOOKUP(O1535, Reference!$A$2:$D$34, 4, FALSE) &lt;= P1535),
                AND(R1535="General Use", VLOOKUP(O1535, Reference!$A$2:$D$34, 3, FALSE) &lt;= P1535)
            ),
                "Exceeded",
                "OK"
            ),
            "No Regulation defined"
        )
    ),
    ""
)</f>
        <v/>
      </c>
      <c r="AB1535" s="62" t="str">
        <f t="shared" si="23"/>
        <v/>
      </c>
    </row>
    <row r="1536" spans="3:28" x14ac:dyDescent="0.2">
      <c r="C1536" s="69"/>
      <c r="D1536" s="70"/>
      <c r="S1536" s="34"/>
      <c r="T1536" s="60" t="str">
        <f>IF(P1536&lt;&gt;"",
    IF(OR(O1536="", Q1536="", R1536=""),
        "Fill all the required columns",
        IFERROR(
            IF(OR(
                AND(R1536="Marine Protected", VLOOKUP(O1536, Reference!$A$2:$D$34, 4, FALSE) &lt;= P1536),
                AND(R1536="General Use", VLOOKUP(O1536, Reference!$A$2:$D$34, 3, FALSE) &lt;= P1536)
            ),
                "Exceeded",
                "OK"
            ),
            "No Regulation defined"
        )
    ),
    ""
)</f>
        <v/>
      </c>
      <c r="AB1536" s="62" t="str">
        <f t="shared" si="23"/>
        <v/>
      </c>
    </row>
    <row r="1537" spans="3:28" x14ac:dyDescent="0.2">
      <c r="C1537" s="69"/>
      <c r="D1537" s="70"/>
      <c r="S1537" s="34"/>
      <c r="T1537" s="60" t="str">
        <f>IF(P1537&lt;&gt;"",
    IF(OR(O1537="", Q1537="", R1537=""),
        "Fill all the required columns",
        IFERROR(
            IF(OR(
                AND(R1537="Marine Protected", VLOOKUP(O1537, Reference!$A$2:$D$34, 4, FALSE) &lt;= P1537),
                AND(R1537="General Use", VLOOKUP(O1537, Reference!$A$2:$D$34, 3, FALSE) &lt;= P1537)
            ),
                "Exceeded",
                "OK"
            ),
            "No Regulation defined"
        )
    ),
    ""
)</f>
        <v/>
      </c>
      <c r="AB1537" s="62" t="str">
        <f t="shared" si="23"/>
        <v/>
      </c>
    </row>
    <row r="1538" spans="3:28" x14ac:dyDescent="0.2">
      <c r="C1538" s="69"/>
      <c r="D1538" s="70"/>
      <c r="S1538" s="34"/>
      <c r="T1538" s="60" t="str">
        <f>IF(P1538&lt;&gt;"",
    IF(OR(O1538="", Q1538="", R1538=""),
        "Fill all the required columns",
        IFERROR(
            IF(OR(
                AND(R1538="Marine Protected", VLOOKUP(O1538, Reference!$A$2:$D$34, 4, FALSE) &lt;= P1538),
                AND(R1538="General Use", VLOOKUP(O1538, Reference!$A$2:$D$34, 3, FALSE) &lt;= P1538)
            ),
                "Exceeded",
                "OK"
            ),
            "No Regulation defined"
        )
    ),
    ""
)</f>
        <v/>
      </c>
      <c r="AB1538" s="62" t="str">
        <f t="shared" si="23"/>
        <v/>
      </c>
    </row>
    <row r="1539" spans="3:28" x14ac:dyDescent="0.2">
      <c r="C1539" s="69"/>
      <c r="D1539" s="70"/>
      <c r="S1539" s="34"/>
      <c r="T1539" s="60" t="str">
        <f>IF(P1539&lt;&gt;"",
    IF(OR(O1539="", Q1539="", R1539=""),
        "Fill all the required columns",
        IFERROR(
            IF(OR(
                AND(R1539="Marine Protected", VLOOKUP(O1539, Reference!$A$2:$D$34, 4, FALSE) &lt;= P1539),
                AND(R1539="General Use", VLOOKUP(O1539, Reference!$A$2:$D$34, 3, FALSE) &lt;= P1539)
            ),
                "Exceeded",
                "OK"
            ),
            "No Regulation defined"
        )
    ),
    ""
)</f>
        <v/>
      </c>
      <c r="AB1539" s="62" t="str">
        <f t="shared" ref="AB1539:AB1602" si="24">IF(COUNTA(A1539, E1539, F1539, H1539, I1539, O1539, P1539, Q1539, R1539,S1539) = 0, "", IF(COUNTA(A1539, E1539, F1539, H1539, I1539, O1539, P1539, Q1539, R1539,S1539) = 10, "OK", "Incomplete"))</f>
        <v/>
      </c>
    </row>
    <row r="1540" spans="3:28" x14ac:dyDescent="0.2">
      <c r="C1540" s="69"/>
      <c r="D1540" s="70"/>
      <c r="S1540" s="34"/>
      <c r="T1540" s="60" t="str">
        <f>IF(P1540&lt;&gt;"",
    IF(OR(O1540="", Q1540="", R1540=""),
        "Fill all the required columns",
        IFERROR(
            IF(OR(
                AND(R1540="Marine Protected", VLOOKUP(O1540, Reference!$A$2:$D$34, 4, FALSE) &lt;= P1540),
                AND(R1540="General Use", VLOOKUP(O1540, Reference!$A$2:$D$34, 3, FALSE) &lt;= P1540)
            ),
                "Exceeded",
                "OK"
            ),
            "No Regulation defined"
        )
    ),
    ""
)</f>
        <v/>
      </c>
      <c r="AB1540" s="62" t="str">
        <f t="shared" si="24"/>
        <v/>
      </c>
    </row>
    <row r="1541" spans="3:28" x14ac:dyDescent="0.2">
      <c r="C1541" s="69"/>
      <c r="D1541" s="70"/>
      <c r="S1541" s="34"/>
      <c r="T1541" s="60" t="str">
        <f>IF(P1541&lt;&gt;"",
    IF(OR(O1541="", Q1541="", R1541=""),
        "Fill all the required columns",
        IFERROR(
            IF(OR(
                AND(R1541="Marine Protected", VLOOKUP(O1541, Reference!$A$2:$D$34, 4, FALSE) &lt;= P1541),
                AND(R1541="General Use", VLOOKUP(O1541, Reference!$A$2:$D$34, 3, FALSE) &lt;= P1541)
            ),
                "Exceeded",
                "OK"
            ),
            "No Regulation defined"
        )
    ),
    ""
)</f>
        <v/>
      </c>
      <c r="AB1541" s="62" t="str">
        <f t="shared" si="24"/>
        <v/>
      </c>
    </row>
    <row r="1542" spans="3:28" x14ac:dyDescent="0.2">
      <c r="C1542" s="69"/>
      <c r="D1542" s="70"/>
      <c r="S1542" s="34"/>
      <c r="T1542" s="60" t="str">
        <f>IF(P1542&lt;&gt;"",
    IF(OR(O1542="", Q1542="", R1542=""),
        "Fill all the required columns",
        IFERROR(
            IF(OR(
                AND(R1542="Marine Protected", VLOOKUP(O1542, Reference!$A$2:$D$34, 4, FALSE) &lt;= P1542),
                AND(R1542="General Use", VLOOKUP(O1542, Reference!$A$2:$D$34, 3, FALSE) &lt;= P1542)
            ),
                "Exceeded",
                "OK"
            ),
            "No Regulation defined"
        )
    ),
    ""
)</f>
        <v/>
      </c>
      <c r="AB1542" s="62" t="str">
        <f t="shared" si="24"/>
        <v/>
      </c>
    </row>
    <row r="1543" spans="3:28" x14ac:dyDescent="0.2">
      <c r="C1543" s="69"/>
      <c r="D1543" s="70"/>
      <c r="S1543" s="34"/>
      <c r="T1543" s="60" t="str">
        <f>IF(P1543&lt;&gt;"",
    IF(OR(O1543="", Q1543="", R1543=""),
        "Fill all the required columns",
        IFERROR(
            IF(OR(
                AND(R1543="Marine Protected", VLOOKUP(O1543, Reference!$A$2:$D$34, 4, FALSE) &lt;= P1543),
                AND(R1543="General Use", VLOOKUP(O1543, Reference!$A$2:$D$34, 3, FALSE) &lt;= P1543)
            ),
                "Exceeded",
                "OK"
            ),
            "No Regulation defined"
        )
    ),
    ""
)</f>
        <v/>
      </c>
      <c r="AB1543" s="62" t="str">
        <f t="shared" si="24"/>
        <v/>
      </c>
    </row>
    <row r="1544" spans="3:28" x14ac:dyDescent="0.2">
      <c r="C1544" s="69"/>
      <c r="D1544" s="70"/>
      <c r="S1544" s="34"/>
      <c r="T1544" s="60" t="str">
        <f>IF(P1544&lt;&gt;"",
    IF(OR(O1544="", Q1544="", R1544=""),
        "Fill all the required columns",
        IFERROR(
            IF(OR(
                AND(R1544="Marine Protected", VLOOKUP(O1544, Reference!$A$2:$D$34, 4, FALSE) &lt;= P1544),
                AND(R1544="General Use", VLOOKUP(O1544, Reference!$A$2:$D$34, 3, FALSE) &lt;= P1544)
            ),
                "Exceeded",
                "OK"
            ),
            "No Regulation defined"
        )
    ),
    ""
)</f>
        <v/>
      </c>
      <c r="AB1544" s="62" t="str">
        <f t="shared" si="24"/>
        <v/>
      </c>
    </row>
    <row r="1545" spans="3:28" x14ac:dyDescent="0.2">
      <c r="C1545" s="69"/>
      <c r="D1545" s="70"/>
      <c r="S1545" s="34"/>
      <c r="T1545" s="60" t="str">
        <f>IF(P1545&lt;&gt;"",
    IF(OR(O1545="", Q1545="", R1545=""),
        "Fill all the required columns",
        IFERROR(
            IF(OR(
                AND(R1545="Marine Protected", VLOOKUP(O1545, Reference!$A$2:$D$34, 4, FALSE) &lt;= P1545),
                AND(R1545="General Use", VLOOKUP(O1545, Reference!$A$2:$D$34, 3, FALSE) &lt;= P1545)
            ),
                "Exceeded",
                "OK"
            ),
            "No Regulation defined"
        )
    ),
    ""
)</f>
        <v/>
      </c>
      <c r="AB1545" s="62" t="str">
        <f t="shared" si="24"/>
        <v/>
      </c>
    </row>
    <row r="1546" spans="3:28" x14ac:dyDescent="0.2">
      <c r="C1546" s="69"/>
      <c r="D1546" s="70"/>
      <c r="S1546" s="34"/>
      <c r="T1546" s="60" t="str">
        <f>IF(P1546&lt;&gt;"",
    IF(OR(O1546="", Q1546="", R1546=""),
        "Fill all the required columns",
        IFERROR(
            IF(OR(
                AND(R1546="Marine Protected", VLOOKUP(O1546, Reference!$A$2:$D$34, 4, FALSE) &lt;= P1546),
                AND(R1546="General Use", VLOOKUP(O1546, Reference!$A$2:$D$34, 3, FALSE) &lt;= P1546)
            ),
                "Exceeded",
                "OK"
            ),
            "No Regulation defined"
        )
    ),
    ""
)</f>
        <v/>
      </c>
      <c r="AB1546" s="62" t="str">
        <f t="shared" si="24"/>
        <v/>
      </c>
    </row>
    <row r="1547" spans="3:28" x14ac:dyDescent="0.2">
      <c r="C1547" s="69"/>
      <c r="D1547" s="70"/>
      <c r="S1547" s="34"/>
      <c r="T1547" s="60" t="str">
        <f>IF(P1547&lt;&gt;"",
    IF(OR(O1547="", Q1547="", R1547=""),
        "Fill all the required columns",
        IFERROR(
            IF(OR(
                AND(R1547="Marine Protected", VLOOKUP(O1547, Reference!$A$2:$D$34, 4, FALSE) &lt;= P1547),
                AND(R1547="General Use", VLOOKUP(O1547, Reference!$A$2:$D$34, 3, FALSE) &lt;= P1547)
            ),
                "Exceeded",
                "OK"
            ),
            "No Regulation defined"
        )
    ),
    ""
)</f>
        <v/>
      </c>
      <c r="AB1547" s="62" t="str">
        <f t="shared" si="24"/>
        <v/>
      </c>
    </row>
    <row r="1548" spans="3:28" x14ac:dyDescent="0.2">
      <c r="C1548" s="69"/>
      <c r="D1548" s="70"/>
      <c r="S1548" s="34"/>
      <c r="T1548" s="60" t="str">
        <f>IF(P1548&lt;&gt;"",
    IF(OR(O1548="", Q1548="", R1548=""),
        "Fill all the required columns",
        IFERROR(
            IF(OR(
                AND(R1548="Marine Protected", VLOOKUP(O1548, Reference!$A$2:$D$34, 4, FALSE) &lt;= P1548),
                AND(R1548="General Use", VLOOKUP(O1548, Reference!$A$2:$D$34, 3, FALSE) &lt;= P1548)
            ),
                "Exceeded",
                "OK"
            ),
            "No Regulation defined"
        )
    ),
    ""
)</f>
        <v/>
      </c>
      <c r="AB1548" s="62" t="str">
        <f t="shared" si="24"/>
        <v/>
      </c>
    </row>
    <row r="1549" spans="3:28" x14ac:dyDescent="0.2">
      <c r="C1549" s="69"/>
      <c r="D1549" s="70"/>
      <c r="S1549" s="34"/>
      <c r="T1549" s="60" t="str">
        <f>IF(P1549&lt;&gt;"",
    IF(OR(O1549="", Q1549="", R1549=""),
        "Fill all the required columns",
        IFERROR(
            IF(OR(
                AND(R1549="Marine Protected", VLOOKUP(O1549, Reference!$A$2:$D$34, 4, FALSE) &lt;= P1549),
                AND(R1549="General Use", VLOOKUP(O1549, Reference!$A$2:$D$34, 3, FALSE) &lt;= P1549)
            ),
                "Exceeded",
                "OK"
            ),
            "No Regulation defined"
        )
    ),
    ""
)</f>
        <v/>
      </c>
      <c r="AB1549" s="62" t="str">
        <f t="shared" si="24"/>
        <v/>
      </c>
    </row>
    <row r="1550" spans="3:28" x14ac:dyDescent="0.2">
      <c r="C1550" s="69"/>
      <c r="D1550" s="70"/>
      <c r="S1550" s="34"/>
      <c r="T1550" s="60" t="str">
        <f>IF(P1550&lt;&gt;"",
    IF(OR(O1550="", Q1550="", R1550=""),
        "Fill all the required columns",
        IFERROR(
            IF(OR(
                AND(R1550="Marine Protected", VLOOKUP(O1550, Reference!$A$2:$D$34, 4, FALSE) &lt;= P1550),
                AND(R1550="General Use", VLOOKUP(O1550, Reference!$A$2:$D$34, 3, FALSE) &lt;= P1550)
            ),
                "Exceeded",
                "OK"
            ),
            "No Regulation defined"
        )
    ),
    ""
)</f>
        <v/>
      </c>
      <c r="AB1550" s="62" t="str">
        <f t="shared" si="24"/>
        <v/>
      </c>
    </row>
    <row r="1551" spans="3:28" x14ac:dyDescent="0.2">
      <c r="C1551" s="69"/>
      <c r="D1551" s="70"/>
      <c r="S1551" s="34"/>
      <c r="T1551" s="60" t="str">
        <f>IF(P1551&lt;&gt;"",
    IF(OR(O1551="", Q1551="", R1551=""),
        "Fill all the required columns",
        IFERROR(
            IF(OR(
                AND(R1551="Marine Protected", VLOOKUP(O1551, Reference!$A$2:$D$34, 4, FALSE) &lt;= P1551),
                AND(R1551="General Use", VLOOKUP(O1551, Reference!$A$2:$D$34, 3, FALSE) &lt;= P1551)
            ),
                "Exceeded",
                "OK"
            ),
            "No Regulation defined"
        )
    ),
    ""
)</f>
        <v/>
      </c>
      <c r="AB1551" s="62" t="str">
        <f t="shared" si="24"/>
        <v/>
      </c>
    </row>
    <row r="1552" spans="3:28" x14ac:dyDescent="0.2">
      <c r="C1552" s="69"/>
      <c r="D1552" s="70"/>
      <c r="S1552" s="34"/>
      <c r="T1552" s="60" t="str">
        <f>IF(P1552&lt;&gt;"",
    IF(OR(O1552="", Q1552="", R1552=""),
        "Fill all the required columns",
        IFERROR(
            IF(OR(
                AND(R1552="Marine Protected", VLOOKUP(O1552, Reference!$A$2:$D$34, 4, FALSE) &lt;= P1552),
                AND(R1552="General Use", VLOOKUP(O1552, Reference!$A$2:$D$34, 3, FALSE) &lt;= P1552)
            ),
                "Exceeded",
                "OK"
            ),
            "No Regulation defined"
        )
    ),
    ""
)</f>
        <v/>
      </c>
      <c r="AB1552" s="62" t="str">
        <f t="shared" si="24"/>
        <v/>
      </c>
    </row>
    <row r="1553" spans="3:28" x14ac:dyDescent="0.2">
      <c r="C1553" s="69"/>
      <c r="D1553" s="70"/>
      <c r="S1553" s="34"/>
      <c r="T1553" s="60" t="str">
        <f>IF(P1553&lt;&gt;"",
    IF(OR(O1553="", Q1553="", R1553=""),
        "Fill all the required columns",
        IFERROR(
            IF(OR(
                AND(R1553="Marine Protected", VLOOKUP(O1553, Reference!$A$2:$D$34, 4, FALSE) &lt;= P1553),
                AND(R1553="General Use", VLOOKUP(O1553, Reference!$A$2:$D$34, 3, FALSE) &lt;= P1553)
            ),
                "Exceeded",
                "OK"
            ),
            "No Regulation defined"
        )
    ),
    ""
)</f>
        <v/>
      </c>
      <c r="AB1553" s="62" t="str">
        <f t="shared" si="24"/>
        <v/>
      </c>
    </row>
    <row r="1554" spans="3:28" x14ac:dyDescent="0.2">
      <c r="C1554" s="69"/>
      <c r="D1554" s="70"/>
      <c r="S1554" s="34"/>
      <c r="T1554" s="60" t="str">
        <f>IF(P1554&lt;&gt;"",
    IF(OR(O1554="", Q1554="", R1554=""),
        "Fill all the required columns",
        IFERROR(
            IF(OR(
                AND(R1554="Marine Protected", VLOOKUP(O1554, Reference!$A$2:$D$34, 4, FALSE) &lt;= P1554),
                AND(R1554="General Use", VLOOKUP(O1554, Reference!$A$2:$D$34, 3, FALSE) &lt;= P1554)
            ),
                "Exceeded",
                "OK"
            ),
            "No Regulation defined"
        )
    ),
    ""
)</f>
        <v/>
      </c>
      <c r="AB1554" s="62" t="str">
        <f t="shared" si="24"/>
        <v/>
      </c>
    </row>
    <row r="1555" spans="3:28" x14ac:dyDescent="0.2">
      <c r="C1555" s="69"/>
      <c r="D1555" s="70"/>
      <c r="S1555" s="34"/>
      <c r="T1555" s="60" t="str">
        <f>IF(P1555&lt;&gt;"",
    IF(OR(O1555="", Q1555="", R1555=""),
        "Fill all the required columns",
        IFERROR(
            IF(OR(
                AND(R1555="Marine Protected", VLOOKUP(O1555, Reference!$A$2:$D$34, 4, FALSE) &lt;= P1555),
                AND(R1555="General Use", VLOOKUP(O1555, Reference!$A$2:$D$34, 3, FALSE) &lt;= P1555)
            ),
                "Exceeded",
                "OK"
            ),
            "No Regulation defined"
        )
    ),
    ""
)</f>
        <v/>
      </c>
      <c r="AB1555" s="62" t="str">
        <f t="shared" si="24"/>
        <v/>
      </c>
    </row>
    <row r="1556" spans="3:28" x14ac:dyDescent="0.2">
      <c r="C1556" s="69"/>
      <c r="D1556" s="70"/>
      <c r="S1556" s="34"/>
      <c r="T1556" s="60" t="str">
        <f>IF(P1556&lt;&gt;"",
    IF(OR(O1556="", Q1556="", R1556=""),
        "Fill all the required columns",
        IFERROR(
            IF(OR(
                AND(R1556="Marine Protected", VLOOKUP(O1556, Reference!$A$2:$D$34, 4, FALSE) &lt;= P1556),
                AND(R1556="General Use", VLOOKUP(O1556, Reference!$A$2:$D$34, 3, FALSE) &lt;= P1556)
            ),
                "Exceeded",
                "OK"
            ),
            "No Regulation defined"
        )
    ),
    ""
)</f>
        <v/>
      </c>
      <c r="AB1556" s="62" t="str">
        <f t="shared" si="24"/>
        <v/>
      </c>
    </row>
    <row r="1557" spans="3:28" x14ac:dyDescent="0.2">
      <c r="C1557" s="69"/>
      <c r="D1557" s="70"/>
      <c r="S1557" s="34"/>
      <c r="T1557" s="60" t="str">
        <f>IF(P1557&lt;&gt;"",
    IF(OR(O1557="", Q1557="", R1557=""),
        "Fill all the required columns",
        IFERROR(
            IF(OR(
                AND(R1557="Marine Protected", VLOOKUP(O1557, Reference!$A$2:$D$34, 4, FALSE) &lt;= P1557),
                AND(R1557="General Use", VLOOKUP(O1557, Reference!$A$2:$D$34, 3, FALSE) &lt;= P1557)
            ),
                "Exceeded",
                "OK"
            ),
            "No Regulation defined"
        )
    ),
    ""
)</f>
        <v/>
      </c>
      <c r="AB1557" s="62" t="str">
        <f t="shared" si="24"/>
        <v/>
      </c>
    </row>
    <row r="1558" spans="3:28" x14ac:dyDescent="0.2">
      <c r="C1558" s="69"/>
      <c r="D1558" s="70"/>
      <c r="S1558" s="34"/>
      <c r="T1558" s="60" t="str">
        <f>IF(P1558&lt;&gt;"",
    IF(OR(O1558="", Q1558="", R1558=""),
        "Fill all the required columns",
        IFERROR(
            IF(OR(
                AND(R1558="Marine Protected", VLOOKUP(O1558, Reference!$A$2:$D$34, 4, FALSE) &lt;= P1558),
                AND(R1558="General Use", VLOOKUP(O1558, Reference!$A$2:$D$34, 3, FALSE) &lt;= P1558)
            ),
                "Exceeded",
                "OK"
            ),
            "No Regulation defined"
        )
    ),
    ""
)</f>
        <v/>
      </c>
      <c r="AB1558" s="62" t="str">
        <f t="shared" si="24"/>
        <v/>
      </c>
    </row>
    <row r="1559" spans="3:28" x14ac:dyDescent="0.2">
      <c r="C1559" s="69"/>
      <c r="D1559" s="70"/>
      <c r="S1559" s="34"/>
      <c r="T1559" s="60" t="str">
        <f>IF(P1559&lt;&gt;"",
    IF(OR(O1559="", Q1559="", R1559=""),
        "Fill all the required columns",
        IFERROR(
            IF(OR(
                AND(R1559="Marine Protected", VLOOKUP(O1559, Reference!$A$2:$D$34, 4, FALSE) &lt;= P1559),
                AND(R1559="General Use", VLOOKUP(O1559, Reference!$A$2:$D$34, 3, FALSE) &lt;= P1559)
            ),
                "Exceeded",
                "OK"
            ),
            "No Regulation defined"
        )
    ),
    ""
)</f>
        <v/>
      </c>
      <c r="AB1559" s="62" t="str">
        <f t="shared" si="24"/>
        <v/>
      </c>
    </row>
    <row r="1560" spans="3:28" x14ac:dyDescent="0.2">
      <c r="C1560" s="69"/>
      <c r="D1560" s="70"/>
      <c r="S1560" s="34"/>
      <c r="T1560" s="60" t="str">
        <f>IF(P1560&lt;&gt;"",
    IF(OR(O1560="", Q1560="", R1560=""),
        "Fill all the required columns",
        IFERROR(
            IF(OR(
                AND(R1560="Marine Protected", VLOOKUP(O1560, Reference!$A$2:$D$34, 4, FALSE) &lt;= P1560),
                AND(R1560="General Use", VLOOKUP(O1560, Reference!$A$2:$D$34, 3, FALSE) &lt;= P1560)
            ),
                "Exceeded",
                "OK"
            ),
            "No Regulation defined"
        )
    ),
    ""
)</f>
        <v/>
      </c>
      <c r="AB1560" s="62" t="str">
        <f t="shared" si="24"/>
        <v/>
      </c>
    </row>
    <row r="1561" spans="3:28" x14ac:dyDescent="0.2">
      <c r="C1561" s="69"/>
      <c r="D1561" s="70"/>
      <c r="S1561" s="34"/>
      <c r="T1561" s="60" t="str">
        <f>IF(P1561&lt;&gt;"",
    IF(OR(O1561="", Q1561="", R1561=""),
        "Fill all the required columns",
        IFERROR(
            IF(OR(
                AND(R1561="Marine Protected", VLOOKUP(O1561, Reference!$A$2:$D$34, 4, FALSE) &lt;= P1561),
                AND(R1561="General Use", VLOOKUP(O1561, Reference!$A$2:$D$34, 3, FALSE) &lt;= P1561)
            ),
                "Exceeded",
                "OK"
            ),
            "No Regulation defined"
        )
    ),
    ""
)</f>
        <v/>
      </c>
      <c r="AB1561" s="62" t="str">
        <f t="shared" si="24"/>
        <v/>
      </c>
    </row>
    <row r="1562" spans="3:28" x14ac:dyDescent="0.2">
      <c r="C1562" s="69"/>
      <c r="D1562" s="70"/>
      <c r="S1562" s="34"/>
      <c r="T1562" s="60" t="str">
        <f>IF(P1562&lt;&gt;"",
    IF(OR(O1562="", Q1562="", R1562=""),
        "Fill all the required columns",
        IFERROR(
            IF(OR(
                AND(R1562="Marine Protected", VLOOKUP(O1562, Reference!$A$2:$D$34, 4, FALSE) &lt;= P1562),
                AND(R1562="General Use", VLOOKUP(O1562, Reference!$A$2:$D$34, 3, FALSE) &lt;= P1562)
            ),
                "Exceeded",
                "OK"
            ),
            "No Regulation defined"
        )
    ),
    ""
)</f>
        <v/>
      </c>
      <c r="AB1562" s="62" t="str">
        <f t="shared" si="24"/>
        <v/>
      </c>
    </row>
    <row r="1563" spans="3:28" x14ac:dyDescent="0.2">
      <c r="C1563" s="69"/>
      <c r="D1563" s="70"/>
      <c r="S1563" s="34"/>
      <c r="T1563" s="60" t="str">
        <f>IF(P1563&lt;&gt;"",
    IF(OR(O1563="", Q1563="", R1563=""),
        "Fill all the required columns",
        IFERROR(
            IF(OR(
                AND(R1563="Marine Protected", VLOOKUP(O1563, Reference!$A$2:$D$34, 4, FALSE) &lt;= P1563),
                AND(R1563="General Use", VLOOKUP(O1563, Reference!$A$2:$D$34, 3, FALSE) &lt;= P1563)
            ),
                "Exceeded",
                "OK"
            ),
            "No Regulation defined"
        )
    ),
    ""
)</f>
        <v/>
      </c>
      <c r="AB1563" s="62" t="str">
        <f t="shared" si="24"/>
        <v/>
      </c>
    </row>
    <row r="1564" spans="3:28" x14ac:dyDescent="0.2">
      <c r="C1564" s="69"/>
      <c r="D1564" s="70"/>
      <c r="S1564" s="34"/>
      <c r="T1564" s="60" t="str">
        <f>IF(P1564&lt;&gt;"",
    IF(OR(O1564="", Q1564="", R1564=""),
        "Fill all the required columns",
        IFERROR(
            IF(OR(
                AND(R1564="Marine Protected", VLOOKUP(O1564, Reference!$A$2:$D$34, 4, FALSE) &lt;= P1564),
                AND(R1564="General Use", VLOOKUP(O1564, Reference!$A$2:$D$34, 3, FALSE) &lt;= P1564)
            ),
                "Exceeded",
                "OK"
            ),
            "No Regulation defined"
        )
    ),
    ""
)</f>
        <v/>
      </c>
      <c r="AB1564" s="62" t="str">
        <f t="shared" si="24"/>
        <v/>
      </c>
    </row>
    <row r="1565" spans="3:28" x14ac:dyDescent="0.2">
      <c r="C1565" s="69"/>
      <c r="D1565" s="70"/>
      <c r="S1565" s="34"/>
      <c r="T1565" s="60" t="str">
        <f>IF(P1565&lt;&gt;"",
    IF(OR(O1565="", Q1565="", R1565=""),
        "Fill all the required columns",
        IFERROR(
            IF(OR(
                AND(R1565="Marine Protected", VLOOKUP(O1565, Reference!$A$2:$D$34, 4, FALSE) &lt;= P1565),
                AND(R1565="General Use", VLOOKUP(O1565, Reference!$A$2:$D$34, 3, FALSE) &lt;= P1565)
            ),
                "Exceeded",
                "OK"
            ),
            "No Regulation defined"
        )
    ),
    ""
)</f>
        <v/>
      </c>
      <c r="AB1565" s="62" t="str">
        <f t="shared" si="24"/>
        <v/>
      </c>
    </row>
    <row r="1566" spans="3:28" x14ac:dyDescent="0.2">
      <c r="C1566" s="69"/>
      <c r="D1566" s="70"/>
      <c r="S1566" s="34"/>
      <c r="T1566" s="60" t="str">
        <f>IF(P1566&lt;&gt;"",
    IF(OR(O1566="", Q1566="", R1566=""),
        "Fill all the required columns",
        IFERROR(
            IF(OR(
                AND(R1566="Marine Protected", VLOOKUP(O1566, Reference!$A$2:$D$34, 4, FALSE) &lt;= P1566),
                AND(R1566="General Use", VLOOKUP(O1566, Reference!$A$2:$D$34, 3, FALSE) &lt;= P1566)
            ),
                "Exceeded",
                "OK"
            ),
            "No Regulation defined"
        )
    ),
    ""
)</f>
        <v/>
      </c>
      <c r="AB1566" s="62" t="str">
        <f t="shared" si="24"/>
        <v/>
      </c>
    </row>
    <row r="1567" spans="3:28" x14ac:dyDescent="0.2">
      <c r="C1567" s="69"/>
      <c r="D1567" s="70"/>
      <c r="S1567" s="34"/>
      <c r="T1567" s="60" t="str">
        <f>IF(P1567&lt;&gt;"",
    IF(OR(O1567="", Q1567="", R1567=""),
        "Fill all the required columns",
        IFERROR(
            IF(OR(
                AND(R1567="Marine Protected", VLOOKUP(O1567, Reference!$A$2:$D$34, 4, FALSE) &lt;= P1567),
                AND(R1567="General Use", VLOOKUP(O1567, Reference!$A$2:$D$34, 3, FALSE) &lt;= P1567)
            ),
                "Exceeded",
                "OK"
            ),
            "No Regulation defined"
        )
    ),
    ""
)</f>
        <v/>
      </c>
      <c r="AB1567" s="62" t="str">
        <f t="shared" si="24"/>
        <v/>
      </c>
    </row>
    <row r="1568" spans="3:28" x14ac:dyDescent="0.2">
      <c r="C1568" s="69"/>
      <c r="D1568" s="70"/>
      <c r="S1568" s="34"/>
      <c r="T1568" s="60" t="str">
        <f>IF(P1568&lt;&gt;"",
    IF(OR(O1568="", Q1568="", R1568=""),
        "Fill all the required columns",
        IFERROR(
            IF(OR(
                AND(R1568="Marine Protected", VLOOKUP(O1568, Reference!$A$2:$D$34, 4, FALSE) &lt;= P1568),
                AND(R1568="General Use", VLOOKUP(O1568, Reference!$A$2:$D$34, 3, FALSE) &lt;= P1568)
            ),
                "Exceeded",
                "OK"
            ),
            "No Regulation defined"
        )
    ),
    ""
)</f>
        <v/>
      </c>
      <c r="AB1568" s="62" t="str">
        <f t="shared" si="24"/>
        <v/>
      </c>
    </row>
    <row r="1569" spans="3:28" x14ac:dyDescent="0.2">
      <c r="C1569" s="69"/>
      <c r="D1569" s="70"/>
      <c r="S1569" s="34"/>
      <c r="T1569" s="60" t="str">
        <f>IF(P1569&lt;&gt;"",
    IF(OR(O1569="", Q1569="", R1569=""),
        "Fill all the required columns",
        IFERROR(
            IF(OR(
                AND(R1569="Marine Protected", VLOOKUP(O1569, Reference!$A$2:$D$34, 4, FALSE) &lt;= P1569),
                AND(R1569="General Use", VLOOKUP(O1569, Reference!$A$2:$D$34, 3, FALSE) &lt;= P1569)
            ),
                "Exceeded",
                "OK"
            ),
            "No Regulation defined"
        )
    ),
    ""
)</f>
        <v/>
      </c>
      <c r="AB1569" s="62" t="str">
        <f t="shared" si="24"/>
        <v/>
      </c>
    </row>
    <row r="1570" spans="3:28" x14ac:dyDescent="0.2">
      <c r="C1570" s="69"/>
      <c r="D1570" s="70"/>
      <c r="S1570" s="34"/>
      <c r="T1570" s="60" t="str">
        <f>IF(P1570&lt;&gt;"",
    IF(OR(O1570="", Q1570="", R1570=""),
        "Fill all the required columns",
        IFERROR(
            IF(OR(
                AND(R1570="Marine Protected", VLOOKUP(O1570, Reference!$A$2:$D$34, 4, FALSE) &lt;= P1570),
                AND(R1570="General Use", VLOOKUP(O1570, Reference!$A$2:$D$34, 3, FALSE) &lt;= P1570)
            ),
                "Exceeded",
                "OK"
            ),
            "No Regulation defined"
        )
    ),
    ""
)</f>
        <v/>
      </c>
      <c r="AB1570" s="62" t="str">
        <f t="shared" si="24"/>
        <v/>
      </c>
    </row>
    <row r="1571" spans="3:28" x14ac:dyDescent="0.2">
      <c r="C1571" s="69"/>
      <c r="D1571" s="70"/>
      <c r="S1571" s="34"/>
      <c r="T1571" s="60" t="str">
        <f>IF(P1571&lt;&gt;"",
    IF(OR(O1571="", Q1571="", R1571=""),
        "Fill all the required columns",
        IFERROR(
            IF(OR(
                AND(R1571="Marine Protected", VLOOKUP(O1571, Reference!$A$2:$D$34, 4, FALSE) &lt;= P1571),
                AND(R1571="General Use", VLOOKUP(O1571, Reference!$A$2:$D$34, 3, FALSE) &lt;= P1571)
            ),
                "Exceeded",
                "OK"
            ),
            "No Regulation defined"
        )
    ),
    ""
)</f>
        <v/>
      </c>
      <c r="AB1571" s="62" t="str">
        <f t="shared" si="24"/>
        <v/>
      </c>
    </row>
    <row r="1572" spans="3:28" x14ac:dyDescent="0.2">
      <c r="C1572" s="69"/>
      <c r="D1572" s="70"/>
      <c r="S1572" s="34"/>
      <c r="T1572" s="60" t="str">
        <f>IF(P1572&lt;&gt;"",
    IF(OR(O1572="", Q1572="", R1572=""),
        "Fill all the required columns",
        IFERROR(
            IF(OR(
                AND(R1572="Marine Protected", VLOOKUP(O1572, Reference!$A$2:$D$34, 4, FALSE) &lt;= P1572),
                AND(R1572="General Use", VLOOKUP(O1572, Reference!$A$2:$D$34, 3, FALSE) &lt;= P1572)
            ),
                "Exceeded",
                "OK"
            ),
            "No Regulation defined"
        )
    ),
    ""
)</f>
        <v/>
      </c>
      <c r="AB1572" s="62" t="str">
        <f t="shared" si="24"/>
        <v/>
      </c>
    </row>
    <row r="1573" spans="3:28" x14ac:dyDescent="0.2">
      <c r="C1573" s="69"/>
      <c r="D1573" s="70"/>
      <c r="S1573" s="34"/>
      <c r="T1573" s="60" t="str">
        <f>IF(P1573&lt;&gt;"",
    IF(OR(O1573="", Q1573="", R1573=""),
        "Fill all the required columns",
        IFERROR(
            IF(OR(
                AND(R1573="Marine Protected", VLOOKUP(O1573, Reference!$A$2:$D$34, 4, FALSE) &lt;= P1573),
                AND(R1573="General Use", VLOOKUP(O1573, Reference!$A$2:$D$34, 3, FALSE) &lt;= P1573)
            ),
                "Exceeded",
                "OK"
            ),
            "No Regulation defined"
        )
    ),
    ""
)</f>
        <v/>
      </c>
      <c r="AB1573" s="62" t="str">
        <f t="shared" si="24"/>
        <v/>
      </c>
    </row>
    <row r="1574" spans="3:28" x14ac:dyDescent="0.2">
      <c r="C1574" s="69"/>
      <c r="D1574" s="70"/>
      <c r="S1574" s="34"/>
      <c r="T1574" s="60" t="str">
        <f>IF(P1574&lt;&gt;"",
    IF(OR(O1574="", Q1574="", R1574=""),
        "Fill all the required columns",
        IFERROR(
            IF(OR(
                AND(R1574="Marine Protected", VLOOKUP(O1574, Reference!$A$2:$D$34, 4, FALSE) &lt;= P1574),
                AND(R1574="General Use", VLOOKUP(O1574, Reference!$A$2:$D$34, 3, FALSE) &lt;= P1574)
            ),
                "Exceeded",
                "OK"
            ),
            "No Regulation defined"
        )
    ),
    ""
)</f>
        <v/>
      </c>
      <c r="AB1574" s="62" t="str">
        <f t="shared" si="24"/>
        <v/>
      </c>
    </row>
    <row r="1575" spans="3:28" x14ac:dyDescent="0.2">
      <c r="C1575" s="69"/>
      <c r="D1575" s="70"/>
      <c r="S1575" s="34"/>
      <c r="T1575" s="60" t="str">
        <f>IF(P1575&lt;&gt;"",
    IF(OR(O1575="", Q1575="", R1575=""),
        "Fill all the required columns",
        IFERROR(
            IF(OR(
                AND(R1575="Marine Protected", VLOOKUP(O1575, Reference!$A$2:$D$34, 4, FALSE) &lt;= P1575),
                AND(R1575="General Use", VLOOKUP(O1575, Reference!$A$2:$D$34, 3, FALSE) &lt;= P1575)
            ),
                "Exceeded",
                "OK"
            ),
            "No Regulation defined"
        )
    ),
    ""
)</f>
        <v/>
      </c>
      <c r="AB1575" s="62" t="str">
        <f t="shared" si="24"/>
        <v/>
      </c>
    </row>
    <row r="1576" spans="3:28" x14ac:dyDescent="0.2">
      <c r="C1576" s="69"/>
      <c r="D1576" s="70"/>
      <c r="S1576" s="34"/>
      <c r="T1576" s="60" t="str">
        <f>IF(P1576&lt;&gt;"",
    IF(OR(O1576="", Q1576="", R1576=""),
        "Fill all the required columns",
        IFERROR(
            IF(OR(
                AND(R1576="Marine Protected", VLOOKUP(O1576, Reference!$A$2:$D$34, 4, FALSE) &lt;= P1576),
                AND(R1576="General Use", VLOOKUP(O1576, Reference!$A$2:$D$34, 3, FALSE) &lt;= P1576)
            ),
                "Exceeded",
                "OK"
            ),
            "No Regulation defined"
        )
    ),
    ""
)</f>
        <v/>
      </c>
      <c r="AB1576" s="62" t="str">
        <f t="shared" si="24"/>
        <v/>
      </c>
    </row>
    <row r="1577" spans="3:28" x14ac:dyDescent="0.2">
      <c r="C1577" s="69"/>
      <c r="D1577" s="70"/>
      <c r="S1577" s="34"/>
      <c r="T1577" s="60" t="str">
        <f>IF(P1577&lt;&gt;"",
    IF(OR(O1577="", Q1577="", R1577=""),
        "Fill all the required columns",
        IFERROR(
            IF(OR(
                AND(R1577="Marine Protected", VLOOKUP(O1577, Reference!$A$2:$D$34, 4, FALSE) &lt;= P1577),
                AND(R1577="General Use", VLOOKUP(O1577, Reference!$A$2:$D$34, 3, FALSE) &lt;= P1577)
            ),
                "Exceeded",
                "OK"
            ),
            "No Regulation defined"
        )
    ),
    ""
)</f>
        <v/>
      </c>
      <c r="AB1577" s="62" t="str">
        <f t="shared" si="24"/>
        <v/>
      </c>
    </row>
    <row r="1578" spans="3:28" x14ac:dyDescent="0.2">
      <c r="C1578" s="69"/>
      <c r="D1578" s="70"/>
      <c r="S1578" s="34"/>
      <c r="T1578" s="60" t="str">
        <f>IF(P1578&lt;&gt;"",
    IF(OR(O1578="", Q1578="", R1578=""),
        "Fill all the required columns",
        IFERROR(
            IF(OR(
                AND(R1578="Marine Protected", VLOOKUP(O1578, Reference!$A$2:$D$34, 4, FALSE) &lt;= P1578),
                AND(R1578="General Use", VLOOKUP(O1578, Reference!$A$2:$D$34, 3, FALSE) &lt;= P1578)
            ),
                "Exceeded",
                "OK"
            ),
            "No Regulation defined"
        )
    ),
    ""
)</f>
        <v/>
      </c>
      <c r="AB1578" s="62" t="str">
        <f t="shared" si="24"/>
        <v/>
      </c>
    </row>
    <row r="1579" spans="3:28" x14ac:dyDescent="0.2">
      <c r="C1579" s="69"/>
      <c r="D1579" s="70"/>
      <c r="S1579" s="34"/>
      <c r="T1579" s="60" t="str">
        <f>IF(P1579&lt;&gt;"",
    IF(OR(O1579="", Q1579="", R1579=""),
        "Fill all the required columns",
        IFERROR(
            IF(OR(
                AND(R1579="Marine Protected", VLOOKUP(O1579, Reference!$A$2:$D$34, 4, FALSE) &lt;= P1579),
                AND(R1579="General Use", VLOOKUP(O1579, Reference!$A$2:$D$34, 3, FALSE) &lt;= P1579)
            ),
                "Exceeded",
                "OK"
            ),
            "No Regulation defined"
        )
    ),
    ""
)</f>
        <v/>
      </c>
      <c r="AB1579" s="62" t="str">
        <f t="shared" si="24"/>
        <v/>
      </c>
    </row>
    <row r="1580" spans="3:28" x14ac:dyDescent="0.2">
      <c r="C1580" s="69"/>
      <c r="D1580" s="70"/>
      <c r="S1580" s="34"/>
      <c r="T1580" s="60" t="str">
        <f>IF(P1580&lt;&gt;"",
    IF(OR(O1580="", Q1580="", R1580=""),
        "Fill all the required columns",
        IFERROR(
            IF(OR(
                AND(R1580="Marine Protected", VLOOKUP(O1580, Reference!$A$2:$D$34, 4, FALSE) &lt;= P1580),
                AND(R1580="General Use", VLOOKUP(O1580, Reference!$A$2:$D$34, 3, FALSE) &lt;= P1580)
            ),
                "Exceeded",
                "OK"
            ),
            "No Regulation defined"
        )
    ),
    ""
)</f>
        <v/>
      </c>
      <c r="AB1580" s="62" t="str">
        <f t="shared" si="24"/>
        <v/>
      </c>
    </row>
    <row r="1581" spans="3:28" x14ac:dyDescent="0.2">
      <c r="C1581" s="69"/>
      <c r="D1581" s="70"/>
      <c r="S1581" s="34"/>
      <c r="T1581" s="60" t="str">
        <f>IF(P1581&lt;&gt;"",
    IF(OR(O1581="", Q1581="", R1581=""),
        "Fill all the required columns",
        IFERROR(
            IF(OR(
                AND(R1581="Marine Protected", VLOOKUP(O1581, Reference!$A$2:$D$34, 4, FALSE) &lt;= P1581),
                AND(R1581="General Use", VLOOKUP(O1581, Reference!$A$2:$D$34, 3, FALSE) &lt;= P1581)
            ),
                "Exceeded",
                "OK"
            ),
            "No Regulation defined"
        )
    ),
    ""
)</f>
        <v/>
      </c>
      <c r="AB1581" s="62" t="str">
        <f t="shared" si="24"/>
        <v/>
      </c>
    </row>
    <row r="1582" spans="3:28" x14ac:dyDescent="0.2">
      <c r="C1582" s="69"/>
      <c r="D1582" s="70"/>
      <c r="S1582" s="34"/>
      <c r="T1582" s="60" t="str">
        <f>IF(P1582&lt;&gt;"",
    IF(OR(O1582="", Q1582="", R1582=""),
        "Fill all the required columns",
        IFERROR(
            IF(OR(
                AND(R1582="Marine Protected", VLOOKUP(O1582, Reference!$A$2:$D$34, 4, FALSE) &lt;= P1582),
                AND(R1582="General Use", VLOOKUP(O1582, Reference!$A$2:$D$34, 3, FALSE) &lt;= P1582)
            ),
                "Exceeded",
                "OK"
            ),
            "No Regulation defined"
        )
    ),
    ""
)</f>
        <v/>
      </c>
      <c r="AB1582" s="62" t="str">
        <f t="shared" si="24"/>
        <v/>
      </c>
    </row>
    <row r="1583" spans="3:28" x14ac:dyDescent="0.2">
      <c r="C1583" s="69"/>
      <c r="D1583" s="70"/>
      <c r="S1583" s="34"/>
      <c r="T1583" s="60" t="str">
        <f>IF(P1583&lt;&gt;"",
    IF(OR(O1583="", Q1583="", R1583=""),
        "Fill all the required columns",
        IFERROR(
            IF(OR(
                AND(R1583="Marine Protected", VLOOKUP(O1583, Reference!$A$2:$D$34, 4, FALSE) &lt;= P1583),
                AND(R1583="General Use", VLOOKUP(O1583, Reference!$A$2:$D$34, 3, FALSE) &lt;= P1583)
            ),
                "Exceeded",
                "OK"
            ),
            "No Regulation defined"
        )
    ),
    ""
)</f>
        <v/>
      </c>
      <c r="AB1583" s="62" t="str">
        <f t="shared" si="24"/>
        <v/>
      </c>
    </row>
    <row r="1584" spans="3:28" x14ac:dyDescent="0.2">
      <c r="C1584" s="69"/>
      <c r="D1584" s="70"/>
      <c r="S1584" s="34"/>
      <c r="T1584" s="60" t="str">
        <f>IF(P1584&lt;&gt;"",
    IF(OR(O1584="", Q1584="", R1584=""),
        "Fill all the required columns",
        IFERROR(
            IF(OR(
                AND(R1584="Marine Protected", VLOOKUP(O1584, Reference!$A$2:$D$34, 4, FALSE) &lt;= P1584),
                AND(R1584="General Use", VLOOKUP(O1584, Reference!$A$2:$D$34, 3, FALSE) &lt;= P1584)
            ),
                "Exceeded",
                "OK"
            ),
            "No Regulation defined"
        )
    ),
    ""
)</f>
        <v/>
      </c>
      <c r="AB1584" s="62" t="str">
        <f t="shared" si="24"/>
        <v/>
      </c>
    </row>
    <row r="1585" spans="3:28" x14ac:dyDescent="0.2">
      <c r="C1585" s="69"/>
      <c r="D1585" s="70"/>
      <c r="S1585" s="34"/>
      <c r="T1585" s="60" t="str">
        <f>IF(P1585&lt;&gt;"",
    IF(OR(O1585="", Q1585="", R1585=""),
        "Fill all the required columns",
        IFERROR(
            IF(OR(
                AND(R1585="Marine Protected", VLOOKUP(O1585, Reference!$A$2:$D$34, 4, FALSE) &lt;= P1585),
                AND(R1585="General Use", VLOOKUP(O1585, Reference!$A$2:$D$34, 3, FALSE) &lt;= P1585)
            ),
                "Exceeded",
                "OK"
            ),
            "No Regulation defined"
        )
    ),
    ""
)</f>
        <v/>
      </c>
      <c r="AB1585" s="62" t="str">
        <f t="shared" si="24"/>
        <v/>
      </c>
    </row>
    <row r="1586" spans="3:28" x14ac:dyDescent="0.2">
      <c r="C1586" s="69"/>
      <c r="D1586" s="70"/>
      <c r="S1586" s="34"/>
      <c r="T1586" s="60" t="str">
        <f>IF(P1586&lt;&gt;"",
    IF(OR(O1586="", Q1586="", R1586=""),
        "Fill all the required columns",
        IFERROR(
            IF(OR(
                AND(R1586="Marine Protected", VLOOKUP(O1586, Reference!$A$2:$D$34, 4, FALSE) &lt;= P1586),
                AND(R1586="General Use", VLOOKUP(O1586, Reference!$A$2:$D$34, 3, FALSE) &lt;= P1586)
            ),
                "Exceeded",
                "OK"
            ),
            "No Regulation defined"
        )
    ),
    ""
)</f>
        <v/>
      </c>
      <c r="AB1586" s="62" t="str">
        <f t="shared" si="24"/>
        <v/>
      </c>
    </row>
    <row r="1587" spans="3:28" x14ac:dyDescent="0.2">
      <c r="C1587" s="69"/>
      <c r="D1587" s="70"/>
      <c r="S1587" s="34"/>
      <c r="T1587" s="60" t="str">
        <f>IF(P1587&lt;&gt;"",
    IF(OR(O1587="", Q1587="", R1587=""),
        "Fill all the required columns",
        IFERROR(
            IF(OR(
                AND(R1587="Marine Protected", VLOOKUP(O1587, Reference!$A$2:$D$34, 4, FALSE) &lt;= P1587),
                AND(R1587="General Use", VLOOKUP(O1587, Reference!$A$2:$D$34, 3, FALSE) &lt;= P1587)
            ),
                "Exceeded",
                "OK"
            ),
            "No Regulation defined"
        )
    ),
    ""
)</f>
        <v/>
      </c>
      <c r="AB1587" s="62" t="str">
        <f t="shared" si="24"/>
        <v/>
      </c>
    </row>
    <row r="1588" spans="3:28" x14ac:dyDescent="0.2">
      <c r="C1588" s="69"/>
      <c r="D1588" s="70"/>
      <c r="S1588" s="34"/>
      <c r="T1588" s="60" t="str">
        <f>IF(P1588&lt;&gt;"",
    IF(OR(O1588="", Q1588="", R1588=""),
        "Fill all the required columns",
        IFERROR(
            IF(OR(
                AND(R1588="Marine Protected", VLOOKUP(O1588, Reference!$A$2:$D$34, 4, FALSE) &lt;= P1588),
                AND(R1588="General Use", VLOOKUP(O1588, Reference!$A$2:$D$34, 3, FALSE) &lt;= P1588)
            ),
                "Exceeded",
                "OK"
            ),
            "No Regulation defined"
        )
    ),
    ""
)</f>
        <v/>
      </c>
      <c r="AB1588" s="62" t="str">
        <f t="shared" si="24"/>
        <v/>
      </c>
    </row>
    <row r="1589" spans="3:28" x14ac:dyDescent="0.2">
      <c r="C1589" s="69"/>
      <c r="D1589" s="70"/>
      <c r="S1589" s="34"/>
      <c r="T1589" s="60" t="str">
        <f>IF(P1589&lt;&gt;"",
    IF(OR(O1589="", Q1589="", R1589=""),
        "Fill all the required columns",
        IFERROR(
            IF(OR(
                AND(R1589="Marine Protected", VLOOKUP(O1589, Reference!$A$2:$D$34, 4, FALSE) &lt;= P1589),
                AND(R1589="General Use", VLOOKUP(O1589, Reference!$A$2:$D$34, 3, FALSE) &lt;= P1589)
            ),
                "Exceeded",
                "OK"
            ),
            "No Regulation defined"
        )
    ),
    ""
)</f>
        <v/>
      </c>
      <c r="AB1589" s="62" t="str">
        <f t="shared" si="24"/>
        <v/>
      </c>
    </row>
    <row r="1590" spans="3:28" x14ac:dyDescent="0.2">
      <c r="C1590" s="69"/>
      <c r="D1590" s="70"/>
      <c r="S1590" s="34"/>
      <c r="T1590" s="60" t="str">
        <f>IF(P1590&lt;&gt;"",
    IF(OR(O1590="", Q1590="", R1590=""),
        "Fill all the required columns",
        IFERROR(
            IF(OR(
                AND(R1590="Marine Protected", VLOOKUP(O1590, Reference!$A$2:$D$34, 4, FALSE) &lt;= P1590),
                AND(R1590="General Use", VLOOKUP(O1590, Reference!$A$2:$D$34, 3, FALSE) &lt;= P1590)
            ),
                "Exceeded",
                "OK"
            ),
            "No Regulation defined"
        )
    ),
    ""
)</f>
        <v/>
      </c>
      <c r="AB1590" s="62" t="str">
        <f t="shared" si="24"/>
        <v/>
      </c>
    </row>
    <row r="1591" spans="3:28" x14ac:dyDescent="0.2">
      <c r="C1591" s="69"/>
      <c r="D1591" s="70"/>
      <c r="S1591" s="34"/>
      <c r="T1591" s="60" t="str">
        <f>IF(P1591&lt;&gt;"",
    IF(OR(O1591="", Q1591="", R1591=""),
        "Fill all the required columns",
        IFERROR(
            IF(OR(
                AND(R1591="Marine Protected", VLOOKUP(O1591, Reference!$A$2:$D$34, 4, FALSE) &lt;= P1591),
                AND(R1591="General Use", VLOOKUP(O1591, Reference!$A$2:$D$34, 3, FALSE) &lt;= P1591)
            ),
                "Exceeded",
                "OK"
            ),
            "No Regulation defined"
        )
    ),
    ""
)</f>
        <v/>
      </c>
      <c r="AB1591" s="62" t="str">
        <f t="shared" si="24"/>
        <v/>
      </c>
    </row>
    <row r="1592" spans="3:28" x14ac:dyDescent="0.2">
      <c r="C1592" s="69"/>
      <c r="D1592" s="70"/>
      <c r="S1592" s="34"/>
      <c r="T1592" s="60" t="str">
        <f>IF(P1592&lt;&gt;"",
    IF(OR(O1592="", Q1592="", R1592=""),
        "Fill all the required columns",
        IFERROR(
            IF(OR(
                AND(R1592="Marine Protected", VLOOKUP(O1592, Reference!$A$2:$D$34, 4, FALSE) &lt;= P1592),
                AND(R1592="General Use", VLOOKUP(O1592, Reference!$A$2:$D$34, 3, FALSE) &lt;= P1592)
            ),
                "Exceeded",
                "OK"
            ),
            "No Regulation defined"
        )
    ),
    ""
)</f>
        <v/>
      </c>
      <c r="AB1592" s="62" t="str">
        <f t="shared" si="24"/>
        <v/>
      </c>
    </row>
    <row r="1593" spans="3:28" x14ac:dyDescent="0.2">
      <c r="C1593" s="69"/>
      <c r="D1593" s="70"/>
      <c r="S1593" s="34"/>
      <c r="T1593" s="60" t="str">
        <f>IF(P1593&lt;&gt;"",
    IF(OR(O1593="", Q1593="", R1593=""),
        "Fill all the required columns",
        IFERROR(
            IF(OR(
                AND(R1593="Marine Protected", VLOOKUP(O1593, Reference!$A$2:$D$34, 4, FALSE) &lt;= P1593),
                AND(R1593="General Use", VLOOKUP(O1593, Reference!$A$2:$D$34, 3, FALSE) &lt;= P1593)
            ),
                "Exceeded",
                "OK"
            ),
            "No Regulation defined"
        )
    ),
    ""
)</f>
        <v/>
      </c>
      <c r="AB1593" s="62" t="str">
        <f t="shared" si="24"/>
        <v/>
      </c>
    </row>
    <row r="1594" spans="3:28" x14ac:dyDescent="0.2">
      <c r="C1594" s="69"/>
      <c r="D1594" s="70"/>
      <c r="S1594" s="34"/>
      <c r="T1594" s="60" t="str">
        <f>IF(P1594&lt;&gt;"",
    IF(OR(O1594="", Q1594="", R1594=""),
        "Fill all the required columns",
        IFERROR(
            IF(OR(
                AND(R1594="Marine Protected", VLOOKUP(O1594, Reference!$A$2:$D$34, 4, FALSE) &lt;= P1594),
                AND(R1594="General Use", VLOOKUP(O1594, Reference!$A$2:$D$34, 3, FALSE) &lt;= P1594)
            ),
                "Exceeded",
                "OK"
            ),
            "No Regulation defined"
        )
    ),
    ""
)</f>
        <v/>
      </c>
      <c r="AB1594" s="62" t="str">
        <f t="shared" si="24"/>
        <v/>
      </c>
    </row>
    <row r="1595" spans="3:28" x14ac:dyDescent="0.2">
      <c r="C1595" s="69"/>
      <c r="D1595" s="70"/>
      <c r="S1595" s="34"/>
      <c r="T1595" s="60" t="str">
        <f>IF(P1595&lt;&gt;"",
    IF(OR(O1595="", Q1595="", R1595=""),
        "Fill all the required columns",
        IFERROR(
            IF(OR(
                AND(R1595="Marine Protected", VLOOKUP(O1595, Reference!$A$2:$D$34, 4, FALSE) &lt;= P1595),
                AND(R1595="General Use", VLOOKUP(O1595, Reference!$A$2:$D$34, 3, FALSE) &lt;= P1595)
            ),
                "Exceeded",
                "OK"
            ),
            "No Regulation defined"
        )
    ),
    ""
)</f>
        <v/>
      </c>
      <c r="AB1595" s="62" t="str">
        <f t="shared" si="24"/>
        <v/>
      </c>
    </row>
    <row r="1596" spans="3:28" x14ac:dyDescent="0.2">
      <c r="C1596" s="69"/>
      <c r="D1596" s="70"/>
      <c r="S1596" s="34"/>
      <c r="T1596" s="60" t="str">
        <f>IF(P1596&lt;&gt;"",
    IF(OR(O1596="", Q1596="", R1596=""),
        "Fill all the required columns",
        IFERROR(
            IF(OR(
                AND(R1596="Marine Protected", VLOOKUP(O1596, Reference!$A$2:$D$34, 4, FALSE) &lt;= P1596),
                AND(R1596="General Use", VLOOKUP(O1596, Reference!$A$2:$D$34, 3, FALSE) &lt;= P1596)
            ),
                "Exceeded",
                "OK"
            ),
            "No Regulation defined"
        )
    ),
    ""
)</f>
        <v/>
      </c>
      <c r="AB1596" s="62" t="str">
        <f t="shared" si="24"/>
        <v/>
      </c>
    </row>
    <row r="1597" spans="3:28" x14ac:dyDescent="0.2">
      <c r="C1597" s="69"/>
      <c r="D1597" s="70"/>
      <c r="S1597" s="34"/>
      <c r="T1597" s="60" t="str">
        <f>IF(P1597&lt;&gt;"",
    IF(OR(O1597="", Q1597="", R1597=""),
        "Fill all the required columns",
        IFERROR(
            IF(OR(
                AND(R1597="Marine Protected", VLOOKUP(O1597, Reference!$A$2:$D$34, 4, FALSE) &lt;= P1597),
                AND(R1597="General Use", VLOOKUP(O1597, Reference!$A$2:$D$34, 3, FALSE) &lt;= P1597)
            ),
                "Exceeded",
                "OK"
            ),
            "No Regulation defined"
        )
    ),
    ""
)</f>
        <v/>
      </c>
      <c r="AB1597" s="62" t="str">
        <f t="shared" si="24"/>
        <v/>
      </c>
    </row>
    <row r="1598" spans="3:28" x14ac:dyDescent="0.2">
      <c r="C1598" s="69"/>
      <c r="D1598" s="70"/>
      <c r="S1598" s="34"/>
      <c r="T1598" s="60" t="str">
        <f>IF(P1598&lt;&gt;"",
    IF(OR(O1598="", Q1598="", R1598=""),
        "Fill all the required columns",
        IFERROR(
            IF(OR(
                AND(R1598="Marine Protected", VLOOKUP(O1598, Reference!$A$2:$D$34, 4, FALSE) &lt;= P1598),
                AND(R1598="General Use", VLOOKUP(O1598, Reference!$A$2:$D$34, 3, FALSE) &lt;= P1598)
            ),
                "Exceeded",
                "OK"
            ),
            "No Regulation defined"
        )
    ),
    ""
)</f>
        <v/>
      </c>
      <c r="AB1598" s="62" t="str">
        <f t="shared" si="24"/>
        <v/>
      </c>
    </row>
    <row r="1599" spans="3:28" x14ac:dyDescent="0.2">
      <c r="C1599" s="69"/>
      <c r="D1599" s="70"/>
      <c r="S1599" s="34"/>
      <c r="T1599" s="60" t="str">
        <f>IF(P1599&lt;&gt;"",
    IF(OR(O1599="", Q1599="", R1599=""),
        "Fill all the required columns",
        IFERROR(
            IF(OR(
                AND(R1599="Marine Protected", VLOOKUP(O1599, Reference!$A$2:$D$34, 4, FALSE) &lt;= P1599),
                AND(R1599="General Use", VLOOKUP(O1599, Reference!$A$2:$D$34, 3, FALSE) &lt;= P1599)
            ),
                "Exceeded",
                "OK"
            ),
            "No Regulation defined"
        )
    ),
    ""
)</f>
        <v/>
      </c>
      <c r="AB1599" s="62" t="str">
        <f t="shared" si="24"/>
        <v/>
      </c>
    </row>
    <row r="1600" spans="3:28" x14ac:dyDescent="0.2">
      <c r="C1600" s="69"/>
      <c r="D1600" s="70"/>
      <c r="S1600" s="34"/>
      <c r="T1600" s="60" t="str">
        <f>IF(P1600&lt;&gt;"",
    IF(OR(O1600="", Q1600="", R1600=""),
        "Fill all the required columns",
        IFERROR(
            IF(OR(
                AND(R1600="Marine Protected", VLOOKUP(O1600, Reference!$A$2:$D$34, 4, FALSE) &lt;= P1600),
                AND(R1600="General Use", VLOOKUP(O1600, Reference!$A$2:$D$34, 3, FALSE) &lt;= P1600)
            ),
                "Exceeded",
                "OK"
            ),
            "No Regulation defined"
        )
    ),
    ""
)</f>
        <v/>
      </c>
      <c r="AB1600" s="62" t="str">
        <f t="shared" si="24"/>
        <v/>
      </c>
    </row>
    <row r="1601" spans="3:28" x14ac:dyDescent="0.2">
      <c r="C1601" s="69"/>
      <c r="D1601" s="70"/>
      <c r="S1601" s="34"/>
      <c r="T1601" s="60" t="str">
        <f>IF(P1601&lt;&gt;"",
    IF(OR(O1601="", Q1601="", R1601=""),
        "Fill all the required columns",
        IFERROR(
            IF(OR(
                AND(R1601="Marine Protected", VLOOKUP(O1601, Reference!$A$2:$D$34, 4, FALSE) &lt;= P1601),
                AND(R1601="General Use", VLOOKUP(O1601, Reference!$A$2:$D$34, 3, FALSE) &lt;= P1601)
            ),
                "Exceeded",
                "OK"
            ),
            "No Regulation defined"
        )
    ),
    ""
)</f>
        <v/>
      </c>
      <c r="AB1601" s="62" t="str">
        <f t="shared" si="24"/>
        <v/>
      </c>
    </row>
    <row r="1602" spans="3:28" x14ac:dyDescent="0.2">
      <c r="C1602" s="69"/>
      <c r="D1602" s="70"/>
      <c r="S1602" s="34"/>
      <c r="T1602" s="60" t="str">
        <f>IF(P1602&lt;&gt;"",
    IF(OR(O1602="", Q1602="", R1602=""),
        "Fill all the required columns",
        IFERROR(
            IF(OR(
                AND(R1602="Marine Protected", VLOOKUP(O1602, Reference!$A$2:$D$34, 4, FALSE) &lt;= P1602),
                AND(R1602="General Use", VLOOKUP(O1602, Reference!$A$2:$D$34, 3, FALSE) &lt;= P1602)
            ),
                "Exceeded",
                "OK"
            ),
            "No Regulation defined"
        )
    ),
    ""
)</f>
        <v/>
      </c>
      <c r="AB1602" s="62" t="str">
        <f t="shared" si="24"/>
        <v/>
      </c>
    </row>
    <row r="1603" spans="3:28" x14ac:dyDescent="0.2">
      <c r="C1603" s="69"/>
      <c r="D1603" s="70"/>
      <c r="S1603" s="34"/>
      <c r="T1603" s="60" t="str">
        <f>IF(P1603&lt;&gt;"",
    IF(OR(O1603="", Q1603="", R1603=""),
        "Fill all the required columns",
        IFERROR(
            IF(OR(
                AND(R1603="Marine Protected", VLOOKUP(O1603, Reference!$A$2:$D$34, 4, FALSE) &lt;= P1603),
                AND(R1603="General Use", VLOOKUP(O1603, Reference!$A$2:$D$34, 3, FALSE) &lt;= P1603)
            ),
                "Exceeded",
                "OK"
            ),
            "No Regulation defined"
        )
    ),
    ""
)</f>
        <v/>
      </c>
      <c r="AB1603" s="62" t="str">
        <f t="shared" ref="AB1603:AB1666" si="25">IF(COUNTA(A1603, E1603, F1603, H1603, I1603, O1603, P1603, Q1603, R1603,S1603) = 0, "", IF(COUNTA(A1603, E1603, F1603, H1603, I1603, O1603, P1603, Q1603, R1603,S1603) = 10, "OK", "Incomplete"))</f>
        <v/>
      </c>
    </row>
    <row r="1604" spans="3:28" x14ac:dyDescent="0.2">
      <c r="C1604" s="69"/>
      <c r="D1604" s="70"/>
      <c r="S1604" s="34"/>
      <c r="T1604" s="60" t="str">
        <f>IF(P1604&lt;&gt;"",
    IF(OR(O1604="", Q1604="", R1604=""),
        "Fill all the required columns",
        IFERROR(
            IF(OR(
                AND(R1604="Marine Protected", VLOOKUP(O1604, Reference!$A$2:$D$34, 4, FALSE) &lt;= P1604),
                AND(R1604="General Use", VLOOKUP(O1604, Reference!$A$2:$D$34, 3, FALSE) &lt;= P1604)
            ),
                "Exceeded",
                "OK"
            ),
            "No Regulation defined"
        )
    ),
    ""
)</f>
        <v/>
      </c>
      <c r="AB1604" s="62" t="str">
        <f t="shared" si="25"/>
        <v/>
      </c>
    </row>
    <row r="1605" spans="3:28" x14ac:dyDescent="0.2">
      <c r="C1605" s="69"/>
      <c r="D1605" s="70"/>
      <c r="S1605" s="34"/>
      <c r="T1605" s="60" t="str">
        <f>IF(P1605&lt;&gt;"",
    IF(OR(O1605="", Q1605="", R1605=""),
        "Fill all the required columns",
        IFERROR(
            IF(OR(
                AND(R1605="Marine Protected", VLOOKUP(O1605, Reference!$A$2:$D$34, 4, FALSE) &lt;= P1605),
                AND(R1605="General Use", VLOOKUP(O1605, Reference!$A$2:$D$34, 3, FALSE) &lt;= P1605)
            ),
                "Exceeded",
                "OK"
            ),
            "No Regulation defined"
        )
    ),
    ""
)</f>
        <v/>
      </c>
      <c r="AB1605" s="62" t="str">
        <f t="shared" si="25"/>
        <v/>
      </c>
    </row>
    <row r="1606" spans="3:28" x14ac:dyDescent="0.2">
      <c r="C1606" s="69"/>
      <c r="D1606" s="70"/>
      <c r="S1606" s="34"/>
      <c r="T1606" s="60" t="str">
        <f>IF(P1606&lt;&gt;"",
    IF(OR(O1606="", Q1606="", R1606=""),
        "Fill all the required columns",
        IFERROR(
            IF(OR(
                AND(R1606="Marine Protected", VLOOKUP(O1606, Reference!$A$2:$D$34, 4, FALSE) &lt;= P1606),
                AND(R1606="General Use", VLOOKUP(O1606, Reference!$A$2:$D$34, 3, FALSE) &lt;= P1606)
            ),
                "Exceeded",
                "OK"
            ),
            "No Regulation defined"
        )
    ),
    ""
)</f>
        <v/>
      </c>
      <c r="AB1606" s="62" t="str">
        <f t="shared" si="25"/>
        <v/>
      </c>
    </row>
    <row r="1607" spans="3:28" x14ac:dyDescent="0.2">
      <c r="C1607" s="69"/>
      <c r="D1607" s="70"/>
      <c r="S1607" s="34"/>
      <c r="T1607" s="60" t="str">
        <f>IF(P1607&lt;&gt;"",
    IF(OR(O1607="", Q1607="", R1607=""),
        "Fill all the required columns",
        IFERROR(
            IF(OR(
                AND(R1607="Marine Protected", VLOOKUP(O1607, Reference!$A$2:$D$34, 4, FALSE) &lt;= P1607),
                AND(R1607="General Use", VLOOKUP(O1607, Reference!$A$2:$D$34, 3, FALSE) &lt;= P1607)
            ),
                "Exceeded",
                "OK"
            ),
            "No Regulation defined"
        )
    ),
    ""
)</f>
        <v/>
      </c>
      <c r="AB1607" s="62" t="str">
        <f t="shared" si="25"/>
        <v/>
      </c>
    </row>
    <row r="1608" spans="3:28" x14ac:dyDescent="0.2">
      <c r="C1608" s="69"/>
      <c r="D1608" s="70"/>
      <c r="S1608" s="34"/>
      <c r="T1608" s="60" t="str">
        <f>IF(P1608&lt;&gt;"",
    IF(OR(O1608="", Q1608="", R1608=""),
        "Fill all the required columns",
        IFERROR(
            IF(OR(
                AND(R1608="Marine Protected", VLOOKUP(O1608, Reference!$A$2:$D$34, 4, FALSE) &lt;= P1608),
                AND(R1608="General Use", VLOOKUP(O1608, Reference!$A$2:$D$34, 3, FALSE) &lt;= P1608)
            ),
                "Exceeded",
                "OK"
            ),
            "No Regulation defined"
        )
    ),
    ""
)</f>
        <v/>
      </c>
      <c r="AB1608" s="62" t="str">
        <f t="shared" si="25"/>
        <v/>
      </c>
    </row>
    <row r="1609" spans="3:28" x14ac:dyDescent="0.2">
      <c r="C1609" s="69"/>
      <c r="D1609" s="70"/>
      <c r="S1609" s="34"/>
      <c r="T1609" s="60" t="str">
        <f>IF(P1609&lt;&gt;"",
    IF(OR(O1609="", Q1609="", R1609=""),
        "Fill all the required columns",
        IFERROR(
            IF(OR(
                AND(R1609="Marine Protected", VLOOKUP(O1609, Reference!$A$2:$D$34, 4, FALSE) &lt;= P1609),
                AND(R1609="General Use", VLOOKUP(O1609, Reference!$A$2:$D$34, 3, FALSE) &lt;= P1609)
            ),
                "Exceeded",
                "OK"
            ),
            "No Regulation defined"
        )
    ),
    ""
)</f>
        <v/>
      </c>
      <c r="AB1609" s="62" t="str">
        <f t="shared" si="25"/>
        <v/>
      </c>
    </row>
    <row r="1610" spans="3:28" x14ac:dyDescent="0.2">
      <c r="C1610" s="69"/>
      <c r="D1610" s="70"/>
      <c r="S1610" s="34"/>
      <c r="T1610" s="60" t="str">
        <f>IF(P1610&lt;&gt;"",
    IF(OR(O1610="", Q1610="", R1610=""),
        "Fill all the required columns",
        IFERROR(
            IF(OR(
                AND(R1610="Marine Protected", VLOOKUP(O1610, Reference!$A$2:$D$34, 4, FALSE) &lt;= P1610),
                AND(R1610="General Use", VLOOKUP(O1610, Reference!$A$2:$D$34, 3, FALSE) &lt;= P1610)
            ),
                "Exceeded",
                "OK"
            ),
            "No Regulation defined"
        )
    ),
    ""
)</f>
        <v/>
      </c>
      <c r="AB1610" s="62" t="str">
        <f t="shared" si="25"/>
        <v/>
      </c>
    </row>
    <row r="1611" spans="3:28" x14ac:dyDescent="0.2">
      <c r="C1611" s="69"/>
      <c r="D1611" s="70"/>
      <c r="S1611" s="34"/>
      <c r="T1611" s="60" t="str">
        <f>IF(P1611&lt;&gt;"",
    IF(OR(O1611="", Q1611="", R1611=""),
        "Fill all the required columns",
        IFERROR(
            IF(OR(
                AND(R1611="Marine Protected", VLOOKUP(O1611, Reference!$A$2:$D$34, 4, FALSE) &lt;= P1611),
                AND(R1611="General Use", VLOOKUP(O1611, Reference!$A$2:$D$34, 3, FALSE) &lt;= P1611)
            ),
                "Exceeded",
                "OK"
            ),
            "No Regulation defined"
        )
    ),
    ""
)</f>
        <v/>
      </c>
      <c r="AB1611" s="62" t="str">
        <f t="shared" si="25"/>
        <v/>
      </c>
    </row>
    <row r="1612" spans="3:28" x14ac:dyDescent="0.2">
      <c r="C1612" s="69"/>
      <c r="D1612" s="70"/>
      <c r="S1612" s="34"/>
      <c r="T1612" s="60" t="str">
        <f>IF(P1612&lt;&gt;"",
    IF(OR(O1612="", Q1612="", R1612=""),
        "Fill all the required columns",
        IFERROR(
            IF(OR(
                AND(R1612="Marine Protected", VLOOKUP(O1612, Reference!$A$2:$D$34, 4, FALSE) &lt;= P1612),
                AND(R1612="General Use", VLOOKUP(O1612, Reference!$A$2:$D$34, 3, FALSE) &lt;= P1612)
            ),
                "Exceeded",
                "OK"
            ),
            "No Regulation defined"
        )
    ),
    ""
)</f>
        <v/>
      </c>
      <c r="AB1612" s="62" t="str">
        <f t="shared" si="25"/>
        <v/>
      </c>
    </row>
    <row r="1613" spans="3:28" x14ac:dyDescent="0.2">
      <c r="C1613" s="69"/>
      <c r="D1613" s="70"/>
      <c r="S1613" s="34"/>
      <c r="T1613" s="60" t="str">
        <f>IF(P1613&lt;&gt;"",
    IF(OR(O1613="", Q1613="", R1613=""),
        "Fill all the required columns",
        IFERROR(
            IF(OR(
                AND(R1613="Marine Protected", VLOOKUP(O1613, Reference!$A$2:$D$34, 4, FALSE) &lt;= P1613),
                AND(R1613="General Use", VLOOKUP(O1613, Reference!$A$2:$D$34, 3, FALSE) &lt;= P1613)
            ),
                "Exceeded",
                "OK"
            ),
            "No Regulation defined"
        )
    ),
    ""
)</f>
        <v/>
      </c>
      <c r="AB1613" s="62" t="str">
        <f t="shared" si="25"/>
        <v/>
      </c>
    </row>
    <row r="1614" spans="3:28" x14ac:dyDescent="0.2">
      <c r="C1614" s="69"/>
      <c r="D1614" s="70"/>
      <c r="S1614" s="34"/>
      <c r="T1614" s="60" t="str">
        <f>IF(P1614&lt;&gt;"",
    IF(OR(O1614="", Q1614="", R1614=""),
        "Fill all the required columns",
        IFERROR(
            IF(OR(
                AND(R1614="Marine Protected", VLOOKUP(O1614, Reference!$A$2:$D$34, 4, FALSE) &lt;= P1614),
                AND(R1614="General Use", VLOOKUP(O1614, Reference!$A$2:$D$34, 3, FALSE) &lt;= P1614)
            ),
                "Exceeded",
                "OK"
            ),
            "No Regulation defined"
        )
    ),
    ""
)</f>
        <v/>
      </c>
      <c r="AB1614" s="62" t="str">
        <f t="shared" si="25"/>
        <v/>
      </c>
    </row>
    <row r="1615" spans="3:28" x14ac:dyDescent="0.2">
      <c r="C1615" s="69"/>
      <c r="D1615" s="70"/>
      <c r="S1615" s="34"/>
      <c r="T1615" s="60" t="str">
        <f>IF(P1615&lt;&gt;"",
    IF(OR(O1615="", Q1615="", R1615=""),
        "Fill all the required columns",
        IFERROR(
            IF(OR(
                AND(R1615="Marine Protected", VLOOKUP(O1615, Reference!$A$2:$D$34, 4, FALSE) &lt;= P1615),
                AND(R1615="General Use", VLOOKUP(O1615, Reference!$A$2:$D$34, 3, FALSE) &lt;= P1615)
            ),
                "Exceeded",
                "OK"
            ),
            "No Regulation defined"
        )
    ),
    ""
)</f>
        <v/>
      </c>
      <c r="AB1615" s="62" t="str">
        <f t="shared" si="25"/>
        <v/>
      </c>
    </row>
    <row r="1616" spans="3:28" x14ac:dyDescent="0.2">
      <c r="C1616" s="69"/>
      <c r="D1616" s="70"/>
      <c r="S1616" s="34"/>
      <c r="T1616" s="60" t="str">
        <f>IF(P1616&lt;&gt;"",
    IF(OR(O1616="", Q1616="", R1616=""),
        "Fill all the required columns",
        IFERROR(
            IF(OR(
                AND(R1616="Marine Protected", VLOOKUP(O1616, Reference!$A$2:$D$34, 4, FALSE) &lt;= P1616),
                AND(R1616="General Use", VLOOKUP(O1616, Reference!$A$2:$D$34, 3, FALSE) &lt;= P1616)
            ),
                "Exceeded",
                "OK"
            ),
            "No Regulation defined"
        )
    ),
    ""
)</f>
        <v/>
      </c>
      <c r="AB1616" s="62" t="str">
        <f t="shared" si="25"/>
        <v/>
      </c>
    </row>
    <row r="1617" spans="3:28" x14ac:dyDescent="0.2">
      <c r="C1617" s="69"/>
      <c r="D1617" s="70"/>
      <c r="S1617" s="34"/>
      <c r="T1617" s="60" t="str">
        <f>IF(P1617&lt;&gt;"",
    IF(OR(O1617="", Q1617="", R1617=""),
        "Fill all the required columns",
        IFERROR(
            IF(OR(
                AND(R1617="Marine Protected", VLOOKUP(O1617, Reference!$A$2:$D$34, 4, FALSE) &lt;= P1617),
                AND(R1617="General Use", VLOOKUP(O1617, Reference!$A$2:$D$34, 3, FALSE) &lt;= P1617)
            ),
                "Exceeded",
                "OK"
            ),
            "No Regulation defined"
        )
    ),
    ""
)</f>
        <v/>
      </c>
      <c r="AB1617" s="62" t="str">
        <f t="shared" si="25"/>
        <v/>
      </c>
    </row>
    <row r="1618" spans="3:28" x14ac:dyDescent="0.2">
      <c r="C1618" s="69"/>
      <c r="D1618" s="70"/>
      <c r="S1618" s="34"/>
      <c r="T1618" s="60" t="str">
        <f>IF(P1618&lt;&gt;"",
    IF(OR(O1618="", Q1618="", R1618=""),
        "Fill all the required columns",
        IFERROR(
            IF(OR(
                AND(R1618="Marine Protected", VLOOKUP(O1618, Reference!$A$2:$D$34, 4, FALSE) &lt;= P1618),
                AND(R1618="General Use", VLOOKUP(O1618, Reference!$A$2:$D$34, 3, FALSE) &lt;= P1618)
            ),
                "Exceeded",
                "OK"
            ),
            "No Regulation defined"
        )
    ),
    ""
)</f>
        <v/>
      </c>
      <c r="AB1618" s="62" t="str">
        <f t="shared" si="25"/>
        <v/>
      </c>
    </row>
    <row r="1619" spans="3:28" x14ac:dyDescent="0.2">
      <c r="C1619" s="69"/>
      <c r="D1619" s="70"/>
      <c r="S1619" s="34"/>
      <c r="T1619" s="60" t="str">
        <f>IF(P1619&lt;&gt;"",
    IF(OR(O1619="", Q1619="", R1619=""),
        "Fill all the required columns",
        IFERROR(
            IF(OR(
                AND(R1619="Marine Protected", VLOOKUP(O1619, Reference!$A$2:$D$34, 4, FALSE) &lt;= P1619),
                AND(R1619="General Use", VLOOKUP(O1619, Reference!$A$2:$D$34, 3, FALSE) &lt;= P1619)
            ),
                "Exceeded",
                "OK"
            ),
            "No Regulation defined"
        )
    ),
    ""
)</f>
        <v/>
      </c>
      <c r="AB1619" s="62" t="str">
        <f t="shared" si="25"/>
        <v/>
      </c>
    </row>
    <row r="1620" spans="3:28" x14ac:dyDescent="0.2">
      <c r="C1620" s="69"/>
      <c r="D1620" s="70"/>
      <c r="S1620" s="34"/>
      <c r="T1620" s="60" t="str">
        <f>IF(P1620&lt;&gt;"",
    IF(OR(O1620="", Q1620="", R1620=""),
        "Fill all the required columns",
        IFERROR(
            IF(OR(
                AND(R1620="Marine Protected", VLOOKUP(O1620, Reference!$A$2:$D$34, 4, FALSE) &lt;= P1620),
                AND(R1620="General Use", VLOOKUP(O1620, Reference!$A$2:$D$34, 3, FALSE) &lt;= P1620)
            ),
                "Exceeded",
                "OK"
            ),
            "No Regulation defined"
        )
    ),
    ""
)</f>
        <v/>
      </c>
      <c r="AB1620" s="62" t="str">
        <f t="shared" si="25"/>
        <v/>
      </c>
    </row>
    <row r="1621" spans="3:28" x14ac:dyDescent="0.2">
      <c r="C1621" s="70"/>
      <c r="D1621" s="70"/>
      <c r="S1621" s="34"/>
      <c r="T1621" s="60" t="str">
        <f>IF(P1621&lt;&gt;"",
    IF(OR(O1621="", Q1621="", R1621=""),
        "Fill all the required columns",
        IFERROR(
            IF(OR(
                AND(R1621="Marine Protected", VLOOKUP(O1621, Reference!$A$2:$D$34, 4, FALSE) &lt;= P1621),
                AND(R1621="General Use", VLOOKUP(O1621, Reference!$A$2:$D$34, 3, FALSE) &lt;= P1621)
            ),
                "Exceeded",
                "OK"
            ),
            "No Regulation defined"
        )
    ),
    ""
)</f>
        <v/>
      </c>
      <c r="AB1621" s="62" t="str">
        <f t="shared" si="25"/>
        <v/>
      </c>
    </row>
    <row r="1622" spans="3:28" x14ac:dyDescent="0.2">
      <c r="C1622" s="70"/>
      <c r="D1622" s="70"/>
      <c r="S1622" s="34"/>
      <c r="T1622" s="60" t="str">
        <f>IF(P1622&lt;&gt;"",
    IF(OR(O1622="", Q1622="", R1622=""),
        "Fill all the required columns",
        IFERROR(
            IF(OR(
                AND(R1622="Marine Protected", VLOOKUP(O1622, Reference!$A$2:$D$34, 4, FALSE) &lt;= P1622),
                AND(R1622="General Use", VLOOKUP(O1622, Reference!$A$2:$D$34, 3, FALSE) &lt;= P1622)
            ),
                "Exceeded",
                "OK"
            ),
            "No Regulation defined"
        )
    ),
    ""
)</f>
        <v/>
      </c>
      <c r="AB1622" s="62" t="str">
        <f t="shared" si="25"/>
        <v/>
      </c>
    </row>
    <row r="1623" spans="3:28" x14ac:dyDescent="0.2">
      <c r="C1623" s="70"/>
      <c r="D1623" s="70"/>
      <c r="S1623" s="34"/>
      <c r="T1623" s="60" t="str">
        <f>IF(P1623&lt;&gt;"",
    IF(OR(O1623="", Q1623="", R1623=""),
        "Fill all the required columns",
        IFERROR(
            IF(OR(
                AND(R1623="Marine Protected", VLOOKUP(O1623, Reference!$A$2:$D$34, 4, FALSE) &lt;= P1623),
                AND(R1623="General Use", VLOOKUP(O1623, Reference!$A$2:$D$34, 3, FALSE) &lt;= P1623)
            ),
                "Exceeded",
                "OK"
            ),
            "No Regulation defined"
        )
    ),
    ""
)</f>
        <v/>
      </c>
      <c r="AB1623" s="62" t="str">
        <f t="shared" si="25"/>
        <v/>
      </c>
    </row>
    <row r="1624" spans="3:28" x14ac:dyDescent="0.2">
      <c r="C1624" s="70"/>
      <c r="D1624" s="70"/>
      <c r="S1624" s="34"/>
      <c r="T1624" s="60" t="str">
        <f>IF(P1624&lt;&gt;"",
    IF(OR(O1624="", Q1624="", R1624=""),
        "Fill all the required columns",
        IFERROR(
            IF(OR(
                AND(R1624="Marine Protected", VLOOKUP(O1624, Reference!$A$2:$D$34, 4, FALSE) &lt;= P1624),
                AND(R1624="General Use", VLOOKUP(O1624, Reference!$A$2:$D$34, 3, FALSE) &lt;= P1624)
            ),
                "Exceeded",
                "OK"
            ),
            "No Regulation defined"
        )
    ),
    ""
)</f>
        <v/>
      </c>
      <c r="AB1624" s="62" t="str">
        <f t="shared" si="25"/>
        <v/>
      </c>
    </row>
    <row r="1625" spans="3:28" x14ac:dyDescent="0.2">
      <c r="C1625" s="70"/>
      <c r="D1625" s="70"/>
      <c r="S1625" s="34"/>
      <c r="T1625" s="60" t="str">
        <f>IF(P1625&lt;&gt;"",
    IF(OR(O1625="", Q1625="", R1625=""),
        "Fill all the required columns",
        IFERROR(
            IF(OR(
                AND(R1625="Marine Protected", VLOOKUP(O1625, Reference!$A$2:$D$34, 4, FALSE) &lt;= P1625),
                AND(R1625="General Use", VLOOKUP(O1625, Reference!$A$2:$D$34, 3, FALSE) &lt;= P1625)
            ),
                "Exceeded",
                "OK"
            ),
            "No Regulation defined"
        )
    ),
    ""
)</f>
        <v/>
      </c>
      <c r="AB1625" s="62" t="str">
        <f t="shared" si="25"/>
        <v/>
      </c>
    </row>
    <row r="1626" spans="3:28" x14ac:dyDescent="0.2">
      <c r="C1626" s="70"/>
      <c r="D1626" s="70"/>
      <c r="S1626" s="34"/>
      <c r="T1626" s="60" t="str">
        <f>IF(P1626&lt;&gt;"",
    IF(OR(O1626="", Q1626="", R1626=""),
        "Fill all the required columns",
        IFERROR(
            IF(OR(
                AND(R1626="Marine Protected", VLOOKUP(O1626, Reference!$A$2:$D$34, 4, FALSE) &lt;= P1626),
                AND(R1626="General Use", VLOOKUP(O1626, Reference!$A$2:$D$34, 3, FALSE) &lt;= P1626)
            ),
                "Exceeded",
                "OK"
            ),
            "No Regulation defined"
        )
    ),
    ""
)</f>
        <v/>
      </c>
      <c r="AB1626" s="62" t="str">
        <f t="shared" si="25"/>
        <v/>
      </c>
    </row>
    <row r="1627" spans="3:28" x14ac:dyDescent="0.2">
      <c r="C1627" s="70"/>
      <c r="D1627" s="70"/>
      <c r="S1627" s="34"/>
      <c r="T1627" s="60" t="str">
        <f>IF(P1627&lt;&gt;"",
    IF(OR(O1627="", Q1627="", R1627=""),
        "Fill all the required columns",
        IFERROR(
            IF(OR(
                AND(R1627="Marine Protected", VLOOKUP(O1627, Reference!$A$2:$D$34, 4, FALSE) &lt;= P1627),
                AND(R1627="General Use", VLOOKUP(O1627, Reference!$A$2:$D$34, 3, FALSE) &lt;= P1627)
            ),
                "Exceeded",
                "OK"
            ),
            "No Regulation defined"
        )
    ),
    ""
)</f>
        <v/>
      </c>
      <c r="AB1627" s="62" t="str">
        <f t="shared" si="25"/>
        <v/>
      </c>
    </row>
    <row r="1628" spans="3:28" x14ac:dyDescent="0.2">
      <c r="C1628" s="70"/>
      <c r="D1628" s="70"/>
      <c r="S1628" s="34"/>
      <c r="T1628" s="60" t="str">
        <f>IF(P1628&lt;&gt;"",
    IF(OR(O1628="", Q1628="", R1628=""),
        "Fill all the required columns",
        IFERROR(
            IF(OR(
                AND(R1628="Marine Protected", VLOOKUP(O1628, Reference!$A$2:$D$34, 4, FALSE) &lt;= P1628),
                AND(R1628="General Use", VLOOKUP(O1628, Reference!$A$2:$D$34, 3, FALSE) &lt;= P1628)
            ),
                "Exceeded",
                "OK"
            ),
            "No Regulation defined"
        )
    ),
    ""
)</f>
        <v/>
      </c>
      <c r="AB1628" s="62" t="str">
        <f t="shared" si="25"/>
        <v/>
      </c>
    </row>
    <row r="1629" spans="3:28" x14ac:dyDescent="0.2">
      <c r="C1629" s="70"/>
      <c r="D1629" s="70"/>
      <c r="S1629" s="34"/>
      <c r="T1629" s="60" t="str">
        <f>IF(P1629&lt;&gt;"",
    IF(OR(O1629="", Q1629="", R1629=""),
        "Fill all the required columns",
        IFERROR(
            IF(OR(
                AND(R1629="Marine Protected", VLOOKUP(O1629, Reference!$A$2:$D$34, 4, FALSE) &lt;= P1629),
                AND(R1629="General Use", VLOOKUP(O1629, Reference!$A$2:$D$34, 3, FALSE) &lt;= P1629)
            ),
                "Exceeded",
                "OK"
            ),
            "No Regulation defined"
        )
    ),
    ""
)</f>
        <v/>
      </c>
      <c r="AB1629" s="62" t="str">
        <f t="shared" si="25"/>
        <v/>
      </c>
    </row>
    <row r="1630" spans="3:28" x14ac:dyDescent="0.2">
      <c r="C1630" s="70"/>
      <c r="D1630" s="70"/>
      <c r="S1630" s="34"/>
      <c r="T1630" s="60" t="str">
        <f>IF(P1630&lt;&gt;"",
    IF(OR(O1630="", Q1630="", R1630=""),
        "Fill all the required columns",
        IFERROR(
            IF(OR(
                AND(R1630="Marine Protected", VLOOKUP(O1630, Reference!$A$2:$D$34, 4, FALSE) &lt;= P1630),
                AND(R1630="General Use", VLOOKUP(O1630, Reference!$A$2:$D$34, 3, FALSE) &lt;= P1630)
            ),
                "Exceeded",
                "OK"
            ),
            "No Regulation defined"
        )
    ),
    ""
)</f>
        <v/>
      </c>
      <c r="AB1630" s="62" t="str">
        <f t="shared" si="25"/>
        <v/>
      </c>
    </row>
    <row r="1631" spans="3:28" x14ac:dyDescent="0.2">
      <c r="C1631" s="70"/>
      <c r="D1631" s="70"/>
      <c r="S1631" s="34"/>
      <c r="T1631" s="60" t="str">
        <f>IF(P1631&lt;&gt;"",
    IF(OR(O1631="", Q1631="", R1631=""),
        "Fill all the required columns",
        IFERROR(
            IF(OR(
                AND(R1631="Marine Protected", VLOOKUP(O1631, Reference!$A$2:$D$34, 4, FALSE) &lt;= P1631),
                AND(R1631="General Use", VLOOKUP(O1631, Reference!$A$2:$D$34, 3, FALSE) &lt;= P1631)
            ),
                "Exceeded",
                "OK"
            ),
            "No Regulation defined"
        )
    ),
    ""
)</f>
        <v/>
      </c>
      <c r="AB1631" s="62" t="str">
        <f t="shared" si="25"/>
        <v/>
      </c>
    </row>
    <row r="1632" spans="3:28" x14ac:dyDescent="0.2">
      <c r="C1632" s="70"/>
      <c r="D1632" s="70"/>
      <c r="S1632" s="34"/>
      <c r="T1632" s="60" t="str">
        <f>IF(P1632&lt;&gt;"",
    IF(OR(O1632="", Q1632="", R1632=""),
        "Fill all the required columns",
        IFERROR(
            IF(OR(
                AND(R1632="Marine Protected", VLOOKUP(O1632, Reference!$A$2:$D$34, 4, FALSE) &lt;= P1632),
                AND(R1632="General Use", VLOOKUP(O1632, Reference!$A$2:$D$34, 3, FALSE) &lt;= P1632)
            ),
                "Exceeded",
                "OK"
            ),
            "No Regulation defined"
        )
    ),
    ""
)</f>
        <v/>
      </c>
      <c r="AB1632" s="62" t="str">
        <f t="shared" si="25"/>
        <v/>
      </c>
    </row>
    <row r="1633" spans="3:28" x14ac:dyDescent="0.2">
      <c r="C1633" s="70"/>
      <c r="D1633" s="70"/>
      <c r="S1633" s="34"/>
      <c r="T1633" s="60" t="str">
        <f>IF(P1633&lt;&gt;"",
    IF(OR(O1633="", Q1633="", R1633=""),
        "Fill all the required columns",
        IFERROR(
            IF(OR(
                AND(R1633="Marine Protected", VLOOKUP(O1633, Reference!$A$2:$D$34, 4, FALSE) &lt;= P1633),
                AND(R1633="General Use", VLOOKUP(O1633, Reference!$A$2:$D$34, 3, FALSE) &lt;= P1633)
            ),
                "Exceeded",
                "OK"
            ),
            "No Regulation defined"
        )
    ),
    ""
)</f>
        <v/>
      </c>
      <c r="AB1633" s="62" t="str">
        <f t="shared" si="25"/>
        <v/>
      </c>
    </row>
    <row r="1634" spans="3:28" x14ac:dyDescent="0.2">
      <c r="C1634" s="70"/>
      <c r="D1634" s="70"/>
      <c r="S1634" s="34"/>
      <c r="T1634" s="60" t="str">
        <f>IF(P1634&lt;&gt;"",
    IF(OR(O1634="", Q1634="", R1634=""),
        "Fill all the required columns",
        IFERROR(
            IF(OR(
                AND(R1634="Marine Protected", VLOOKUP(O1634, Reference!$A$2:$D$34, 4, FALSE) &lt;= P1634),
                AND(R1634="General Use", VLOOKUP(O1634, Reference!$A$2:$D$34, 3, FALSE) &lt;= P1634)
            ),
                "Exceeded",
                "OK"
            ),
            "No Regulation defined"
        )
    ),
    ""
)</f>
        <v/>
      </c>
      <c r="AB1634" s="62" t="str">
        <f t="shared" si="25"/>
        <v/>
      </c>
    </row>
    <row r="1635" spans="3:28" x14ac:dyDescent="0.2">
      <c r="C1635" s="70"/>
      <c r="D1635" s="70"/>
      <c r="S1635" s="34"/>
      <c r="T1635" s="60" t="str">
        <f>IF(P1635&lt;&gt;"",
    IF(OR(O1635="", Q1635="", R1635=""),
        "Fill all the required columns",
        IFERROR(
            IF(OR(
                AND(R1635="Marine Protected", VLOOKUP(O1635, Reference!$A$2:$D$34, 4, FALSE) &lt;= P1635),
                AND(R1635="General Use", VLOOKUP(O1635, Reference!$A$2:$D$34, 3, FALSE) &lt;= P1635)
            ),
                "Exceeded",
                "OK"
            ),
            "No Regulation defined"
        )
    ),
    ""
)</f>
        <v/>
      </c>
      <c r="AB1635" s="62" t="str">
        <f t="shared" si="25"/>
        <v/>
      </c>
    </row>
    <row r="1636" spans="3:28" x14ac:dyDescent="0.2">
      <c r="C1636" s="70"/>
      <c r="D1636" s="70"/>
      <c r="S1636" s="34"/>
      <c r="T1636" s="60" t="str">
        <f>IF(P1636&lt;&gt;"",
    IF(OR(O1636="", Q1636="", R1636=""),
        "Fill all the required columns",
        IFERROR(
            IF(OR(
                AND(R1636="Marine Protected", VLOOKUP(O1636, Reference!$A$2:$D$34, 4, FALSE) &lt;= P1636),
                AND(R1636="General Use", VLOOKUP(O1636, Reference!$A$2:$D$34, 3, FALSE) &lt;= P1636)
            ),
                "Exceeded",
                "OK"
            ),
            "No Regulation defined"
        )
    ),
    ""
)</f>
        <v/>
      </c>
      <c r="AB1636" s="62" t="str">
        <f t="shared" si="25"/>
        <v/>
      </c>
    </row>
    <row r="1637" spans="3:28" x14ac:dyDescent="0.2">
      <c r="C1637" s="70"/>
      <c r="D1637" s="70"/>
      <c r="S1637" s="34"/>
      <c r="T1637" s="60" t="str">
        <f>IF(P1637&lt;&gt;"",
    IF(OR(O1637="", Q1637="", R1637=""),
        "Fill all the required columns",
        IFERROR(
            IF(OR(
                AND(R1637="Marine Protected", VLOOKUP(O1637, Reference!$A$2:$D$34, 4, FALSE) &lt;= P1637),
                AND(R1637="General Use", VLOOKUP(O1637, Reference!$A$2:$D$34, 3, FALSE) &lt;= P1637)
            ),
                "Exceeded",
                "OK"
            ),
            "No Regulation defined"
        )
    ),
    ""
)</f>
        <v/>
      </c>
      <c r="AB1637" s="62" t="str">
        <f t="shared" si="25"/>
        <v/>
      </c>
    </row>
    <row r="1638" spans="3:28" x14ac:dyDescent="0.2">
      <c r="C1638" s="70"/>
      <c r="D1638" s="70"/>
      <c r="S1638" s="34"/>
      <c r="T1638" s="60" t="str">
        <f>IF(P1638&lt;&gt;"",
    IF(OR(O1638="", Q1638="", R1638=""),
        "Fill all the required columns",
        IFERROR(
            IF(OR(
                AND(R1638="Marine Protected", VLOOKUP(O1638, Reference!$A$2:$D$34, 4, FALSE) &lt;= P1638),
                AND(R1638="General Use", VLOOKUP(O1638, Reference!$A$2:$D$34, 3, FALSE) &lt;= P1638)
            ),
                "Exceeded",
                "OK"
            ),
            "No Regulation defined"
        )
    ),
    ""
)</f>
        <v/>
      </c>
      <c r="AB1638" s="62" t="str">
        <f t="shared" si="25"/>
        <v/>
      </c>
    </row>
    <row r="1639" spans="3:28" x14ac:dyDescent="0.2">
      <c r="C1639" s="70"/>
      <c r="D1639" s="70"/>
      <c r="S1639" s="34"/>
      <c r="T1639" s="60" t="str">
        <f>IF(P1639&lt;&gt;"",
    IF(OR(O1639="", Q1639="", R1639=""),
        "Fill all the required columns",
        IFERROR(
            IF(OR(
                AND(R1639="Marine Protected", VLOOKUP(O1639, Reference!$A$2:$D$34, 4, FALSE) &lt;= P1639),
                AND(R1639="General Use", VLOOKUP(O1639, Reference!$A$2:$D$34, 3, FALSE) &lt;= P1639)
            ),
                "Exceeded",
                "OK"
            ),
            "No Regulation defined"
        )
    ),
    ""
)</f>
        <v/>
      </c>
      <c r="AB1639" s="62" t="str">
        <f t="shared" si="25"/>
        <v/>
      </c>
    </row>
    <row r="1640" spans="3:28" x14ac:dyDescent="0.2">
      <c r="C1640" s="70"/>
      <c r="D1640" s="70"/>
      <c r="S1640" s="34"/>
      <c r="T1640" s="60" t="str">
        <f>IF(P1640&lt;&gt;"",
    IF(OR(O1640="", Q1640="", R1640=""),
        "Fill all the required columns",
        IFERROR(
            IF(OR(
                AND(R1640="Marine Protected", VLOOKUP(O1640, Reference!$A$2:$D$34, 4, FALSE) &lt;= P1640),
                AND(R1640="General Use", VLOOKUP(O1640, Reference!$A$2:$D$34, 3, FALSE) &lt;= P1640)
            ),
                "Exceeded",
                "OK"
            ),
            "No Regulation defined"
        )
    ),
    ""
)</f>
        <v/>
      </c>
      <c r="AB1640" s="62" t="str">
        <f t="shared" si="25"/>
        <v/>
      </c>
    </row>
    <row r="1641" spans="3:28" x14ac:dyDescent="0.2">
      <c r="C1641" s="70"/>
      <c r="D1641" s="70"/>
      <c r="S1641" s="34"/>
      <c r="T1641" s="60" t="str">
        <f>IF(P1641&lt;&gt;"",
    IF(OR(O1641="", Q1641="", R1641=""),
        "Fill all the required columns",
        IFERROR(
            IF(OR(
                AND(R1641="Marine Protected", VLOOKUP(O1641, Reference!$A$2:$D$34, 4, FALSE) &lt;= P1641),
                AND(R1641="General Use", VLOOKUP(O1641, Reference!$A$2:$D$34, 3, FALSE) &lt;= P1641)
            ),
                "Exceeded",
                "OK"
            ),
            "No Regulation defined"
        )
    ),
    ""
)</f>
        <v/>
      </c>
      <c r="AB1641" s="62" t="str">
        <f t="shared" si="25"/>
        <v/>
      </c>
    </row>
    <row r="1642" spans="3:28" x14ac:dyDescent="0.2">
      <c r="C1642" s="70"/>
      <c r="D1642" s="70"/>
      <c r="S1642" s="34"/>
      <c r="T1642" s="60" t="str">
        <f>IF(P1642&lt;&gt;"",
    IF(OR(O1642="", Q1642="", R1642=""),
        "Fill all the required columns",
        IFERROR(
            IF(OR(
                AND(R1642="Marine Protected", VLOOKUP(O1642, Reference!$A$2:$D$34, 4, FALSE) &lt;= P1642),
                AND(R1642="General Use", VLOOKUP(O1642, Reference!$A$2:$D$34, 3, FALSE) &lt;= P1642)
            ),
                "Exceeded",
                "OK"
            ),
            "No Regulation defined"
        )
    ),
    ""
)</f>
        <v/>
      </c>
      <c r="AB1642" s="62" t="str">
        <f t="shared" si="25"/>
        <v/>
      </c>
    </row>
    <row r="1643" spans="3:28" x14ac:dyDescent="0.2">
      <c r="C1643" s="70"/>
      <c r="D1643" s="70"/>
      <c r="S1643" s="34"/>
      <c r="T1643" s="60" t="str">
        <f>IF(P1643&lt;&gt;"",
    IF(OR(O1643="", Q1643="", R1643=""),
        "Fill all the required columns",
        IFERROR(
            IF(OR(
                AND(R1643="Marine Protected", VLOOKUP(O1643, Reference!$A$2:$D$34, 4, FALSE) &lt;= P1643),
                AND(R1643="General Use", VLOOKUP(O1643, Reference!$A$2:$D$34, 3, FALSE) &lt;= P1643)
            ),
                "Exceeded",
                "OK"
            ),
            "No Regulation defined"
        )
    ),
    ""
)</f>
        <v/>
      </c>
      <c r="AB1643" s="62" t="str">
        <f t="shared" si="25"/>
        <v/>
      </c>
    </row>
    <row r="1644" spans="3:28" x14ac:dyDescent="0.2">
      <c r="C1644" s="70"/>
      <c r="D1644" s="70"/>
      <c r="S1644" s="34"/>
      <c r="T1644" s="60" t="str">
        <f>IF(P1644&lt;&gt;"",
    IF(OR(O1644="", Q1644="", R1644=""),
        "Fill all the required columns",
        IFERROR(
            IF(OR(
                AND(R1644="Marine Protected", VLOOKUP(O1644, Reference!$A$2:$D$34, 4, FALSE) &lt;= P1644),
                AND(R1644="General Use", VLOOKUP(O1644, Reference!$A$2:$D$34, 3, FALSE) &lt;= P1644)
            ),
                "Exceeded",
                "OK"
            ),
            "No Regulation defined"
        )
    ),
    ""
)</f>
        <v/>
      </c>
      <c r="AB1644" s="62" t="str">
        <f t="shared" si="25"/>
        <v/>
      </c>
    </row>
    <row r="1645" spans="3:28" x14ac:dyDescent="0.2">
      <c r="C1645" s="70"/>
      <c r="D1645" s="70"/>
      <c r="S1645" s="34"/>
      <c r="T1645" s="60" t="str">
        <f>IF(P1645&lt;&gt;"",
    IF(OR(O1645="", Q1645="", R1645=""),
        "Fill all the required columns",
        IFERROR(
            IF(OR(
                AND(R1645="Marine Protected", VLOOKUP(O1645, Reference!$A$2:$D$34, 4, FALSE) &lt;= P1645),
                AND(R1645="General Use", VLOOKUP(O1645, Reference!$A$2:$D$34, 3, FALSE) &lt;= P1645)
            ),
                "Exceeded",
                "OK"
            ),
            "No Regulation defined"
        )
    ),
    ""
)</f>
        <v/>
      </c>
      <c r="AB1645" s="62" t="str">
        <f t="shared" si="25"/>
        <v/>
      </c>
    </row>
    <row r="1646" spans="3:28" x14ac:dyDescent="0.2">
      <c r="C1646" s="70"/>
      <c r="D1646" s="70"/>
      <c r="S1646" s="34"/>
      <c r="T1646" s="60" t="str">
        <f>IF(P1646&lt;&gt;"",
    IF(OR(O1646="", Q1646="", R1646=""),
        "Fill all the required columns",
        IFERROR(
            IF(OR(
                AND(R1646="Marine Protected", VLOOKUP(O1646, Reference!$A$2:$D$34, 4, FALSE) &lt;= P1646),
                AND(R1646="General Use", VLOOKUP(O1646, Reference!$A$2:$D$34, 3, FALSE) &lt;= P1646)
            ),
                "Exceeded",
                "OK"
            ),
            "No Regulation defined"
        )
    ),
    ""
)</f>
        <v/>
      </c>
      <c r="AB1646" s="62" t="str">
        <f t="shared" si="25"/>
        <v/>
      </c>
    </row>
    <row r="1647" spans="3:28" x14ac:dyDescent="0.2">
      <c r="C1647" s="70"/>
      <c r="D1647" s="70"/>
      <c r="S1647" s="34"/>
      <c r="T1647" s="60" t="str">
        <f>IF(P1647&lt;&gt;"",
    IF(OR(O1647="", Q1647="", R1647=""),
        "Fill all the required columns",
        IFERROR(
            IF(OR(
                AND(R1647="Marine Protected", VLOOKUP(O1647, Reference!$A$2:$D$34, 4, FALSE) &lt;= P1647),
                AND(R1647="General Use", VLOOKUP(O1647, Reference!$A$2:$D$34, 3, FALSE) &lt;= P1647)
            ),
                "Exceeded",
                "OK"
            ),
            "No Regulation defined"
        )
    ),
    ""
)</f>
        <v/>
      </c>
      <c r="AB1647" s="62" t="str">
        <f t="shared" si="25"/>
        <v/>
      </c>
    </row>
    <row r="1648" spans="3:28" x14ac:dyDescent="0.2">
      <c r="C1648" s="70"/>
      <c r="D1648" s="70"/>
      <c r="S1648" s="34"/>
      <c r="T1648" s="60" t="str">
        <f>IF(P1648&lt;&gt;"",
    IF(OR(O1648="", Q1648="", R1648=""),
        "Fill all the required columns",
        IFERROR(
            IF(OR(
                AND(R1648="Marine Protected", VLOOKUP(O1648, Reference!$A$2:$D$34, 4, FALSE) &lt;= P1648),
                AND(R1648="General Use", VLOOKUP(O1648, Reference!$A$2:$D$34, 3, FALSE) &lt;= P1648)
            ),
                "Exceeded",
                "OK"
            ),
            "No Regulation defined"
        )
    ),
    ""
)</f>
        <v/>
      </c>
      <c r="AB1648" s="62" t="str">
        <f t="shared" si="25"/>
        <v/>
      </c>
    </row>
    <row r="1649" spans="3:28" x14ac:dyDescent="0.2">
      <c r="C1649" s="70"/>
      <c r="D1649" s="70"/>
      <c r="S1649" s="34"/>
      <c r="T1649" s="60" t="str">
        <f>IF(P1649&lt;&gt;"",
    IF(OR(O1649="", Q1649="", R1649=""),
        "Fill all the required columns",
        IFERROR(
            IF(OR(
                AND(R1649="Marine Protected", VLOOKUP(O1649, Reference!$A$2:$D$34, 4, FALSE) &lt;= P1649),
                AND(R1649="General Use", VLOOKUP(O1649, Reference!$A$2:$D$34, 3, FALSE) &lt;= P1649)
            ),
                "Exceeded",
                "OK"
            ),
            "No Regulation defined"
        )
    ),
    ""
)</f>
        <v/>
      </c>
      <c r="AB1649" s="62" t="str">
        <f t="shared" si="25"/>
        <v/>
      </c>
    </row>
    <row r="1650" spans="3:28" x14ac:dyDescent="0.2">
      <c r="C1650" s="70"/>
      <c r="D1650" s="70"/>
      <c r="S1650" s="34"/>
      <c r="T1650" s="60" t="str">
        <f>IF(P1650&lt;&gt;"",
    IF(OR(O1650="", Q1650="", R1650=""),
        "Fill all the required columns",
        IFERROR(
            IF(OR(
                AND(R1650="Marine Protected", VLOOKUP(O1650, Reference!$A$2:$D$34, 4, FALSE) &lt;= P1650),
                AND(R1650="General Use", VLOOKUP(O1650, Reference!$A$2:$D$34, 3, FALSE) &lt;= P1650)
            ),
                "Exceeded",
                "OK"
            ),
            "No Regulation defined"
        )
    ),
    ""
)</f>
        <v/>
      </c>
      <c r="AB1650" s="62" t="str">
        <f t="shared" si="25"/>
        <v/>
      </c>
    </row>
    <row r="1651" spans="3:28" x14ac:dyDescent="0.2">
      <c r="C1651" s="70"/>
      <c r="D1651" s="70"/>
      <c r="S1651" s="34"/>
      <c r="T1651" s="60" t="str">
        <f>IF(P1651&lt;&gt;"",
    IF(OR(O1651="", Q1651="", R1651=""),
        "Fill all the required columns",
        IFERROR(
            IF(OR(
                AND(R1651="Marine Protected", VLOOKUP(O1651, Reference!$A$2:$D$34, 4, FALSE) &lt;= P1651),
                AND(R1651="General Use", VLOOKUP(O1651, Reference!$A$2:$D$34, 3, FALSE) &lt;= P1651)
            ),
                "Exceeded",
                "OK"
            ),
            "No Regulation defined"
        )
    ),
    ""
)</f>
        <v/>
      </c>
      <c r="AB1651" s="62" t="str">
        <f t="shared" si="25"/>
        <v/>
      </c>
    </row>
    <row r="1652" spans="3:28" x14ac:dyDescent="0.2">
      <c r="C1652" s="70"/>
      <c r="D1652" s="70"/>
      <c r="S1652" s="34"/>
      <c r="T1652" s="60" t="str">
        <f>IF(P1652&lt;&gt;"",
    IF(OR(O1652="", Q1652="", R1652=""),
        "Fill all the required columns",
        IFERROR(
            IF(OR(
                AND(R1652="Marine Protected", VLOOKUP(O1652, Reference!$A$2:$D$34, 4, FALSE) &lt;= P1652),
                AND(R1652="General Use", VLOOKUP(O1652, Reference!$A$2:$D$34, 3, FALSE) &lt;= P1652)
            ),
                "Exceeded",
                "OK"
            ),
            "No Regulation defined"
        )
    ),
    ""
)</f>
        <v/>
      </c>
      <c r="AB1652" s="62" t="str">
        <f t="shared" si="25"/>
        <v/>
      </c>
    </row>
    <row r="1653" spans="3:28" x14ac:dyDescent="0.2">
      <c r="C1653" s="70"/>
      <c r="D1653" s="70"/>
      <c r="S1653" s="34"/>
      <c r="T1653" s="60" t="str">
        <f>IF(P1653&lt;&gt;"",
    IF(OR(O1653="", Q1653="", R1653=""),
        "Fill all the required columns",
        IFERROR(
            IF(OR(
                AND(R1653="Marine Protected", VLOOKUP(O1653, Reference!$A$2:$D$34, 4, FALSE) &lt;= P1653),
                AND(R1653="General Use", VLOOKUP(O1653, Reference!$A$2:$D$34, 3, FALSE) &lt;= P1653)
            ),
                "Exceeded",
                "OK"
            ),
            "No Regulation defined"
        )
    ),
    ""
)</f>
        <v/>
      </c>
      <c r="AB1653" s="62" t="str">
        <f t="shared" si="25"/>
        <v/>
      </c>
    </row>
    <row r="1654" spans="3:28" x14ac:dyDescent="0.2">
      <c r="C1654" s="70"/>
      <c r="D1654" s="70"/>
      <c r="S1654" s="34"/>
      <c r="T1654" s="60" t="str">
        <f>IF(P1654&lt;&gt;"",
    IF(OR(O1654="", Q1654="", R1654=""),
        "Fill all the required columns",
        IFERROR(
            IF(OR(
                AND(R1654="Marine Protected", VLOOKUP(O1654, Reference!$A$2:$D$34, 4, FALSE) &lt;= P1654),
                AND(R1654="General Use", VLOOKUP(O1654, Reference!$A$2:$D$34, 3, FALSE) &lt;= P1654)
            ),
                "Exceeded",
                "OK"
            ),
            "No Regulation defined"
        )
    ),
    ""
)</f>
        <v/>
      </c>
      <c r="AB1654" s="62" t="str">
        <f t="shared" si="25"/>
        <v/>
      </c>
    </row>
    <row r="1655" spans="3:28" x14ac:dyDescent="0.2">
      <c r="C1655" s="70"/>
      <c r="D1655" s="70"/>
      <c r="S1655" s="34"/>
      <c r="T1655" s="60" t="str">
        <f>IF(P1655&lt;&gt;"",
    IF(OR(O1655="", Q1655="", R1655=""),
        "Fill all the required columns",
        IFERROR(
            IF(OR(
                AND(R1655="Marine Protected", VLOOKUP(O1655, Reference!$A$2:$D$34, 4, FALSE) &lt;= P1655),
                AND(R1655="General Use", VLOOKUP(O1655, Reference!$A$2:$D$34, 3, FALSE) &lt;= P1655)
            ),
                "Exceeded",
                "OK"
            ),
            "No Regulation defined"
        )
    ),
    ""
)</f>
        <v/>
      </c>
      <c r="AB1655" s="62" t="str">
        <f t="shared" si="25"/>
        <v/>
      </c>
    </row>
    <row r="1656" spans="3:28" x14ac:dyDescent="0.2">
      <c r="C1656" s="70"/>
      <c r="D1656" s="70"/>
      <c r="S1656" s="34"/>
      <c r="T1656" s="60" t="str">
        <f>IF(P1656&lt;&gt;"",
    IF(OR(O1656="", Q1656="", R1656=""),
        "Fill all the required columns",
        IFERROR(
            IF(OR(
                AND(R1656="Marine Protected", VLOOKUP(O1656, Reference!$A$2:$D$34, 4, FALSE) &lt;= P1656),
                AND(R1656="General Use", VLOOKUP(O1656, Reference!$A$2:$D$34, 3, FALSE) &lt;= P1656)
            ),
                "Exceeded",
                "OK"
            ),
            "No Regulation defined"
        )
    ),
    ""
)</f>
        <v/>
      </c>
      <c r="AB1656" s="62" t="str">
        <f t="shared" si="25"/>
        <v/>
      </c>
    </row>
    <row r="1657" spans="3:28" x14ac:dyDescent="0.2">
      <c r="C1657" s="70"/>
      <c r="D1657" s="70"/>
      <c r="S1657" s="34"/>
      <c r="T1657" s="60" t="str">
        <f>IF(P1657&lt;&gt;"",
    IF(OR(O1657="", Q1657="", R1657=""),
        "Fill all the required columns",
        IFERROR(
            IF(OR(
                AND(R1657="Marine Protected", VLOOKUP(O1657, Reference!$A$2:$D$34, 4, FALSE) &lt;= P1657),
                AND(R1657="General Use", VLOOKUP(O1657, Reference!$A$2:$D$34, 3, FALSE) &lt;= P1657)
            ),
                "Exceeded",
                "OK"
            ),
            "No Regulation defined"
        )
    ),
    ""
)</f>
        <v/>
      </c>
      <c r="AB1657" s="62" t="str">
        <f t="shared" si="25"/>
        <v/>
      </c>
    </row>
    <row r="1658" spans="3:28" x14ac:dyDescent="0.2">
      <c r="C1658" s="70"/>
      <c r="D1658" s="70"/>
      <c r="S1658" s="34"/>
      <c r="T1658" s="60" t="str">
        <f>IF(P1658&lt;&gt;"",
    IF(OR(O1658="", Q1658="", R1658=""),
        "Fill all the required columns",
        IFERROR(
            IF(OR(
                AND(R1658="Marine Protected", VLOOKUP(O1658, Reference!$A$2:$D$34, 4, FALSE) &lt;= P1658),
                AND(R1658="General Use", VLOOKUP(O1658, Reference!$A$2:$D$34, 3, FALSE) &lt;= P1658)
            ),
                "Exceeded",
                "OK"
            ),
            "No Regulation defined"
        )
    ),
    ""
)</f>
        <v/>
      </c>
      <c r="AB1658" s="62" t="str">
        <f t="shared" si="25"/>
        <v/>
      </c>
    </row>
    <row r="1659" spans="3:28" x14ac:dyDescent="0.2">
      <c r="C1659" s="70"/>
      <c r="D1659" s="70"/>
      <c r="S1659" s="34"/>
      <c r="T1659" s="60" t="str">
        <f>IF(P1659&lt;&gt;"",
    IF(OR(O1659="", Q1659="", R1659=""),
        "Fill all the required columns",
        IFERROR(
            IF(OR(
                AND(R1659="Marine Protected", VLOOKUP(O1659, Reference!$A$2:$D$34, 4, FALSE) &lt;= P1659),
                AND(R1659="General Use", VLOOKUP(O1659, Reference!$A$2:$D$34, 3, FALSE) &lt;= P1659)
            ),
                "Exceeded",
                "OK"
            ),
            "No Regulation defined"
        )
    ),
    ""
)</f>
        <v/>
      </c>
      <c r="AB1659" s="62" t="str">
        <f t="shared" si="25"/>
        <v/>
      </c>
    </row>
    <row r="1660" spans="3:28" x14ac:dyDescent="0.2">
      <c r="C1660" s="70"/>
      <c r="D1660" s="70"/>
      <c r="S1660" s="34"/>
      <c r="T1660" s="60" t="str">
        <f>IF(P1660&lt;&gt;"",
    IF(OR(O1660="", Q1660="", R1660=""),
        "Fill all the required columns",
        IFERROR(
            IF(OR(
                AND(R1660="Marine Protected", VLOOKUP(O1660, Reference!$A$2:$D$34, 4, FALSE) &lt;= P1660),
                AND(R1660="General Use", VLOOKUP(O1660, Reference!$A$2:$D$34, 3, FALSE) &lt;= P1660)
            ),
                "Exceeded",
                "OK"
            ),
            "No Regulation defined"
        )
    ),
    ""
)</f>
        <v/>
      </c>
      <c r="AB1660" s="62" t="str">
        <f t="shared" si="25"/>
        <v/>
      </c>
    </row>
    <row r="1661" spans="3:28" x14ac:dyDescent="0.2">
      <c r="C1661" s="70"/>
      <c r="D1661" s="70"/>
      <c r="S1661" s="34"/>
      <c r="T1661" s="60" t="str">
        <f>IF(P1661&lt;&gt;"",
    IF(OR(O1661="", Q1661="", R1661=""),
        "Fill all the required columns",
        IFERROR(
            IF(OR(
                AND(R1661="Marine Protected", VLOOKUP(O1661, Reference!$A$2:$D$34, 4, FALSE) &lt;= P1661),
                AND(R1661="General Use", VLOOKUP(O1661, Reference!$A$2:$D$34, 3, FALSE) &lt;= P1661)
            ),
                "Exceeded",
                "OK"
            ),
            "No Regulation defined"
        )
    ),
    ""
)</f>
        <v/>
      </c>
      <c r="AB1661" s="62" t="str">
        <f t="shared" si="25"/>
        <v/>
      </c>
    </row>
    <row r="1662" spans="3:28" x14ac:dyDescent="0.2">
      <c r="C1662" s="70"/>
      <c r="D1662" s="70"/>
      <c r="S1662" s="34"/>
      <c r="T1662" s="60" t="str">
        <f>IF(P1662&lt;&gt;"",
    IF(OR(O1662="", Q1662="", R1662=""),
        "Fill all the required columns",
        IFERROR(
            IF(OR(
                AND(R1662="Marine Protected", VLOOKUP(O1662, Reference!$A$2:$D$34, 4, FALSE) &lt;= P1662),
                AND(R1662="General Use", VLOOKUP(O1662, Reference!$A$2:$D$34, 3, FALSE) &lt;= P1662)
            ),
                "Exceeded",
                "OK"
            ),
            "No Regulation defined"
        )
    ),
    ""
)</f>
        <v/>
      </c>
      <c r="AB1662" s="62" t="str">
        <f t="shared" si="25"/>
        <v/>
      </c>
    </row>
    <row r="1663" spans="3:28" x14ac:dyDescent="0.2">
      <c r="C1663" s="70"/>
      <c r="D1663" s="70"/>
      <c r="S1663" s="34"/>
      <c r="T1663" s="60" t="str">
        <f>IF(P1663&lt;&gt;"",
    IF(OR(O1663="", Q1663="", R1663=""),
        "Fill all the required columns",
        IFERROR(
            IF(OR(
                AND(R1663="Marine Protected", VLOOKUP(O1663, Reference!$A$2:$D$34, 4, FALSE) &lt;= P1663),
                AND(R1663="General Use", VLOOKUP(O1663, Reference!$A$2:$D$34, 3, FALSE) &lt;= P1663)
            ),
                "Exceeded",
                "OK"
            ),
            "No Regulation defined"
        )
    ),
    ""
)</f>
        <v/>
      </c>
      <c r="AB1663" s="62" t="str">
        <f t="shared" si="25"/>
        <v/>
      </c>
    </row>
    <row r="1664" spans="3:28" x14ac:dyDescent="0.2">
      <c r="C1664" s="70"/>
      <c r="D1664" s="70"/>
      <c r="S1664" s="34"/>
      <c r="T1664" s="60" t="str">
        <f>IF(P1664&lt;&gt;"",
    IF(OR(O1664="", Q1664="", R1664=""),
        "Fill all the required columns",
        IFERROR(
            IF(OR(
                AND(R1664="Marine Protected", VLOOKUP(O1664, Reference!$A$2:$D$34, 4, FALSE) &lt;= P1664),
                AND(R1664="General Use", VLOOKUP(O1664, Reference!$A$2:$D$34, 3, FALSE) &lt;= P1664)
            ),
                "Exceeded",
                "OK"
            ),
            "No Regulation defined"
        )
    ),
    ""
)</f>
        <v/>
      </c>
      <c r="AB1664" s="62" t="str">
        <f t="shared" si="25"/>
        <v/>
      </c>
    </row>
    <row r="1665" spans="3:28" x14ac:dyDescent="0.2">
      <c r="C1665" s="70"/>
      <c r="D1665" s="70"/>
      <c r="S1665" s="34"/>
      <c r="T1665" s="60" t="str">
        <f>IF(P1665&lt;&gt;"",
    IF(OR(O1665="", Q1665="", R1665=""),
        "Fill all the required columns",
        IFERROR(
            IF(OR(
                AND(R1665="Marine Protected", VLOOKUP(O1665, Reference!$A$2:$D$34, 4, FALSE) &lt;= P1665),
                AND(R1665="General Use", VLOOKUP(O1665, Reference!$A$2:$D$34, 3, FALSE) &lt;= P1665)
            ),
                "Exceeded",
                "OK"
            ),
            "No Regulation defined"
        )
    ),
    ""
)</f>
        <v/>
      </c>
      <c r="AB1665" s="62" t="str">
        <f t="shared" si="25"/>
        <v/>
      </c>
    </row>
    <row r="1666" spans="3:28" x14ac:dyDescent="0.2">
      <c r="C1666" s="70"/>
      <c r="D1666" s="70"/>
      <c r="S1666" s="34"/>
      <c r="T1666" s="60" t="str">
        <f>IF(P1666&lt;&gt;"",
    IF(OR(O1666="", Q1666="", R1666=""),
        "Fill all the required columns",
        IFERROR(
            IF(OR(
                AND(R1666="Marine Protected", VLOOKUP(O1666, Reference!$A$2:$D$34, 4, FALSE) &lt;= P1666),
                AND(R1666="General Use", VLOOKUP(O1666, Reference!$A$2:$D$34, 3, FALSE) &lt;= P1666)
            ),
                "Exceeded",
                "OK"
            ),
            "No Regulation defined"
        )
    ),
    ""
)</f>
        <v/>
      </c>
      <c r="AB1666" s="62" t="str">
        <f t="shared" si="25"/>
        <v/>
      </c>
    </row>
    <row r="1667" spans="3:28" x14ac:dyDescent="0.2">
      <c r="C1667" s="70"/>
      <c r="D1667" s="70"/>
      <c r="S1667" s="34"/>
      <c r="T1667" s="60" t="str">
        <f>IF(P1667&lt;&gt;"",
    IF(OR(O1667="", Q1667="", R1667=""),
        "Fill all the required columns",
        IFERROR(
            IF(OR(
                AND(R1667="Marine Protected", VLOOKUP(O1667, Reference!$A$2:$D$34, 4, FALSE) &lt;= P1667),
                AND(R1667="General Use", VLOOKUP(O1667, Reference!$A$2:$D$34, 3, FALSE) &lt;= P1667)
            ),
                "Exceeded",
                "OK"
            ),
            "No Regulation defined"
        )
    ),
    ""
)</f>
        <v/>
      </c>
      <c r="AB1667" s="62" t="str">
        <f t="shared" ref="AB1667:AB1730" si="26">IF(COUNTA(A1667, E1667, F1667, H1667, I1667, O1667, P1667, Q1667, R1667,S1667) = 0, "", IF(COUNTA(A1667, E1667, F1667, H1667, I1667, O1667, P1667, Q1667, R1667,S1667) = 10, "OK", "Incomplete"))</f>
        <v/>
      </c>
    </row>
    <row r="1668" spans="3:28" x14ac:dyDescent="0.2">
      <c r="C1668" s="70"/>
      <c r="D1668" s="70"/>
      <c r="S1668" s="34"/>
      <c r="T1668" s="60" t="str">
        <f>IF(P1668&lt;&gt;"",
    IF(OR(O1668="", Q1668="", R1668=""),
        "Fill all the required columns",
        IFERROR(
            IF(OR(
                AND(R1668="Marine Protected", VLOOKUP(O1668, Reference!$A$2:$D$34, 4, FALSE) &lt;= P1668),
                AND(R1668="General Use", VLOOKUP(O1668, Reference!$A$2:$D$34, 3, FALSE) &lt;= P1668)
            ),
                "Exceeded",
                "OK"
            ),
            "No Regulation defined"
        )
    ),
    ""
)</f>
        <v/>
      </c>
      <c r="AB1668" s="62" t="str">
        <f t="shared" si="26"/>
        <v/>
      </c>
    </row>
    <row r="1669" spans="3:28" x14ac:dyDescent="0.2">
      <c r="C1669" s="70"/>
      <c r="D1669" s="70"/>
      <c r="S1669" s="34"/>
      <c r="T1669" s="60" t="str">
        <f>IF(P1669&lt;&gt;"",
    IF(OR(O1669="", Q1669="", R1669=""),
        "Fill all the required columns",
        IFERROR(
            IF(OR(
                AND(R1669="Marine Protected", VLOOKUP(O1669, Reference!$A$2:$D$34, 4, FALSE) &lt;= P1669),
                AND(R1669="General Use", VLOOKUP(O1669, Reference!$A$2:$D$34, 3, FALSE) &lt;= P1669)
            ),
                "Exceeded",
                "OK"
            ),
            "No Regulation defined"
        )
    ),
    ""
)</f>
        <v/>
      </c>
      <c r="AB1669" s="62" t="str">
        <f t="shared" si="26"/>
        <v/>
      </c>
    </row>
    <row r="1670" spans="3:28" x14ac:dyDescent="0.2">
      <c r="C1670" s="70"/>
      <c r="D1670" s="70"/>
      <c r="S1670" s="34"/>
      <c r="T1670" s="60" t="str">
        <f>IF(P1670&lt;&gt;"",
    IF(OR(O1670="", Q1670="", R1670=""),
        "Fill all the required columns",
        IFERROR(
            IF(OR(
                AND(R1670="Marine Protected", VLOOKUP(O1670, Reference!$A$2:$D$34, 4, FALSE) &lt;= P1670),
                AND(R1670="General Use", VLOOKUP(O1670, Reference!$A$2:$D$34, 3, FALSE) &lt;= P1670)
            ),
                "Exceeded",
                "OK"
            ),
            "No Regulation defined"
        )
    ),
    ""
)</f>
        <v/>
      </c>
      <c r="AB1670" s="62" t="str">
        <f t="shared" si="26"/>
        <v/>
      </c>
    </row>
    <row r="1671" spans="3:28" x14ac:dyDescent="0.2">
      <c r="C1671" s="70"/>
      <c r="D1671" s="70"/>
      <c r="S1671" s="34"/>
      <c r="T1671" s="60" t="str">
        <f>IF(P1671&lt;&gt;"",
    IF(OR(O1671="", Q1671="", R1671=""),
        "Fill all the required columns",
        IFERROR(
            IF(OR(
                AND(R1671="Marine Protected", VLOOKUP(O1671, Reference!$A$2:$D$34, 4, FALSE) &lt;= P1671),
                AND(R1671="General Use", VLOOKUP(O1671, Reference!$A$2:$D$34, 3, FALSE) &lt;= P1671)
            ),
                "Exceeded",
                "OK"
            ),
            "No Regulation defined"
        )
    ),
    ""
)</f>
        <v/>
      </c>
      <c r="AB1671" s="62" t="str">
        <f t="shared" si="26"/>
        <v/>
      </c>
    </row>
    <row r="1672" spans="3:28" x14ac:dyDescent="0.2">
      <c r="C1672" s="70"/>
      <c r="D1672" s="70"/>
      <c r="S1672" s="34"/>
      <c r="T1672" s="60" t="str">
        <f>IF(P1672&lt;&gt;"",
    IF(OR(O1672="", Q1672="", R1672=""),
        "Fill all the required columns",
        IFERROR(
            IF(OR(
                AND(R1672="Marine Protected", VLOOKUP(O1672, Reference!$A$2:$D$34, 4, FALSE) &lt;= P1672),
                AND(R1672="General Use", VLOOKUP(O1672, Reference!$A$2:$D$34, 3, FALSE) &lt;= P1672)
            ),
                "Exceeded",
                "OK"
            ),
            "No Regulation defined"
        )
    ),
    ""
)</f>
        <v/>
      </c>
      <c r="AB1672" s="62" t="str">
        <f t="shared" si="26"/>
        <v/>
      </c>
    </row>
    <row r="1673" spans="3:28" x14ac:dyDescent="0.2">
      <c r="C1673" s="70"/>
      <c r="D1673" s="70"/>
      <c r="S1673" s="34"/>
      <c r="T1673" s="60" t="str">
        <f>IF(P1673&lt;&gt;"",
    IF(OR(O1673="", Q1673="", R1673=""),
        "Fill all the required columns",
        IFERROR(
            IF(OR(
                AND(R1673="Marine Protected", VLOOKUP(O1673, Reference!$A$2:$D$34, 4, FALSE) &lt;= P1673),
                AND(R1673="General Use", VLOOKUP(O1673, Reference!$A$2:$D$34, 3, FALSE) &lt;= P1673)
            ),
                "Exceeded",
                "OK"
            ),
            "No Regulation defined"
        )
    ),
    ""
)</f>
        <v/>
      </c>
      <c r="AB1673" s="62" t="str">
        <f t="shared" si="26"/>
        <v/>
      </c>
    </row>
    <row r="1674" spans="3:28" x14ac:dyDescent="0.2">
      <c r="C1674" s="70"/>
      <c r="D1674" s="70"/>
      <c r="S1674" s="34"/>
      <c r="T1674" s="60" t="str">
        <f>IF(P1674&lt;&gt;"",
    IF(OR(O1674="", Q1674="", R1674=""),
        "Fill all the required columns",
        IFERROR(
            IF(OR(
                AND(R1674="Marine Protected", VLOOKUP(O1674, Reference!$A$2:$D$34, 4, FALSE) &lt;= P1674),
                AND(R1674="General Use", VLOOKUP(O1674, Reference!$A$2:$D$34, 3, FALSE) &lt;= P1674)
            ),
                "Exceeded",
                "OK"
            ),
            "No Regulation defined"
        )
    ),
    ""
)</f>
        <v/>
      </c>
      <c r="AB1674" s="62" t="str">
        <f t="shared" si="26"/>
        <v/>
      </c>
    </row>
    <row r="1675" spans="3:28" x14ac:dyDescent="0.2">
      <c r="C1675" s="70"/>
      <c r="D1675" s="70"/>
      <c r="S1675" s="34"/>
      <c r="T1675" s="60" t="str">
        <f>IF(P1675&lt;&gt;"",
    IF(OR(O1675="", Q1675="", R1675=""),
        "Fill all the required columns",
        IFERROR(
            IF(OR(
                AND(R1675="Marine Protected", VLOOKUP(O1675, Reference!$A$2:$D$34, 4, FALSE) &lt;= P1675),
                AND(R1675="General Use", VLOOKUP(O1675, Reference!$A$2:$D$34, 3, FALSE) &lt;= P1675)
            ),
                "Exceeded",
                "OK"
            ),
            "No Regulation defined"
        )
    ),
    ""
)</f>
        <v/>
      </c>
      <c r="AB1675" s="62" t="str">
        <f t="shared" si="26"/>
        <v/>
      </c>
    </row>
    <row r="1676" spans="3:28" x14ac:dyDescent="0.2">
      <c r="C1676" s="70"/>
      <c r="D1676" s="70"/>
      <c r="S1676" s="34"/>
      <c r="T1676" s="60" t="str">
        <f>IF(P1676&lt;&gt;"",
    IF(OR(O1676="", Q1676="", R1676=""),
        "Fill all the required columns",
        IFERROR(
            IF(OR(
                AND(R1676="Marine Protected", VLOOKUP(O1676, Reference!$A$2:$D$34, 4, FALSE) &lt;= P1676),
                AND(R1676="General Use", VLOOKUP(O1676, Reference!$A$2:$D$34, 3, FALSE) &lt;= P1676)
            ),
                "Exceeded",
                "OK"
            ),
            "No Regulation defined"
        )
    ),
    ""
)</f>
        <v/>
      </c>
      <c r="AB1676" s="62" t="str">
        <f t="shared" si="26"/>
        <v/>
      </c>
    </row>
    <row r="1677" spans="3:28" x14ac:dyDescent="0.2">
      <c r="C1677" s="70"/>
      <c r="D1677" s="70"/>
      <c r="S1677" s="34"/>
      <c r="T1677" s="60" t="str">
        <f>IF(P1677&lt;&gt;"",
    IF(OR(O1677="", Q1677="", R1677=""),
        "Fill all the required columns",
        IFERROR(
            IF(OR(
                AND(R1677="Marine Protected", VLOOKUP(O1677, Reference!$A$2:$D$34, 4, FALSE) &lt;= P1677),
                AND(R1677="General Use", VLOOKUP(O1677, Reference!$A$2:$D$34, 3, FALSE) &lt;= P1677)
            ),
                "Exceeded",
                "OK"
            ),
            "No Regulation defined"
        )
    ),
    ""
)</f>
        <v/>
      </c>
      <c r="AB1677" s="62" t="str">
        <f t="shared" si="26"/>
        <v/>
      </c>
    </row>
    <row r="1678" spans="3:28" x14ac:dyDescent="0.2">
      <c r="C1678" s="70"/>
      <c r="D1678" s="70"/>
      <c r="S1678" s="34"/>
      <c r="T1678" s="60" t="str">
        <f>IF(P1678&lt;&gt;"",
    IF(OR(O1678="", Q1678="", R1678=""),
        "Fill all the required columns",
        IFERROR(
            IF(OR(
                AND(R1678="Marine Protected", VLOOKUP(O1678, Reference!$A$2:$D$34, 4, FALSE) &lt;= P1678),
                AND(R1678="General Use", VLOOKUP(O1678, Reference!$A$2:$D$34, 3, FALSE) &lt;= P1678)
            ),
                "Exceeded",
                "OK"
            ),
            "No Regulation defined"
        )
    ),
    ""
)</f>
        <v/>
      </c>
      <c r="AB1678" s="62" t="str">
        <f t="shared" si="26"/>
        <v/>
      </c>
    </row>
    <row r="1679" spans="3:28" x14ac:dyDescent="0.2">
      <c r="C1679" s="70"/>
      <c r="D1679" s="70"/>
      <c r="S1679" s="34"/>
      <c r="T1679" s="60" t="str">
        <f>IF(P1679&lt;&gt;"",
    IF(OR(O1679="", Q1679="", R1679=""),
        "Fill all the required columns",
        IFERROR(
            IF(OR(
                AND(R1679="Marine Protected", VLOOKUP(O1679, Reference!$A$2:$D$34, 4, FALSE) &lt;= P1679),
                AND(R1679="General Use", VLOOKUP(O1679, Reference!$A$2:$D$34, 3, FALSE) &lt;= P1679)
            ),
                "Exceeded",
                "OK"
            ),
            "No Regulation defined"
        )
    ),
    ""
)</f>
        <v/>
      </c>
      <c r="AB1679" s="62" t="str">
        <f t="shared" si="26"/>
        <v/>
      </c>
    </row>
    <row r="1680" spans="3:28" x14ac:dyDescent="0.2">
      <c r="C1680" s="70"/>
      <c r="D1680" s="70"/>
      <c r="S1680" s="34"/>
      <c r="T1680" s="60" t="str">
        <f>IF(P1680&lt;&gt;"",
    IF(OR(O1680="", Q1680="", R1680=""),
        "Fill all the required columns",
        IFERROR(
            IF(OR(
                AND(R1680="Marine Protected", VLOOKUP(O1680, Reference!$A$2:$D$34, 4, FALSE) &lt;= P1680),
                AND(R1680="General Use", VLOOKUP(O1680, Reference!$A$2:$D$34, 3, FALSE) &lt;= P1680)
            ),
                "Exceeded",
                "OK"
            ),
            "No Regulation defined"
        )
    ),
    ""
)</f>
        <v/>
      </c>
      <c r="AB1680" s="62" t="str">
        <f t="shared" si="26"/>
        <v/>
      </c>
    </row>
    <row r="1681" spans="3:28" x14ac:dyDescent="0.2">
      <c r="C1681" s="70"/>
      <c r="D1681" s="70"/>
      <c r="S1681" s="34"/>
      <c r="T1681" s="60" t="str">
        <f>IF(P1681&lt;&gt;"",
    IF(OR(O1681="", Q1681="", R1681=""),
        "Fill all the required columns",
        IFERROR(
            IF(OR(
                AND(R1681="Marine Protected", VLOOKUP(O1681, Reference!$A$2:$D$34, 4, FALSE) &lt;= P1681),
                AND(R1681="General Use", VLOOKUP(O1681, Reference!$A$2:$D$34, 3, FALSE) &lt;= P1681)
            ),
                "Exceeded",
                "OK"
            ),
            "No Regulation defined"
        )
    ),
    ""
)</f>
        <v/>
      </c>
      <c r="AB1681" s="62" t="str">
        <f t="shared" si="26"/>
        <v/>
      </c>
    </row>
    <row r="1682" spans="3:28" x14ac:dyDescent="0.2">
      <c r="C1682" s="70"/>
      <c r="D1682" s="70"/>
      <c r="S1682" s="34"/>
      <c r="T1682" s="60" t="str">
        <f>IF(P1682&lt;&gt;"",
    IF(OR(O1682="", Q1682="", R1682=""),
        "Fill all the required columns",
        IFERROR(
            IF(OR(
                AND(R1682="Marine Protected", VLOOKUP(O1682, Reference!$A$2:$D$34, 4, FALSE) &lt;= P1682),
                AND(R1682="General Use", VLOOKUP(O1682, Reference!$A$2:$D$34, 3, FALSE) &lt;= P1682)
            ),
                "Exceeded",
                "OK"
            ),
            "No Regulation defined"
        )
    ),
    ""
)</f>
        <v/>
      </c>
      <c r="AB1682" s="62" t="str">
        <f t="shared" si="26"/>
        <v/>
      </c>
    </row>
    <row r="1683" spans="3:28" x14ac:dyDescent="0.2">
      <c r="C1683" s="70"/>
      <c r="D1683" s="70"/>
      <c r="S1683" s="34"/>
      <c r="T1683" s="60" t="str">
        <f>IF(P1683&lt;&gt;"",
    IF(OR(O1683="", Q1683="", R1683=""),
        "Fill all the required columns",
        IFERROR(
            IF(OR(
                AND(R1683="Marine Protected", VLOOKUP(O1683, Reference!$A$2:$D$34, 4, FALSE) &lt;= P1683),
                AND(R1683="General Use", VLOOKUP(O1683, Reference!$A$2:$D$34, 3, FALSE) &lt;= P1683)
            ),
                "Exceeded",
                "OK"
            ),
            "No Regulation defined"
        )
    ),
    ""
)</f>
        <v/>
      </c>
      <c r="AB1683" s="62" t="str">
        <f t="shared" si="26"/>
        <v/>
      </c>
    </row>
    <row r="1684" spans="3:28" x14ac:dyDescent="0.2">
      <c r="C1684" s="70"/>
      <c r="D1684" s="70"/>
      <c r="S1684" s="34"/>
      <c r="T1684" s="60" t="str">
        <f>IF(P1684&lt;&gt;"",
    IF(OR(O1684="", Q1684="", R1684=""),
        "Fill all the required columns",
        IFERROR(
            IF(OR(
                AND(R1684="Marine Protected", VLOOKUP(O1684, Reference!$A$2:$D$34, 4, FALSE) &lt;= P1684),
                AND(R1684="General Use", VLOOKUP(O1684, Reference!$A$2:$D$34, 3, FALSE) &lt;= P1684)
            ),
                "Exceeded",
                "OK"
            ),
            "No Regulation defined"
        )
    ),
    ""
)</f>
        <v/>
      </c>
      <c r="AB1684" s="62" t="str">
        <f t="shared" si="26"/>
        <v/>
      </c>
    </row>
    <row r="1685" spans="3:28" x14ac:dyDescent="0.2">
      <c r="C1685" s="70"/>
      <c r="D1685" s="70"/>
      <c r="S1685" s="34"/>
      <c r="T1685" s="60" t="str">
        <f>IF(P1685&lt;&gt;"",
    IF(OR(O1685="", Q1685="", R1685=""),
        "Fill all the required columns",
        IFERROR(
            IF(OR(
                AND(R1685="Marine Protected", VLOOKUP(O1685, Reference!$A$2:$D$34, 4, FALSE) &lt;= P1685),
                AND(R1685="General Use", VLOOKUP(O1685, Reference!$A$2:$D$34, 3, FALSE) &lt;= P1685)
            ),
                "Exceeded",
                "OK"
            ),
            "No Regulation defined"
        )
    ),
    ""
)</f>
        <v/>
      </c>
      <c r="AB1685" s="62" t="str">
        <f t="shared" si="26"/>
        <v/>
      </c>
    </row>
    <row r="1686" spans="3:28" x14ac:dyDescent="0.2">
      <c r="C1686" s="70"/>
      <c r="D1686" s="70"/>
      <c r="S1686" s="34"/>
      <c r="T1686" s="60" t="str">
        <f>IF(P1686&lt;&gt;"",
    IF(OR(O1686="", Q1686="", R1686=""),
        "Fill all the required columns",
        IFERROR(
            IF(OR(
                AND(R1686="Marine Protected", VLOOKUP(O1686, Reference!$A$2:$D$34, 4, FALSE) &lt;= P1686),
                AND(R1686="General Use", VLOOKUP(O1686, Reference!$A$2:$D$34, 3, FALSE) &lt;= P1686)
            ),
                "Exceeded",
                "OK"
            ),
            "No Regulation defined"
        )
    ),
    ""
)</f>
        <v/>
      </c>
      <c r="AB1686" s="62" t="str">
        <f t="shared" si="26"/>
        <v/>
      </c>
    </row>
    <row r="1687" spans="3:28" x14ac:dyDescent="0.2">
      <c r="C1687" s="70"/>
      <c r="D1687" s="70"/>
      <c r="S1687" s="34"/>
      <c r="T1687" s="60" t="str">
        <f>IF(P1687&lt;&gt;"",
    IF(OR(O1687="", Q1687="", R1687=""),
        "Fill all the required columns",
        IFERROR(
            IF(OR(
                AND(R1687="Marine Protected", VLOOKUP(O1687, Reference!$A$2:$D$34, 4, FALSE) &lt;= P1687),
                AND(R1687="General Use", VLOOKUP(O1687, Reference!$A$2:$D$34, 3, FALSE) &lt;= P1687)
            ),
                "Exceeded",
                "OK"
            ),
            "No Regulation defined"
        )
    ),
    ""
)</f>
        <v/>
      </c>
      <c r="AB1687" s="62" t="str">
        <f t="shared" si="26"/>
        <v/>
      </c>
    </row>
    <row r="1688" spans="3:28" x14ac:dyDescent="0.2">
      <c r="C1688" s="70"/>
      <c r="D1688" s="70"/>
      <c r="S1688" s="34"/>
      <c r="T1688" s="60" t="str">
        <f>IF(P1688&lt;&gt;"",
    IF(OR(O1688="", Q1688="", R1688=""),
        "Fill all the required columns",
        IFERROR(
            IF(OR(
                AND(R1688="Marine Protected", VLOOKUP(O1688, Reference!$A$2:$D$34, 4, FALSE) &lt;= P1688),
                AND(R1688="General Use", VLOOKUP(O1688, Reference!$A$2:$D$34, 3, FALSE) &lt;= P1688)
            ),
                "Exceeded",
                "OK"
            ),
            "No Regulation defined"
        )
    ),
    ""
)</f>
        <v/>
      </c>
      <c r="AB1688" s="62" t="str">
        <f t="shared" si="26"/>
        <v/>
      </c>
    </row>
    <row r="1689" spans="3:28" x14ac:dyDescent="0.2">
      <c r="C1689" s="70"/>
      <c r="D1689" s="70"/>
      <c r="S1689" s="34"/>
      <c r="T1689" s="60" t="str">
        <f>IF(P1689&lt;&gt;"",
    IF(OR(O1689="", Q1689="", R1689=""),
        "Fill all the required columns",
        IFERROR(
            IF(OR(
                AND(R1689="Marine Protected", VLOOKUP(O1689, Reference!$A$2:$D$34, 4, FALSE) &lt;= P1689),
                AND(R1689="General Use", VLOOKUP(O1689, Reference!$A$2:$D$34, 3, FALSE) &lt;= P1689)
            ),
                "Exceeded",
                "OK"
            ),
            "No Regulation defined"
        )
    ),
    ""
)</f>
        <v/>
      </c>
      <c r="AB1689" s="62" t="str">
        <f t="shared" si="26"/>
        <v/>
      </c>
    </row>
    <row r="1690" spans="3:28" x14ac:dyDescent="0.2">
      <c r="C1690" s="70"/>
      <c r="D1690" s="70"/>
      <c r="S1690" s="34"/>
      <c r="T1690" s="60" t="str">
        <f>IF(P1690&lt;&gt;"",
    IF(OR(O1690="", Q1690="", R1690=""),
        "Fill all the required columns",
        IFERROR(
            IF(OR(
                AND(R1690="Marine Protected", VLOOKUP(O1690, Reference!$A$2:$D$34, 4, FALSE) &lt;= P1690),
                AND(R1690="General Use", VLOOKUP(O1690, Reference!$A$2:$D$34, 3, FALSE) &lt;= P1690)
            ),
                "Exceeded",
                "OK"
            ),
            "No Regulation defined"
        )
    ),
    ""
)</f>
        <v/>
      </c>
      <c r="AB1690" s="62" t="str">
        <f t="shared" si="26"/>
        <v/>
      </c>
    </row>
    <row r="1691" spans="3:28" x14ac:dyDescent="0.2">
      <c r="C1691" s="70"/>
      <c r="D1691" s="70"/>
      <c r="S1691" s="34"/>
      <c r="T1691" s="60" t="str">
        <f>IF(P1691&lt;&gt;"",
    IF(OR(O1691="", Q1691="", R1691=""),
        "Fill all the required columns",
        IFERROR(
            IF(OR(
                AND(R1691="Marine Protected", VLOOKUP(O1691, Reference!$A$2:$D$34, 4, FALSE) &lt;= P1691),
                AND(R1691="General Use", VLOOKUP(O1691, Reference!$A$2:$D$34, 3, FALSE) &lt;= P1691)
            ),
                "Exceeded",
                "OK"
            ),
            "No Regulation defined"
        )
    ),
    ""
)</f>
        <v/>
      </c>
      <c r="AB1691" s="62" t="str">
        <f t="shared" si="26"/>
        <v/>
      </c>
    </row>
    <row r="1692" spans="3:28" x14ac:dyDescent="0.2">
      <c r="C1692" s="70"/>
      <c r="D1692" s="70"/>
      <c r="S1692" s="34"/>
      <c r="T1692" s="60" t="str">
        <f>IF(P1692&lt;&gt;"",
    IF(OR(O1692="", Q1692="", R1692=""),
        "Fill all the required columns",
        IFERROR(
            IF(OR(
                AND(R1692="Marine Protected", VLOOKUP(O1692, Reference!$A$2:$D$34, 4, FALSE) &lt;= P1692),
                AND(R1692="General Use", VLOOKUP(O1692, Reference!$A$2:$D$34, 3, FALSE) &lt;= P1692)
            ),
                "Exceeded",
                "OK"
            ),
            "No Regulation defined"
        )
    ),
    ""
)</f>
        <v/>
      </c>
      <c r="AB1692" s="62" t="str">
        <f t="shared" si="26"/>
        <v/>
      </c>
    </row>
    <row r="1693" spans="3:28" x14ac:dyDescent="0.2">
      <c r="C1693" s="70"/>
      <c r="D1693" s="70"/>
      <c r="S1693" s="34"/>
      <c r="T1693" s="60" t="str">
        <f>IF(P1693&lt;&gt;"",
    IF(OR(O1693="", Q1693="", R1693=""),
        "Fill all the required columns",
        IFERROR(
            IF(OR(
                AND(R1693="Marine Protected", VLOOKUP(O1693, Reference!$A$2:$D$34, 4, FALSE) &lt;= P1693),
                AND(R1693="General Use", VLOOKUP(O1693, Reference!$A$2:$D$34, 3, FALSE) &lt;= P1693)
            ),
                "Exceeded",
                "OK"
            ),
            "No Regulation defined"
        )
    ),
    ""
)</f>
        <v/>
      </c>
      <c r="AB1693" s="62" t="str">
        <f t="shared" si="26"/>
        <v/>
      </c>
    </row>
    <row r="1694" spans="3:28" x14ac:dyDescent="0.2">
      <c r="C1694" s="70"/>
      <c r="D1694" s="70"/>
      <c r="S1694" s="34"/>
      <c r="T1694" s="60" t="str">
        <f>IF(P1694&lt;&gt;"",
    IF(OR(O1694="", Q1694="", R1694=""),
        "Fill all the required columns",
        IFERROR(
            IF(OR(
                AND(R1694="Marine Protected", VLOOKUP(O1694, Reference!$A$2:$D$34, 4, FALSE) &lt;= P1694),
                AND(R1694="General Use", VLOOKUP(O1694, Reference!$A$2:$D$34, 3, FALSE) &lt;= P1694)
            ),
                "Exceeded",
                "OK"
            ),
            "No Regulation defined"
        )
    ),
    ""
)</f>
        <v/>
      </c>
      <c r="AB1694" s="62" t="str">
        <f t="shared" si="26"/>
        <v/>
      </c>
    </row>
    <row r="1695" spans="3:28" x14ac:dyDescent="0.2">
      <c r="C1695" s="70"/>
      <c r="D1695" s="70"/>
      <c r="S1695" s="34"/>
      <c r="T1695" s="60" t="str">
        <f>IF(P1695&lt;&gt;"",
    IF(OR(O1695="", Q1695="", R1695=""),
        "Fill all the required columns",
        IFERROR(
            IF(OR(
                AND(R1695="Marine Protected", VLOOKUP(O1695, Reference!$A$2:$D$34, 4, FALSE) &lt;= P1695),
                AND(R1695="General Use", VLOOKUP(O1695, Reference!$A$2:$D$34, 3, FALSE) &lt;= P1695)
            ),
                "Exceeded",
                "OK"
            ),
            "No Regulation defined"
        )
    ),
    ""
)</f>
        <v/>
      </c>
      <c r="AB1695" s="62" t="str">
        <f t="shared" si="26"/>
        <v/>
      </c>
    </row>
    <row r="1696" spans="3:28" x14ac:dyDescent="0.2">
      <c r="C1696" s="70"/>
      <c r="D1696" s="70"/>
      <c r="S1696" s="34"/>
      <c r="T1696" s="60" t="str">
        <f>IF(P1696&lt;&gt;"",
    IF(OR(O1696="", Q1696="", R1696=""),
        "Fill all the required columns",
        IFERROR(
            IF(OR(
                AND(R1696="Marine Protected", VLOOKUP(O1696, Reference!$A$2:$D$34, 4, FALSE) &lt;= P1696),
                AND(R1696="General Use", VLOOKUP(O1696, Reference!$A$2:$D$34, 3, FALSE) &lt;= P1696)
            ),
                "Exceeded",
                "OK"
            ),
            "No Regulation defined"
        )
    ),
    ""
)</f>
        <v/>
      </c>
      <c r="AB1696" s="62" t="str">
        <f t="shared" si="26"/>
        <v/>
      </c>
    </row>
    <row r="1697" spans="3:28" x14ac:dyDescent="0.2">
      <c r="C1697" s="70"/>
      <c r="D1697" s="70"/>
      <c r="S1697" s="34"/>
      <c r="T1697" s="60" t="str">
        <f>IF(P1697&lt;&gt;"",
    IF(OR(O1697="", Q1697="", R1697=""),
        "Fill all the required columns",
        IFERROR(
            IF(OR(
                AND(R1697="Marine Protected", VLOOKUP(O1697, Reference!$A$2:$D$34, 4, FALSE) &lt;= P1697),
                AND(R1697="General Use", VLOOKUP(O1697, Reference!$A$2:$D$34, 3, FALSE) &lt;= P1697)
            ),
                "Exceeded",
                "OK"
            ),
            "No Regulation defined"
        )
    ),
    ""
)</f>
        <v/>
      </c>
      <c r="AB1697" s="62" t="str">
        <f t="shared" si="26"/>
        <v/>
      </c>
    </row>
    <row r="1698" spans="3:28" x14ac:dyDescent="0.2">
      <c r="C1698" s="70"/>
      <c r="D1698" s="70"/>
      <c r="S1698" s="34"/>
      <c r="T1698" s="60" t="str">
        <f>IF(P1698&lt;&gt;"",
    IF(OR(O1698="", Q1698="", R1698=""),
        "Fill all the required columns",
        IFERROR(
            IF(OR(
                AND(R1698="Marine Protected", VLOOKUP(O1698, Reference!$A$2:$D$34, 4, FALSE) &lt;= P1698),
                AND(R1698="General Use", VLOOKUP(O1698, Reference!$A$2:$D$34, 3, FALSE) &lt;= P1698)
            ),
                "Exceeded",
                "OK"
            ),
            "No Regulation defined"
        )
    ),
    ""
)</f>
        <v/>
      </c>
      <c r="AB1698" s="62" t="str">
        <f t="shared" si="26"/>
        <v/>
      </c>
    </row>
    <row r="1699" spans="3:28" x14ac:dyDescent="0.2">
      <c r="C1699" s="70"/>
      <c r="D1699" s="70"/>
      <c r="S1699" s="34"/>
      <c r="T1699" s="60" t="str">
        <f>IF(P1699&lt;&gt;"",
    IF(OR(O1699="", Q1699="", R1699=""),
        "Fill all the required columns",
        IFERROR(
            IF(OR(
                AND(R1699="Marine Protected", VLOOKUP(O1699, Reference!$A$2:$D$34, 4, FALSE) &lt;= P1699),
                AND(R1699="General Use", VLOOKUP(O1699, Reference!$A$2:$D$34, 3, FALSE) &lt;= P1699)
            ),
                "Exceeded",
                "OK"
            ),
            "No Regulation defined"
        )
    ),
    ""
)</f>
        <v/>
      </c>
      <c r="AB1699" s="62" t="str">
        <f t="shared" si="26"/>
        <v/>
      </c>
    </row>
    <row r="1700" spans="3:28" x14ac:dyDescent="0.2">
      <c r="C1700" s="70"/>
      <c r="D1700" s="70"/>
      <c r="S1700" s="34"/>
      <c r="T1700" s="60" t="str">
        <f>IF(P1700&lt;&gt;"",
    IF(OR(O1700="", Q1700="", R1700=""),
        "Fill all the required columns",
        IFERROR(
            IF(OR(
                AND(R1700="Marine Protected", VLOOKUP(O1700, Reference!$A$2:$D$34, 4, FALSE) &lt;= P1700),
                AND(R1700="General Use", VLOOKUP(O1700, Reference!$A$2:$D$34, 3, FALSE) &lt;= P1700)
            ),
                "Exceeded",
                "OK"
            ),
            "No Regulation defined"
        )
    ),
    ""
)</f>
        <v/>
      </c>
      <c r="AB1700" s="62" t="str">
        <f t="shared" si="26"/>
        <v/>
      </c>
    </row>
    <row r="1701" spans="3:28" x14ac:dyDescent="0.2">
      <c r="C1701" s="70"/>
      <c r="D1701" s="70"/>
      <c r="S1701" s="34"/>
      <c r="T1701" s="60" t="str">
        <f>IF(P1701&lt;&gt;"",
    IF(OR(O1701="", Q1701="", R1701=""),
        "Fill all the required columns",
        IFERROR(
            IF(OR(
                AND(R1701="Marine Protected", VLOOKUP(O1701, Reference!$A$2:$D$34, 4, FALSE) &lt;= P1701),
                AND(R1701="General Use", VLOOKUP(O1701, Reference!$A$2:$D$34, 3, FALSE) &lt;= P1701)
            ),
                "Exceeded",
                "OK"
            ),
            "No Regulation defined"
        )
    ),
    ""
)</f>
        <v/>
      </c>
      <c r="AB1701" s="62" t="str">
        <f t="shared" si="26"/>
        <v/>
      </c>
    </row>
    <row r="1702" spans="3:28" x14ac:dyDescent="0.2">
      <c r="C1702" s="70"/>
      <c r="D1702" s="70"/>
      <c r="S1702" s="34"/>
      <c r="T1702" s="60" t="str">
        <f>IF(P1702&lt;&gt;"",
    IF(OR(O1702="", Q1702="", R1702=""),
        "Fill all the required columns",
        IFERROR(
            IF(OR(
                AND(R1702="Marine Protected", VLOOKUP(O1702, Reference!$A$2:$D$34, 4, FALSE) &lt;= P1702),
                AND(R1702="General Use", VLOOKUP(O1702, Reference!$A$2:$D$34, 3, FALSE) &lt;= P1702)
            ),
                "Exceeded",
                "OK"
            ),
            "No Regulation defined"
        )
    ),
    ""
)</f>
        <v/>
      </c>
      <c r="AB1702" s="62" t="str">
        <f t="shared" si="26"/>
        <v/>
      </c>
    </row>
    <row r="1703" spans="3:28" x14ac:dyDescent="0.2">
      <c r="C1703" s="70"/>
      <c r="D1703" s="70"/>
      <c r="S1703" s="34"/>
      <c r="T1703" s="60" t="str">
        <f>IF(P1703&lt;&gt;"",
    IF(OR(O1703="", Q1703="", R1703=""),
        "Fill all the required columns",
        IFERROR(
            IF(OR(
                AND(R1703="Marine Protected", VLOOKUP(O1703, Reference!$A$2:$D$34, 4, FALSE) &lt;= P1703),
                AND(R1703="General Use", VLOOKUP(O1703, Reference!$A$2:$D$34, 3, FALSE) &lt;= P1703)
            ),
                "Exceeded",
                "OK"
            ),
            "No Regulation defined"
        )
    ),
    ""
)</f>
        <v/>
      </c>
      <c r="AB1703" s="62" t="str">
        <f t="shared" si="26"/>
        <v/>
      </c>
    </row>
    <row r="1704" spans="3:28" x14ac:dyDescent="0.2">
      <c r="C1704" s="70"/>
      <c r="D1704" s="70"/>
      <c r="S1704" s="34"/>
      <c r="T1704" s="60" t="str">
        <f>IF(P1704&lt;&gt;"",
    IF(OR(O1704="", Q1704="", R1704=""),
        "Fill all the required columns",
        IFERROR(
            IF(OR(
                AND(R1704="Marine Protected", VLOOKUP(O1704, Reference!$A$2:$D$34, 4, FALSE) &lt;= P1704),
                AND(R1704="General Use", VLOOKUP(O1704, Reference!$A$2:$D$34, 3, FALSE) &lt;= P1704)
            ),
                "Exceeded",
                "OK"
            ),
            "No Regulation defined"
        )
    ),
    ""
)</f>
        <v/>
      </c>
      <c r="AB1704" s="62" t="str">
        <f t="shared" si="26"/>
        <v/>
      </c>
    </row>
    <row r="1705" spans="3:28" x14ac:dyDescent="0.2">
      <c r="C1705" s="70"/>
      <c r="D1705" s="70"/>
      <c r="S1705" s="34"/>
      <c r="T1705" s="60" t="str">
        <f>IF(P1705&lt;&gt;"",
    IF(OR(O1705="", Q1705="", R1705=""),
        "Fill all the required columns",
        IFERROR(
            IF(OR(
                AND(R1705="Marine Protected", VLOOKUP(O1705, Reference!$A$2:$D$34, 4, FALSE) &lt;= P1705),
                AND(R1705="General Use", VLOOKUP(O1705, Reference!$A$2:$D$34, 3, FALSE) &lt;= P1705)
            ),
                "Exceeded",
                "OK"
            ),
            "No Regulation defined"
        )
    ),
    ""
)</f>
        <v/>
      </c>
      <c r="AB1705" s="62" t="str">
        <f t="shared" si="26"/>
        <v/>
      </c>
    </row>
    <row r="1706" spans="3:28" x14ac:dyDescent="0.2">
      <c r="C1706" s="70"/>
      <c r="D1706" s="70"/>
      <c r="S1706" s="34"/>
      <c r="T1706" s="60" t="str">
        <f>IF(P1706&lt;&gt;"",
    IF(OR(O1706="", Q1706="", R1706=""),
        "Fill all the required columns",
        IFERROR(
            IF(OR(
                AND(R1706="Marine Protected", VLOOKUP(O1706, Reference!$A$2:$D$34, 4, FALSE) &lt;= P1706),
                AND(R1706="General Use", VLOOKUP(O1706, Reference!$A$2:$D$34, 3, FALSE) &lt;= P1706)
            ),
                "Exceeded",
                "OK"
            ),
            "No Regulation defined"
        )
    ),
    ""
)</f>
        <v/>
      </c>
      <c r="AB1706" s="62" t="str">
        <f t="shared" si="26"/>
        <v/>
      </c>
    </row>
    <row r="1707" spans="3:28" x14ac:dyDescent="0.2">
      <c r="C1707" s="70"/>
      <c r="D1707" s="70"/>
      <c r="S1707" s="34"/>
      <c r="T1707" s="60" t="str">
        <f>IF(P1707&lt;&gt;"",
    IF(OR(O1707="", Q1707="", R1707=""),
        "Fill all the required columns",
        IFERROR(
            IF(OR(
                AND(R1707="Marine Protected", VLOOKUP(O1707, Reference!$A$2:$D$34, 4, FALSE) &lt;= P1707),
                AND(R1707="General Use", VLOOKUP(O1707, Reference!$A$2:$D$34, 3, FALSE) &lt;= P1707)
            ),
                "Exceeded",
                "OK"
            ),
            "No Regulation defined"
        )
    ),
    ""
)</f>
        <v/>
      </c>
      <c r="AB1707" s="62" t="str">
        <f t="shared" si="26"/>
        <v/>
      </c>
    </row>
    <row r="1708" spans="3:28" x14ac:dyDescent="0.2">
      <c r="C1708" s="70"/>
      <c r="D1708" s="70"/>
      <c r="S1708" s="34"/>
      <c r="T1708" s="60" t="str">
        <f>IF(P1708&lt;&gt;"",
    IF(OR(O1708="", Q1708="", R1708=""),
        "Fill all the required columns",
        IFERROR(
            IF(OR(
                AND(R1708="Marine Protected", VLOOKUP(O1708, Reference!$A$2:$D$34, 4, FALSE) &lt;= P1708),
                AND(R1708="General Use", VLOOKUP(O1708, Reference!$A$2:$D$34, 3, FALSE) &lt;= P1708)
            ),
                "Exceeded",
                "OK"
            ),
            "No Regulation defined"
        )
    ),
    ""
)</f>
        <v/>
      </c>
      <c r="AB1708" s="62" t="str">
        <f t="shared" si="26"/>
        <v/>
      </c>
    </row>
    <row r="1709" spans="3:28" x14ac:dyDescent="0.2">
      <c r="C1709" s="70"/>
      <c r="D1709" s="70"/>
      <c r="S1709" s="34"/>
      <c r="T1709" s="60" t="str">
        <f>IF(P1709&lt;&gt;"",
    IF(OR(O1709="", Q1709="", R1709=""),
        "Fill all the required columns",
        IFERROR(
            IF(OR(
                AND(R1709="Marine Protected", VLOOKUP(O1709, Reference!$A$2:$D$34, 4, FALSE) &lt;= P1709),
                AND(R1709="General Use", VLOOKUP(O1709, Reference!$A$2:$D$34, 3, FALSE) &lt;= P1709)
            ),
                "Exceeded",
                "OK"
            ),
            "No Regulation defined"
        )
    ),
    ""
)</f>
        <v/>
      </c>
      <c r="AB1709" s="62" t="str">
        <f t="shared" si="26"/>
        <v/>
      </c>
    </row>
    <row r="1710" spans="3:28" x14ac:dyDescent="0.2">
      <c r="C1710" s="70"/>
      <c r="D1710" s="70"/>
      <c r="S1710" s="34"/>
      <c r="T1710" s="60" t="str">
        <f>IF(P1710&lt;&gt;"",
    IF(OR(O1710="", Q1710="", R1710=""),
        "Fill all the required columns",
        IFERROR(
            IF(OR(
                AND(R1710="Marine Protected", VLOOKUP(O1710, Reference!$A$2:$D$34, 4, FALSE) &lt;= P1710),
                AND(R1710="General Use", VLOOKUP(O1710, Reference!$A$2:$D$34, 3, FALSE) &lt;= P1710)
            ),
                "Exceeded",
                "OK"
            ),
            "No Regulation defined"
        )
    ),
    ""
)</f>
        <v/>
      </c>
      <c r="AB1710" s="62" t="str">
        <f t="shared" si="26"/>
        <v/>
      </c>
    </row>
    <row r="1711" spans="3:28" x14ac:dyDescent="0.2">
      <c r="C1711" s="70"/>
      <c r="D1711" s="70"/>
      <c r="S1711" s="34"/>
      <c r="T1711" s="60" t="str">
        <f>IF(P1711&lt;&gt;"",
    IF(OR(O1711="", Q1711="", R1711=""),
        "Fill all the required columns",
        IFERROR(
            IF(OR(
                AND(R1711="Marine Protected", VLOOKUP(O1711, Reference!$A$2:$D$34, 4, FALSE) &lt;= P1711),
                AND(R1711="General Use", VLOOKUP(O1711, Reference!$A$2:$D$34, 3, FALSE) &lt;= P1711)
            ),
                "Exceeded",
                "OK"
            ),
            "No Regulation defined"
        )
    ),
    ""
)</f>
        <v/>
      </c>
      <c r="AB1711" s="62" t="str">
        <f t="shared" si="26"/>
        <v/>
      </c>
    </row>
    <row r="1712" spans="3:28" x14ac:dyDescent="0.2">
      <c r="C1712" s="70"/>
      <c r="D1712" s="70"/>
      <c r="S1712" s="34"/>
      <c r="T1712" s="60" t="str">
        <f>IF(P1712&lt;&gt;"",
    IF(OR(O1712="", Q1712="", R1712=""),
        "Fill all the required columns",
        IFERROR(
            IF(OR(
                AND(R1712="Marine Protected", VLOOKUP(O1712, Reference!$A$2:$D$34, 4, FALSE) &lt;= P1712),
                AND(R1712="General Use", VLOOKUP(O1712, Reference!$A$2:$D$34, 3, FALSE) &lt;= P1712)
            ),
                "Exceeded",
                "OK"
            ),
            "No Regulation defined"
        )
    ),
    ""
)</f>
        <v/>
      </c>
      <c r="AB1712" s="62" t="str">
        <f t="shared" si="26"/>
        <v/>
      </c>
    </row>
    <row r="1713" spans="3:28" x14ac:dyDescent="0.2">
      <c r="C1713" s="70"/>
      <c r="D1713" s="70"/>
      <c r="S1713" s="34"/>
      <c r="T1713" s="60" t="str">
        <f>IF(P1713&lt;&gt;"",
    IF(OR(O1713="", Q1713="", R1713=""),
        "Fill all the required columns",
        IFERROR(
            IF(OR(
                AND(R1713="Marine Protected", VLOOKUP(O1713, Reference!$A$2:$D$34, 4, FALSE) &lt;= P1713),
                AND(R1713="General Use", VLOOKUP(O1713, Reference!$A$2:$D$34, 3, FALSE) &lt;= P1713)
            ),
                "Exceeded",
                "OK"
            ),
            "No Regulation defined"
        )
    ),
    ""
)</f>
        <v/>
      </c>
      <c r="AB1713" s="62" t="str">
        <f t="shared" si="26"/>
        <v/>
      </c>
    </row>
    <row r="1714" spans="3:28" x14ac:dyDescent="0.2">
      <c r="C1714" s="70"/>
      <c r="D1714" s="70"/>
      <c r="S1714" s="34"/>
      <c r="T1714" s="60" t="str">
        <f>IF(P1714&lt;&gt;"",
    IF(OR(O1714="", Q1714="", R1714=""),
        "Fill all the required columns",
        IFERROR(
            IF(OR(
                AND(R1714="Marine Protected", VLOOKUP(O1714, Reference!$A$2:$D$34, 4, FALSE) &lt;= P1714),
                AND(R1714="General Use", VLOOKUP(O1714, Reference!$A$2:$D$34, 3, FALSE) &lt;= P1714)
            ),
                "Exceeded",
                "OK"
            ),
            "No Regulation defined"
        )
    ),
    ""
)</f>
        <v/>
      </c>
      <c r="AB1714" s="62" t="str">
        <f t="shared" si="26"/>
        <v/>
      </c>
    </row>
    <row r="1715" spans="3:28" x14ac:dyDescent="0.2">
      <c r="C1715" s="70"/>
      <c r="D1715" s="70"/>
      <c r="S1715" s="34"/>
      <c r="T1715" s="60" t="str">
        <f>IF(P1715&lt;&gt;"",
    IF(OR(O1715="", Q1715="", R1715=""),
        "Fill all the required columns",
        IFERROR(
            IF(OR(
                AND(R1715="Marine Protected", VLOOKUP(O1715, Reference!$A$2:$D$34, 4, FALSE) &lt;= P1715),
                AND(R1715="General Use", VLOOKUP(O1715, Reference!$A$2:$D$34, 3, FALSE) &lt;= P1715)
            ),
                "Exceeded",
                "OK"
            ),
            "No Regulation defined"
        )
    ),
    ""
)</f>
        <v/>
      </c>
      <c r="AB1715" s="62" t="str">
        <f t="shared" si="26"/>
        <v/>
      </c>
    </row>
    <row r="1716" spans="3:28" x14ac:dyDescent="0.2">
      <c r="C1716" s="70"/>
      <c r="D1716" s="70"/>
      <c r="S1716" s="34"/>
      <c r="T1716" s="60" t="str">
        <f>IF(P1716&lt;&gt;"",
    IF(OR(O1716="", Q1716="", R1716=""),
        "Fill all the required columns",
        IFERROR(
            IF(OR(
                AND(R1716="Marine Protected", VLOOKUP(O1716, Reference!$A$2:$D$34, 4, FALSE) &lt;= P1716),
                AND(R1716="General Use", VLOOKUP(O1716, Reference!$A$2:$D$34, 3, FALSE) &lt;= P1716)
            ),
                "Exceeded",
                "OK"
            ),
            "No Regulation defined"
        )
    ),
    ""
)</f>
        <v/>
      </c>
      <c r="AB1716" s="62" t="str">
        <f t="shared" si="26"/>
        <v/>
      </c>
    </row>
    <row r="1717" spans="3:28" x14ac:dyDescent="0.2">
      <c r="C1717" s="70"/>
      <c r="D1717" s="70"/>
      <c r="S1717" s="34"/>
      <c r="T1717" s="60" t="str">
        <f>IF(P1717&lt;&gt;"",
    IF(OR(O1717="", Q1717="", R1717=""),
        "Fill all the required columns",
        IFERROR(
            IF(OR(
                AND(R1717="Marine Protected", VLOOKUP(O1717, Reference!$A$2:$D$34, 4, FALSE) &lt;= P1717),
                AND(R1717="General Use", VLOOKUP(O1717, Reference!$A$2:$D$34, 3, FALSE) &lt;= P1717)
            ),
                "Exceeded",
                "OK"
            ),
            "No Regulation defined"
        )
    ),
    ""
)</f>
        <v/>
      </c>
      <c r="AB1717" s="62" t="str">
        <f t="shared" si="26"/>
        <v/>
      </c>
    </row>
    <row r="1718" spans="3:28" x14ac:dyDescent="0.2">
      <c r="C1718" s="70"/>
      <c r="D1718" s="70"/>
      <c r="S1718" s="34"/>
      <c r="T1718" s="60" t="str">
        <f>IF(P1718&lt;&gt;"",
    IF(OR(O1718="", Q1718="", R1718=""),
        "Fill all the required columns",
        IFERROR(
            IF(OR(
                AND(R1718="Marine Protected", VLOOKUP(O1718, Reference!$A$2:$D$34, 4, FALSE) &lt;= P1718),
                AND(R1718="General Use", VLOOKUP(O1718, Reference!$A$2:$D$34, 3, FALSE) &lt;= P1718)
            ),
                "Exceeded",
                "OK"
            ),
            "No Regulation defined"
        )
    ),
    ""
)</f>
        <v/>
      </c>
      <c r="AB1718" s="62" t="str">
        <f t="shared" si="26"/>
        <v/>
      </c>
    </row>
    <row r="1719" spans="3:28" x14ac:dyDescent="0.2">
      <c r="C1719" s="70"/>
      <c r="D1719" s="70"/>
      <c r="S1719" s="34"/>
      <c r="T1719" s="60" t="str">
        <f>IF(P1719&lt;&gt;"",
    IF(OR(O1719="", Q1719="", R1719=""),
        "Fill all the required columns",
        IFERROR(
            IF(OR(
                AND(R1719="Marine Protected", VLOOKUP(O1719, Reference!$A$2:$D$34, 4, FALSE) &lt;= P1719),
                AND(R1719="General Use", VLOOKUP(O1719, Reference!$A$2:$D$34, 3, FALSE) &lt;= P1719)
            ),
                "Exceeded",
                "OK"
            ),
            "No Regulation defined"
        )
    ),
    ""
)</f>
        <v/>
      </c>
      <c r="AB1719" s="62" t="str">
        <f t="shared" si="26"/>
        <v/>
      </c>
    </row>
    <row r="1720" spans="3:28" x14ac:dyDescent="0.2">
      <c r="C1720" s="70"/>
      <c r="D1720" s="70"/>
      <c r="S1720" s="34"/>
      <c r="T1720" s="60" t="str">
        <f>IF(P1720&lt;&gt;"",
    IF(OR(O1720="", Q1720="", R1720=""),
        "Fill all the required columns",
        IFERROR(
            IF(OR(
                AND(R1720="Marine Protected", VLOOKUP(O1720, Reference!$A$2:$D$34, 4, FALSE) &lt;= P1720),
                AND(R1720="General Use", VLOOKUP(O1720, Reference!$A$2:$D$34, 3, FALSE) &lt;= P1720)
            ),
                "Exceeded",
                "OK"
            ),
            "No Regulation defined"
        )
    ),
    ""
)</f>
        <v/>
      </c>
      <c r="AB1720" s="62" t="str">
        <f t="shared" si="26"/>
        <v/>
      </c>
    </row>
    <row r="1721" spans="3:28" x14ac:dyDescent="0.2">
      <c r="C1721" s="70"/>
      <c r="D1721" s="70"/>
      <c r="S1721" s="34"/>
      <c r="T1721" s="60" t="str">
        <f>IF(P1721&lt;&gt;"",
    IF(OR(O1721="", Q1721="", R1721=""),
        "Fill all the required columns",
        IFERROR(
            IF(OR(
                AND(R1721="Marine Protected", VLOOKUP(O1721, Reference!$A$2:$D$34, 4, FALSE) &lt;= P1721),
                AND(R1721="General Use", VLOOKUP(O1721, Reference!$A$2:$D$34, 3, FALSE) &lt;= P1721)
            ),
                "Exceeded",
                "OK"
            ),
            "No Regulation defined"
        )
    ),
    ""
)</f>
        <v/>
      </c>
      <c r="AB1721" s="62" t="str">
        <f t="shared" si="26"/>
        <v/>
      </c>
    </row>
    <row r="1722" spans="3:28" x14ac:dyDescent="0.2">
      <c r="C1722" s="70"/>
      <c r="D1722" s="70"/>
      <c r="S1722" s="34"/>
      <c r="T1722" s="60" t="str">
        <f>IF(P1722&lt;&gt;"",
    IF(OR(O1722="", Q1722="", R1722=""),
        "Fill all the required columns",
        IFERROR(
            IF(OR(
                AND(R1722="Marine Protected", VLOOKUP(O1722, Reference!$A$2:$D$34, 4, FALSE) &lt;= P1722),
                AND(R1722="General Use", VLOOKUP(O1722, Reference!$A$2:$D$34, 3, FALSE) &lt;= P1722)
            ),
                "Exceeded",
                "OK"
            ),
            "No Regulation defined"
        )
    ),
    ""
)</f>
        <v/>
      </c>
      <c r="AB1722" s="62" t="str">
        <f t="shared" si="26"/>
        <v/>
      </c>
    </row>
    <row r="1723" spans="3:28" x14ac:dyDescent="0.2">
      <c r="C1723" s="70"/>
      <c r="D1723" s="70"/>
      <c r="S1723" s="34"/>
      <c r="T1723" s="60" t="str">
        <f>IF(P1723&lt;&gt;"",
    IF(OR(O1723="", Q1723="", R1723=""),
        "Fill all the required columns",
        IFERROR(
            IF(OR(
                AND(R1723="Marine Protected", VLOOKUP(O1723, Reference!$A$2:$D$34, 4, FALSE) &lt;= P1723),
                AND(R1723="General Use", VLOOKUP(O1723, Reference!$A$2:$D$34, 3, FALSE) &lt;= P1723)
            ),
                "Exceeded",
                "OK"
            ),
            "No Regulation defined"
        )
    ),
    ""
)</f>
        <v/>
      </c>
      <c r="AB1723" s="62" t="str">
        <f t="shared" si="26"/>
        <v/>
      </c>
    </row>
    <row r="1724" spans="3:28" x14ac:dyDescent="0.2">
      <c r="C1724" s="70"/>
      <c r="D1724" s="70"/>
      <c r="S1724" s="34"/>
      <c r="T1724" s="60" t="str">
        <f>IF(P1724&lt;&gt;"",
    IF(OR(O1724="", Q1724="", R1724=""),
        "Fill all the required columns",
        IFERROR(
            IF(OR(
                AND(R1724="Marine Protected", VLOOKUP(O1724, Reference!$A$2:$D$34, 4, FALSE) &lt;= P1724),
                AND(R1724="General Use", VLOOKUP(O1724, Reference!$A$2:$D$34, 3, FALSE) &lt;= P1724)
            ),
                "Exceeded",
                "OK"
            ),
            "No Regulation defined"
        )
    ),
    ""
)</f>
        <v/>
      </c>
      <c r="AB1724" s="62" t="str">
        <f t="shared" si="26"/>
        <v/>
      </c>
    </row>
    <row r="1725" spans="3:28" x14ac:dyDescent="0.2">
      <c r="C1725" s="70"/>
      <c r="D1725" s="70"/>
      <c r="S1725" s="34"/>
      <c r="T1725" s="60" t="str">
        <f>IF(P1725&lt;&gt;"",
    IF(OR(O1725="", Q1725="", R1725=""),
        "Fill all the required columns",
        IFERROR(
            IF(OR(
                AND(R1725="Marine Protected", VLOOKUP(O1725, Reference!$A$2:$D$34, 4, FALSE) &lt;= P1725),
                AND(R1725="General Use", VLOOKUP(O1725, Reference!$A$2:$D$34, 3, FALSE) &lt;= P1725)
            ),
                "Exceeded",
                "OK"
            ),
            "No Regulation defined"
        )
    ),
    ""
)</f>
        <v/>
      </c>
      <c r="AB1725" s="62" t="str">
        <f t="shared" si="26"/>
        <v/>
      </c>
    </row>
    <row r="1726" spans="3:28" x14ac:dyDescent="0.2">
      <c r="C1726" s="70"/>
      <c r="D1726" s="70"/>
      <c r="S1726" s="34"/>
      <c r="T1726" s="60" t="str">
        <f>IF(P1726&lt;&gt;"",
    IF(OR(O1726="", Q1726="", R1726=""),
        "Fill all the required columns",
        IFERROR(
            IF(OR(
                AND(R1726="Marine Protected", VLOOKUP(O1726, Reference!$A$2:$D$34, 4, FALSE) &lt;= P1726),
                AND(R1726="General Use", VLOOKUP(O1726, Reference!$A$2:$D$34, 3, FALSE) &lt;= P1726)
            ),
                "Exceeded",
                "OK"
            ),
            "No Regulation defined"
        )
    ),
    ""
)</f>
        <v/>
      </c>
      <c r="AB1726" s="62" t="str">
        <f t="shared" si="26"/>
        <v/>
      </c>
    </row>
    <row r="1727" spans="3:28" x14ac:dyDescent="0.2">
      <c r="C1727" s="70"/>
      <c r="D1727" s="70"/>
      <c r="S1727" s="34"/>
      <c r="T1727" s="60" t="str">
        <f>IF(P1727&lt;&gt;"",
    IF(OR(O1727="", Q1727="", R1727=""),
        "Fill all the required columns",
        IFERROR(
            IF(OR(
                AND(R1727="Marine Protected", VLOOKUP(O1727, Reference!$A$2:$D$34, 4, FALSE) &lt;= P1727),
                AND(R1727="General Use", VLOOKUP(O1727, Reference!$A$2:$D$34, 3, FALSE) &lt;= P1727)
            ),
                "Exceeded",
                "OK"
            ),
            "No Regulation defined"
        )
    ),
    ""
)</f>
        <v/>
      </c>
      <c r="AB1727" s="62" t="str">
        <f t="shared" si="26"/>
        <v/>
      </c>
    </row>
    <row r="1728" spans="3:28" x14ac:dyDescent="0.2">
      <c r="C1728" s="70"/>
      <c r="D1728" s="70"/>
      <c r="S1728" s="34"/>
      <c r="T1728" s="60" t="str">
        <f>IF(P1728&lt;&gt;"",
    IF(OR(O1728="", Q1728="", R1728=""),
        "Fill all the required columns",
        IFERROR(
            IF(OR(
                AND(R1728="Marine Protected", VLOOKUP(O1728, Reference!$A$2:$D$34, 4, FALSE) &lt;= P1728),
                AND(R1728="General Use", VLOOKUP(O1728, Reference!$A$2:$D$34, 3, FALSE) &lt;= P1728)
            ),
                "Exceeded",
                "OK"
            ),
            "No Regulation defined"
        )
    ),
    ""
)</f>
        <v/>
      </c>
      <c r="AB1728" s="62" t="str">
        <f t="shared" si="26"/>
        <v/>
      </c>
    </row>
    <row r="1729" spans="3:28" x14ac:dyDescent="0.2">
      <c r="C1729" s="70"/>
      <c r="D1729" s="70"/>
      <c r="S1729" s="34"/>
      <c r="T1729" s="60" t="str">
        <f>IF(P1729&lt;&gt;"",
    IF(OR(O1729="", Q1729="", R1729=""),
        "Fill all the required columns",
        IFERROR(
            IF(OR(
                AND(R1729="Marine Protected", VLOOKUP(O1729, Reference!$A$2:$D$34, 4, FALSE) &lt;= P1729),
                AND(R1729="General Use", VLOOKUP(O1729, Reference!$A$2:$D$34, 3, FALSE) &lt;= P1729)
            ),
                "Exceeded",
                "OK"
            ),
            "No Regulation defined"
        )
    ),
    ""
)</f>
        <v/>
      </c>
      <c r="AB1729" s="62" t="str">
        <f t="shared" si="26"/>
        <v/>
      </c>
    </row>
    <row r="1730" spans="3:28" x14ac:dyDescent="0.2">
      <c r="C1730" s="70"/>
      <c r="D1730" s="70"/>
      <c r="S1730" s="34"/>
      <c r="T1730" s="60" t="str">
        <f>IF(P1730&lt;&gt;"",
    IF(OR(O1730="", Q1730="", R1730=""),
        "Fill all the required columns",
        IFERROR(
            IF(OR(
                AND(R1730="Marine Protected", VLOOKUP(O1730, Reference!$A$2:$D$34, 4, FALSE) &lt;= P1730),
                AND(R1730="General Use", VLOOKUP(O1730, Reference!$A$2:$D$34, 3, FALSE) &lt;= P1730)
            ),
                "Exceeded",
                "OK"
            ),
            "No Regulation defined"
        )
    ),
    ""
)</f>
        <v/>
      </c>
      <c r="AB1730" s="62" t="str">
        <f t="shared" si="26"/>
        <v/>
      </c>
    </row>
    <row r="1731" spans="3:28" x14ac:dyDescent="0.2">
      <c r="C1731" s="70"/>
      <c r="D1731" s="70"/>
      <c r="S1731" s="34"/>
      <c r="T1731" s="60" t="str">
        <f>IF(P1731&lt;&gt;"",
    IF(OR(O1731="", Q1731="", R1731=""),
        "Fill all the required columns",
        IFERROR(
            IF(OR(
                AND(R1731="Marine Protected", VLOOKUP(O1731, Reference!$A$2:$D$34, 4, FALSE) &lt;= P1731),
                AND(R1731="General Use", VLOOKUP(O1731, Reference!$A$2:$D$34, 3, FALSE) &lt;= P1731)
            ),
                "Exceeded",
                "OK"
            ),
            "No Regulation defined"
        )
    ),
    ""
)</f>
        <v/>
      </c>
      <c r="AB1731" s="62" t="str">
        <f t="shared" ref="AB1731:AB1794" si="27">IF(COUNTA(A1731, E1731, F1731, H1731, I1731, O1731, P1731, Q1731, R1731,S1731) = 0, "", IF(COUNTA(A1731, E1731, F1731, H1731, I1731, O1731, P1731, Q1731, R1731,S1731) = 10, "OK", "Incomplete"))</f>
        <v/>
      </c>
    </row>
    <row r="1732" spans="3:28" x14ac:dyDescent="0.2">
      <c r="C1732" s="70"/>
      <c r="D1732" s="70"/>
      <c r="S1732" s="34"/>
      <c r="T1732" s="60" t="str">
        <f>IF(P1732&lt;&gt;"",
    IF(OR(O1732="", Q1732="", R1732=""),
        "Fill all the required columns",
        IFERROR(
            IF(OR(
                AND(R1732="Marine Protected", VLOOKUP(O1732, Reference!$A$2:$D$34, 4, FALSE) &lt;= P1732),
                AND(R1732="General Use", VLOOKUP(O1732, Reference!$A$2:$D$34, 3, FALSE) &lt;= P1732)
            ),
                "Exceeded",
                "OK"
            ),
            "No Regulation defined"
        )
    ),
    ""
)</f>
        <v/>
      </c>
      <c r="AB1732" s="62" t="str">
        <f t="shared" si="27"/>
        <v/>
      </c>
    </row>
    <row r="1733" spans="3:28" x14ac:dyDescent="0.2">
      <c r="C1733" s="70"/>
      <c r="D1733" s="70"/>
      <c r="S1733" s="34"/>
      <c r="T1733" s="60" t="str">
        <f>IF(P1733&lt;&gt;"",
    IF(OR(O1733="", Q1733="", R1733=""),
        "Fill all the required columns",
        IFERROR(
            IF(OR(
                AND(R1733="Marine Protected", VLOOKUP(O1733, Reference!$A$2:$D$34, 4, FALSE) &lt;= P1733),
                AND(R1733="General Use", VLOOKUP(O1733, Reference!$A$2:$D$34, 3, FALSE) &lt;= P1733)
            ),
                "Exceeded",
                "OK"
            ),
            "No Regulation defined"
        )
    ),
    ""
)</f>
        <v/>
      </c>
      <c r="AB1733" s="62" t="str">
        <f t="shared" si="27"/>
        <v/>
      </c>
    </row>
    <row r="1734" spans="3:28" x14ac:dyDescent="0.2">
      <c r="C1734" s="70"/>
      <c r="D1734" s="70"/>
      <c r="S1734" s="34"/>
      <c r="T1734" s="60" t="str">
        <f>IF(P1734&lt;&gt;"",
    IF(OR(O1734="", Q1734="", R1734=""),
        "Fill all the required columns",
        IFERROR(
            IF(OR(
                AND(R1734="Marine Protected", VLOOKUP(O1734, Reference!$A$2:$D$34, 4, FALSE) &lt;= P1734),
                AND(R1734="General Use", VLOOKUP(O1734, Reference!$A$2:$D$34, 3, FALSE) &lt;= P1734)
            ),
                "Exceeded",
                "OK"
            ),
            "No Regulation defined"
        )
    ),
    ""
)</f>
        <v/>
      </c>
      <c r="AB1734" s="62" t="str">
        <f t="shared" si="27"/>
        <v/>
      </c>
    </row>
    <row r="1735" spans="3:28" x14ac:dyDescent="0.2">
      <c r="C1735" s="70"/>
      <c r="D1735" s="70"/>
      <c r="S1735" s="34"/>
      <c r="T1735" s="60" t="str">
        <f>IF(P1735&lt;&gt;"",
    IF(OR(O1735="", Q1735="", R1735=""),
        "Fill all the required columns",
        IFERROR(
            IF(OR(
                AND(R1735="Marine Protected", VLOOKUP(O1735, Reference!$A$2:$D$34, 4, FALSE) &lt;= P1735),
                AND(R1735="General Use", VLOOKUP(O1735, Reference!$A$2:$D$34, 3, FALSE) &lt;= P1735)
            ),
                "Exceeded",
                "OK"
            ),
            "No Regulation defined"
        )
    ),
    ""
)</f>
        <v/>
      </c>
      <c r="AB1735" s="62" t="str">
        <f t="shared" si="27"/>
        <v/>
      </c>
    </row>
    <row r="1736" spans="3:28" x14ac:dyDescent="0.2">
      <c r="C1736" s="70"/>
      <c r="D1736" s="70"/>
      <c r="S1736" s="34"/>
      <c r="T1736" s="60" t="str">
        <f>IF(P1736&lt;&gt;"",
    IF(OR(O1736="", Q1736="", R1736=""),
        "Fill all the required columns",
        IFERROR(
            IF(OR(
                AND(R1736="Marine Protected", VLOOKUP(O1736, Reference!$A$2:$D$34, 4, FALSE) &lt;= P1736),
                AND(R1736="General Use", VLOOKUP(O1736, Reference!$A$2:$D$34, 3, FALSE) &lt;= P1736)
            ),
                "Exceeded",
                "OK"
            ),
            "No Regulation defined"
        )
    ),
    ""
)</f>
        <v/>
      </c>
      <c r="AB1736" s="62" t="str">
        <f t="shared" si="27"/>
        <v/>
      </c>
    </row>
    <row r="1737" spans="3:28" x14ac:dyDescent="0.2">
      <c r="C1737" s="70"/>
      <c r="D1737" s="70"/>
      <c r="S1737" s="34"/>
      <c r="T1737" s="60" t="str">
        <f>IF(P1737&lt;&gt;"",
    IF(OR(O1737="", Q1737="", R1737=""),
        "Fill all the required columns",
        IFERROR(
            IF(OR(
                AND(R1737="Marine Protected", VLOOKUP(O1737, Reference!$A$2:$D$34, 4, FALSE) &lt;= P1737),
                AND(R1737="General Use", VLOOKUP(O1737, Reference!$A$2:$D$34, 3, FALSE) &lt;= P1737)
            ),
                "Exceeded",
                "OK"
            ),
            "No Regulation defined"
        )
    ),
    ""
)</f>
        <v/>
      </c>
      <c r="AB1737" s="62" t="str">
        <f t="shared" si="27"/>
        <v/>
      </c>
    </row>
    <row r="1738" spans="3:28" x14ac:dyDescent="0.2">
      <c r="C1738" s="70"/>
      <c r="D1738" s="70"/>
      <c r="S1738" s="34"/>
      <c r="T1738" s="60" t="str">
        <f>IF(P1738&lt;&gt;"",
    IF(OR(O1738="", Q1738="", R1738=""),
        "Fill all the required columns",
        IFERROR(
            IF(OR(
                AND(R1738="Marine Protected", VLOOKUP(O1738, Reference!$A$2:$D$34, 4, FALSE) &lt;= P1738),
                AND(R1738="General Use", VLOOKUP(O1738, Reference!$A$2:$D$34, 3, FALSE) &lt;= P1738)
            ),
                "Exceeded",
                "OK"
            ),
            "No Regulation defined"
        )
    ),
    ""
)</f>
        <v/>
      </c>
      <c r="AB1738" s="62" t="str">
        <f t="shared" si="27"/>
        <v/>
      </c>
    </row>
    <row r="1739" spans="3:28" x14ac:dyDescent="0.2">
      <c r="C1739" s="70"/>
      <c r="D1739" s="70"/>
      <c r="S1739" s="34"/>
      <c r="T1739" s="60" t="str">
        <f>IF(P1739&lt;&gt;"",
    IF(OR(O1739="", Q1739="", R1739=""),
        "Fill all the required columns",
        IFERROR(
            IF(OR(
                AND(R1739="Marine Protected", VLOOKUP(O1739, Reference!$A$2:$D$34, 4, FALSE) &lt;= P1739),
                AND(R1739="General Use", VLOOKUP(O1739, Reference!$A$2:$D$34, 3, FALSE) &lt;= P1739)
            ),
                "Exceeded",
                "OK"
            ),
            "No Regulation defined"
        )
    ),
    ""
)</f>
        <v/>
      </c>
      <c r="AB1739" s="62" t="str">
        <f t="shared" si="27"/>
        <v/>
      </c>
    </row>
    <row r="1740" spans="3:28" x14ac:dyDescent="0.2">
      <c r="C1740" s="70"/>
      <c r="D1740" s="70"/>
      <c r="S1740" s="34"/>
      <c r="T1740" s="60" t="str">
        <f>IF(P1740&lt;&gt;"",
    IF(OR(O1740="", Q1740="", R1740=""),
        "Fill all the required columns",
        IFERROR(
            IF(OR(
                AND(R1740="Marine Protected", VLOOKUP(O1740, Reference!$A$2:$D$34, 4, FALSE) &lt;= P1740),
                AND(R1740="General Use", VLOOKUP(O1740, Reference!$A$2:$D$34, 3, FALSE) &lt;= P1740)
            ),
                "Exceeded",
                "OK"
            ),
            "No Regulation defined"
        )
    ),
    ""
)</f>
        <v/>
      </c>
      <c r="AB1740" s="62" t="str">
        <f t="shared" si="27"/>
        <v/>
      </c>
    </row>
    <row r="1741" spans="3:28" x14ac:dyDescent="0.2">
      <c r="C1741" s="70"/>
      <c r="D1741" s="70"/>
      <c r="S1741" s="34"/>
      <c r="T1741" s="60" t="str">
        <f>IF(P1741&lt;&gt;"",
    IF(OR(O1741="", Q1741="", R1741=""),
        "Fill all the required columns",
        IFERROR(
            IF(OR(
                AND(R1741="Marine Protected", VLOOKUP(O1741, Reference!$A$2:$D$34, 4, FALSE) &lt;= P1741),
                AND(R1741="General Use", VLOOKUP(O1741, Reference!$A$2:$D$34, 3, FALSE) &lt;= P1741)
            ),
                "Exceeded",
                "OK"
            ),
            "No Regulation defined"
        )
    ),
    ""
)</f>
        <v/>
      </c>
      <c r="AB1741" s="62" t="str">
        <f t="shared" si="27"/>
        <v/>
      </c>
    </row>
    <row r="1742" spans="3:28" x14ac:dyDescent="0.2">
      <c r="C1742" s="70"/>
      <c r="D1742" s="70"/>
      <c r="S1742" s="34"/>
      <c r="T1742" s="60" t="str">
        <f>IF(P1742&lt;&gt;"",
    IF(OR(O1742="", Q1742="", R1742=""),
        "Fill all the required columns",
        IFERROR(
            IF(OR(
                AND(R1742="Marine Protected", VLOOKUP(O1742, Reference!$A$2:$D$34, 4, FALSE) &lt;= P1742),
                AND(R1742="General Use", VLOOKUP(O1742, Reference!$A$2:$D$34, 3, FALSE) &lt;= P1742)
            ),
                "Exceeded",
                "OK"
            ),
            "No Regulation defined"
        )
    ),
    ""
)</f>
        <v/>
      </c>
      <c r="AB1742" s="62" t="str">
        <f t="shared" si="27"/>
        <v/>
      </c>
    </row>
    <row r="1743" spans="3:28" x14ac:dyDescent="0.2">
      <c r="C1743" s="70"/>
      <c r="D1743" s="70"/>
      <c r="S1743" s="34"/>
      <c r="T1743" s="60" t="str">
        <f>IF(P1743&lt;&gt;"",
    IF(OR(O1743="", Q1743="", R1743=""),
        "Fill all the required columns",
        IFERROR(
            IF(OR(
                AND(R1743="Marine Protected", VLOOKUP(O1743, Reference!$A$2:$D$34, 4, FALSE) &lt;= P1743),
                AND(R1743="General Use", VLOOKUP(O1743, Reference!$A$2:$D$34, 3, FALSE) &lt;= P1743)
            ),
                "Exceeded",
                "OK"
            ),
            "No Regulation defined"
        )
    ),
    ""
)</f>
        <v/>
      </c>
      <c r="AB1743" s="62" t="str">
        <f t="shared" si="27"/>
        <v/>
      </c>
    </row>
    <row r="1744" spans="3:28" x14ac:dyDescent="0.2">
      <c r="C1744" s="70"/>
      <c r="D1744" s="70"/>
      <c r="S1744" s="34"/>
      <c r="T1744" s="60" t="str">
        <f>IF(P1744&lt;&gt;"",
    IF(OR(O1744="", Q1744="", R1744=""),
        "Fill all the required columns",
        IFERROR(
            IF(OR(
                AND(R1744="Marine Protected", VLOOKUP(O1744, Reference!$A$2:$D$34, 4, FALSE) &lt;= P1744),
                AND(R1744="General Use", VLOOKUP(O1744, Reference!$A$2:$D$34, 3, FALSE) &lt;= P1744)
            ),
                "Exceeded",
                "OK"
            ),
            "No Regulation defined"
        )
    ),
    ""
)</f>
        <v/>
      </c>
      <c r="AB1744" s="62" t="str">
        <f t="shared" si="27"/>
        <v/>
      </c>
    </row>
    <row r="1745" spans="3:28" x14ac:dyDescent="0.2">
      <c r="C1745" s="70"/>
      <c r="D1745" s="70"/>
      <c r="S1745" s="34"/>
      <c r="T1745" s="60" t="str">
        <f>IF(P1745&lt;&gt;"",
    IF(OR(O1745="", Q1745="", R1745=""),
        "Fill all the required columns",
        IFERROR(
            IF(OR(
                AND(R1745="Marine Protected", VLOOKUP(O1745, Reference!$A$2:$D$34, 4, FALSE) &lt;= P1745),
                AND(R1745="General Use", VLOOKUP(O1745, Reference!$A$2:$D$34, 3, FALSE) &lt;= P1745)
            ),
                "Exceeded",
                "OK"
            ),
            "No Regulation defined"
        )
    ),
    ""
)</f>
        <v/>
      </c>
      <c r="AB1745" s="62" t="str">
        <f t="shared" si="27"/>
        <v/>
      </c>
    </row>
    <row r="1746" spans="3:28" x14ac:dyDescent="0.2">
      <c r="C1746" s="70"/>
      <c r="D1746" s="70"/>
      <c r="S1746" s="34"/>
      <c r="T1746" s="60" t="str">
        <f>IF(P1746&lt;&gt;"",
    IF(OR(O1746="", Q1746="", R1746=""),
        "Fill all the required columns",
        IFERROR(
            IF(OR(
                AND(R1746="Marine Protected", VLOOKUP(O1746, Reference!$A$2:$D$34, 4, FALSE) &lt;= P1746),
                AND(R1746="General Use", VLOOKUP(O1746, Reference!$A$2:$D$34, 3, FALSE) &lt;= P1746)
            ),
                "Exceeded",
                "OK"
            ),
            "No Regulation defined"
        )
    ),
    ""
)</f>
        <v/>
      </c>
      <c r="AB1746" s="62" t="str">
        <f t="shared" si="27"/>
        <v/>
      </c>
    </row>
    <row r="1747" spans="3:28" x14ac:dyDescent="0.2">
      <c r="C1747" s="70"/>
      <c r="D1747" s="70"/>
      <c r="S1747" s="34"/>
      <c r="T1747" s="60" t="str">
        <f>IF(P1747&lt;&gt;"",
    IF(OR(O1747="", Q1747="", R1747=""),
        "Fill all the required columns",
        IFERROR(
            IF(OR(
                AND(R1747="Marine Protected", VLOOKUP(O1747, Reference!$A$2:$D$34, 4, FALSE) &lt;= P1747),
                AND(R1747="General Use", VLOOKUP(O1747, Reference!$A$2:$D$34, 3, FALSE) &lt;= P1747)
            ),
                "Exceeded",
                "OK"
            ),
            "No Regulation defined"
        )
    ),
    ""
)</f>
        <v/>
      </c>
      <c r="AB1747" s="62" t="str">
        <f t="shared" si="27"/>
        <v/>
      </c>
    </row>
    <row r="1748" spans="3:28" x14ac:dyDescent="0.2">
      <c r="C1748" s="70"/>
      <c r="D1748" s="70"/>
      <c r="S1748" s="34"/>
      <c r="T1748" s="60" t="str">
        <f>IF(P1748&lt;&gt;"",
    IF(OR(O1748="", Q1748="", R1748=""),
        "Fill all the required columns",
        IFERROR(
            IF(OR(
                AND(R1748="Marine Protected", VLOOKUP(O1748, Reference!$A$2:$D$34, 4, FALSE) &lt;= P1748),
                AND(R1748="General Use", VLOOKUP(O1748, Reference!$A$2:$D$34, 3, FALSE) &lt;= P1748)
            ),
                "Exceeded",
                "OK"
            ),
            "No Regulation defined"
        )
    ),
    ""
)</f>
        <v/>
      </c>
      <c r="AB1748" s="62" t="str">
        <f t="shared" si="27"/>
        <v/>
      </c>
    </row>
    <row r="1749" spans="3:28" x14ac:dyDescent="0.2">
      <c r="C1749" s="70"/>
      <c r="D1749" s="70"/>
      <c r="S1749" s="34"/>
      <c r="T1749" s="60" t="str">
        <f>IF(P1749&lt;&gt;"",
    IF(OR(O1749="", Q1749="", R1749=""),
        "Fill all the required columns",
        IFERROR(
            IF(OR(
                AND(R1749="Marine Protected", VLOOKUP(O1749, Reference!$A$2:$D$34, 4, FALSE) &lt;= P1749),
                AND(R1749="General Use", VLOOKUP(O1749, Reference!$A$2:$D$34, 3, FALSE) &lt;= P1749)
            ),
                "Exceeded",
                "OK"
            ),
            "No Regulation defined"
        )
    ),
    ""
)</f>
        <v/>
      </c>
      <c r="AB1749" s="62" t="str">
        <f t="shared" si="27"/>
        <v/>
      </c>
    </row>
    <row r="1750" spans="3:28" x14ac:dyDescent="0.2">
      <c r="C1750" s="70"/>
      <c r="D1750" s="70"/>
      <c r="S1750" s="34"/>
      <c r="T1750" s="60" t="str">
        <f>IF(P1750&lt;&gt;"",
    IF(OR(O1750="", Q1750="", R1750=""),
        "Fill all the required columns",
        IFERROR(
            IF(OR(
                AND(R1750="Marine Protected", VLOOKUP(O1750, Reference!$A$2:$D$34, 4, FALSE) &lt;= P1750),
                AND(R1750="General Use", VLOOKUP(O1750, Reference!$A$2:$D$34, 3, FALSE) &lt;= P1750)
            ),
                "Exceeded",
                "OK"
            ),
            "No Regulation defined"
        )
    ),
    ""
)</f>
        <v/>
      </c>
      <c r="AB1750" s="62" t="str">
        <f t="shared" si="27"/>
        <v/>
      </c>
    </row>
    <row r="1751" spans="3:28" x14ac:dyDescent="0.2">
      <c r="S1751" s="34"/>
      <c r="T1751" s="60" t="str">
        <f>IF(P1751&lt;&gt;"",
    IF(OR(O1751="", Q1751="", R1751=""),
        "Fill all the required columns",
        IFERROR(
            IF(OR(
                AND(R1751="Marine Protected", VLOOKUP(O1751, Reference!$A$2:$D$34, 4, FALSE) &lt;= P1751),
                AND(R1751="General Use", VLOOKUP(O1751, Reference!$A$2:$D$34, 3, FALSE) &lt;= P1751)
            ),
                "Exceeded",
                "OK"
            ),
            "No Regulation defined"
        )
    ),
    ""
)</f>
        <v/>
      </c>
      <c r="AB1751" s="62" t="str">
        <f t="shared" si="27"/>
        <v/>
      </c>
    </row>
    <row r="1752" spans="3:28" x14ac:dyDescent="0.2">
      <c r="S1752" s="34"/>
      <c r="T1752" s="60" t="str">
        <f>IF(P1752&lt;&gt;"",
    IF(OR(O1752="", Q1752="", R1752=""),
        "Fill all the required columns",
        IFERROR(
            IF(OR(
                AND(R1752="Marine Protected", VLOOKUP(O1752, Reference!$A$2:$D$34, 4, FALSE) &lt;= P1752),
                AND(R1752="General Use", VLOOKUP(O1752, Reference!$A$2:$D$34, 3, FALSE) &lt;= P1752)
            ),
                "Exceeded",
                "OK"
            ),
            "No Regulation defined"
        )
    ),
    ""
)</f>
        <v/>
      </c>
      <c r="AB1752" s="62" t="str">
        <f t="shared" si="27"/>
        <v/>
      </c>
    </row>
    <row r="1753" spans="3:28" x14ac:dyDescent="0.2">
      <c r="S1753" s="34"/>
      <c r="T1753" s="60" t="str">
        <f>IF(P1753&lt;&gt;"",
    IF(OR(O1753="", Q1753="", R1753=""),
        "Fill all the required columns",
        IFERROR(
            IF(OR(
                AND(R1753="Marine Protected", VLOOKUP(O1753, Reference!$A$2:$D$34, 4, FALSE) &lt;= P1753),
                AND(R1753="General Use", VLOOKUP(O1753, Reference!$A$2:$D$34, 3, FALSE) &lt;= P1753)
            ),
                "Exceeded",
                "OK"
            ),
            "No Regulation defined"
        )
    ),
    ""
)</f>
        <v/>
      </c>
      <c r="AB1753" s="62" t="str">
        <f t="shared" si="27"/>
        <v/>
      </c>
    </row>
    <row r="1754" spans="3:28" x14ac:dyDescent="0.2">
      <c r="S1754" s="34"/>
      <c r="T1754" s="60" t="str">
        <f>IF(P1754&lt;&gt;"",
    IF(OR(O1754="", Q1754="", R1754=""),
        "Fill all the required columns",
        IFERROR(
            IF(OR(
                AND(R1754="Marine Protected", VLOOKUP(O1754, Reference!$A$2:$D$34, 4, FALSE) &lt;= P1754),
                AND(R1754="General Use", VLOOKUP(O1754, Reference!$A$2:$D$34, 3, FALSE) &lt;= P1754)
            ),
                "Exceeded",
                "OK"
            ),
            "No Regulation defined"
        )
    ),
    ""
)</f>
        <v/>
      </c>
      <c r="AB1754" s="62" t="str">
        <f t="shared" si="27"/>
        <v/>
      </c>
    </row>
    <row r="1755" spans="3:28" x14ac:dyDescent="0.2">
      <c r="S1755" s="34"/>
      <c r="T1755" s="60" t="str">
        <f>IF(P1755&lt;&gt;"",
    IF(OR(O1755="", Q1755="", R1755=""),
        "Fill all the required columns",
        IFERROR(
            IF(OR(
                AND(R1755="Marine Protected", VLOOKUP(O1755, Reference!$A$2:$D$34, 4, FALSE) &lt;= P1755),
                AND(R1755="General Use", VLOOKUP(O1755, Reference!$A$2:$D$34, 3, FALSE) &lt;= P1755)
            ),
                "Exceeded",
                "OK"
            ),
            "No Regulation defined"
        )
    ),
    ""
)</f>
        <v/>
      </c>
      <c r="AB1755" s="62" t="str">
        <f t="shared" si="27"/>
        <v/>
      </c>
    </row>
    <row r="1756" spans="3:28" x14ac:dyDescent="0.2">
      <c r="S1756" s="34"/>
      <c r="T1756" s="60" t="str">
        <f>IF(P1756&lt;&gt;"",
    IF(OR(O1756="", Q1756="", R1756=""),
        "Fill all the required columns",
        IFERROR(
            IF(OR(
                AND(R1756="Marine Protected", VLOOKUP(O1756, Reference!$A$2:$D$34, 4, FALSE) &lt;= P1756),
                AND(R1756="General Use", VLOOKUP(O1756, Reference!$A$2:$D$34, 3, FALSE) &lt;= P1756)
            ),
                "Exceeded",
                "OK"
            ),
            "No Regulation defined"
        )
    ),
    ""
)</f>
        <v/>
      </c>
      <c r="AB1756" s="62" t="str">
        <f t="shared" si="27"/>
        <v/>
      </c>
    </row>
    <row r="1757" spans="3:28" x14ac:dyDescent="0.2">
      <c r="S1757" s="34"/>
      <c r="T1757" s="60" t="str">
        <f>IF(P1757&lt;&gt;"",
    IF(OR(O1757="", Q1757="", R1757=""),
        "Fill all the required columns",
        IFERROR(
            IF(OR(
                AND(R1757="Marine Protected", VLOOKUP(O1757, Reference!$A$2:$D$34, 4, FALSE) &lt;= P1757),
                AND(R1757="General Use", VLOOKUP(O1757, Reference!$A$2:$D$34, 3, FALSE) &lt;= P1757)
            ),
                "Exceeded",
                "OK"
            ),
            "No Regulation defined"
        )
    ),
    ""
)</f>
        <v/>
      </c>
      <c r="AB1757" s="62" t="str">
        <f t="shared" si="27"/>
        <v/>
      </c>
    </row>
    <row r="1758" spans="3:28" x14ac:dyDescent="0.2">
      <c r="S1758" s="34"/>
      <c r="T1758" s="60" t="str">
        <f>IF(P1758&lt;&gt;"",
    IF(OR(O1758="", Q1758="", R1758=""),
        "Fill all the required columns",
        IFERROR(
            IF(OR(
                AND(R1758="Marine Protected", VLOOKUP(O1758, Reference!$A$2:$D$34, 4, FALSE) &lt;= P1758),
                AND(R1758="General Use", VLOOKUP(O1758, Reference!$A$2:$D$34, 3, FALSE) &lt;= P1758)
            ),
                "Exceeded",
                "OK"
            ),
            "No Regulation defined"
        )
    ),
    ""
)</f>
        <v/>
      </c>
      <c r="AB1758" s="62" t="str">
        <f t="shared" si="27"/>
        <v/>
      </c>
    </row>
    <row r="1759" spans="3:28" x14ac:dyDescent="0.2">
      <c r="S1759" s="34"/>
      <c r="T1759" s="60" t="str">
        <f>IF(P1759&lt;&gt;"",
    IF(OR(O1759="", Q1759="", R1759=""),
        "Fill all the required columns",
        IFERROR(
            IF(OR(
                AND(R1759="Marine Protected", VLOOKUP(O1759, Reference!$A$2:$D$34, 4, FALSE) &lt;= P1759),
                AND(R1759="General Use", VLOOKUP(O1759, Reference!$A$2:$D$34, 3, FALSE) &lt;= P1759)
            ),
                "Exceeded",
                "OK"
            ),
            "No Regulation defined"
        )
    ),
    ""
)</f>
        <v/>
      </c>
      <c r="AB1759" s="62" t="str">
        <f t="shared" si="27"/>
        <v/>
      </c>
    </row>
    <row r="1760" spans="3:28" x14ac:dyDescent="0.2">
      <c r="S1760" s="34"/>
      <c r="T1760" s="60" t="str">
        <f>IF(P1760&lt;&gt;"",
    IF(OR(O1760="", Q1760="", R1760=""),
        "Fill all the required columns",
        IFERROR(
            IF(OR(
                AND(R1760="Marine Protected", VLOOKUP(O1760, Reference!$A$2:$D$34, 4, FALSE) &lt;= P1760),
                AND(R1760="General Use", VLOOKUP(O1760, Reference!$A$2:$D$34, 3, FALSE) &lt;= P1760)
            ),
                "Exceeded",
                "OK"
            ),
            "No Regulation defined"
        )
    ),
    ""
)</f>
        <v/>
      </c>
      <c r="AB1760" s="62" t="str">
        <f t="shared" si="27"/>
        <v/>
      </c>
    </row>
    <row r="1761" spans="19:28" x14ac:dyDescent="0.2">
      <c r="S1761" s="34"/>
      <c r="T1761" s="60" t="str">
        <f>IF(P1761&lt;&gt;"",
    IF(OR(O1761="", Q1761="", R1761=""),
        "Fill all the required columns",
        IFERROR(
            IF(OR(
                AND(R1761="Marine Protected", VLOOKUP(O1761, Reference!$A$2:$D$34, 4, FALSE) &lt;= P1761),
                AND(R1761="General Use", VLOOKUP(O1761, Reference!$A$2:$D$34, 3, FALSE) &lt;= P1761)
            ),
                "Exceeded",
                "OK"
            ),
            "No Regulation defined"
        )
    ),
    ""
)</f>
        <v/>
      </c>
      <c r="AB1761" s="62" t="str">
        <f t="shared" si="27"/>
        <v/>
      </c>
    </row>
    <row r="1762" spans="19:28" x14ac:dyDescent="0.2">
      <c r="S1762" s="34"/>
      <c r="T1762" s="60" t="str">
        <f>IF(P1762&lt;&gt;"",
    IF(OR(O1762="", Q1762="", R1762=""),
        "Fill all the required columns",
        IFERROR(
            IF(OR(
                AND(R1762="Marine Protected", VLOOKUP(O1762, Reference!$A$2:$D$34, 4, FALSE) &lt;= P1762),
                AND(R1762="General Use", VLOOKUP(O1762, Reference!$A$2:$D$34, 3, FALSE) &lt;= P1762)
            ),
                "Exceeded",
                "OK"
            ),
            "No Regulation defined"
        )
    ),
    ""
)</f>
        <v/>
      </c>
      <c r="AB1762" s="62" t="str">
        <f t="shared" si="27"/>
        <v/>
      </c>
    </row>
    <row r="1763" spans="19:28" x14ac:dyDescent="0.2">
      <c r="S1763" s="34"/>
      <c r="T1763" s="60" t="str">
        <f>IF(P1763&lt;&gt;"",
    IF(OR(O1763="", Q1763="", R1763=""),
        "Fill all the required columns",
        IFERROR(
            IF(OR(
                AND(R1763="Marine Protected", VLOOKUP(O1763, Reference!$A$2:$D$34, 4, FALSE) &lt;= P1763),
                AND(R1763="General Use", VLOOKUP(O1763, Reference!$A$2:$D$34, 3, FALSE) &lt;= P1763)
            ),
                "Exceeded",
                "OK"
            ),
            "No Regulation defined"
        )
    ),
    ""
)</f>
        <v/>
      </c>
      <c r="AB1763" s="62" t="str">
        <f t="shared" si="27"/>
        <v/>
      </c>
    </row>
    <row r="1764" spans="19:28" x14ac:dyDescent="0.2">
      <c r="S1764" s="34"/>
      <c r="T1764" s="60" t="str">
        <f>IF(P1764&lt;&gt;"",
    IF(OR(O1764="", Q1764="", R1764=""),
        "Fill all the required columns",
        IFERROR(
            IF(OR(
                AND(R1764="Marine Protected", VLOOKUP(O1764, Reference!$A$2:$D$34, 4, FALSE) &lt;= P1764),
                AND(R1764="General Use", VLOOKUP(O1764, Reference!$A$2:$D$34, 3, FALSE) &lt;= P1764)
            ),
                "Exceeded",
                "OK"
            ),
            "No Regulation defined"
        )
    ),
    ""
)</f>
        <v/>
      </c>
      <c r="AB1764" s="62" t="str">
        <f t="shared" si="27"/>
        <v/>
      </c>
    </row>
    <row r="1765" spans="19:28" x14ac:dyDescent="0.2">
      <c r="S1765" s="34"/>
      <c r="T1765" s="60" t="str">
        <f>IF(P1765&lt;&gt;"",
    IF(OR(O1765="", Q1765="", R1765=""),
        "Fill all the required columns",
        IFERROR(
            IF(OR(
                AND(R1765="Marine Protected", VLOOKUP(O1765, Reference!$A$2:$D$34, 4, FALSE) &lt;= P1765),
                AND(R1765="General Use", VLOOKUP(O1765, Reference!$A$2:$D$34, 3, FALSE) &lt;= P1765)
            ),
                "Exceeded",
                "OK"
            ),
            "No Regulation defined"
        )
    ),
    ""
)</f>
        <v/>
      </c>
      <c r="AB1765" s="62" t="str">
        <f t="shared" si="27"/>
        <v/>
      </c>
    </row>
    <row r="1766" spans="19:28" x14ac:dyDescent="0.2">
      <c r="S1766" s="34"/>
      <c r="T1766" s="60" t="str">
        <f>IF(P1766&lt;&gt;"",
    IF(OR(O1766="", Q1766="", R1766=""),
        "Fill all the required columns",
        IFERROR(
            IF(OR(
                AND(R1766="Marine Protected", VLOOKUP(O1766, Reference!$A$2:$D$34, 4, FALSE) &lt;= P1766),
                AND(R1766="General Use", VLOOKUP(O1766, Reference!$A$2:$D$34, 3, FALSE) &lt;= P1766)
            ),
                "Exceeded",
                "OK"
            ),
            "No Regulation defined"
        )
    ),
    ""
)</f>
        <v/>
      </c>
      <c r="AB1766" s="62" t="str">
        <f t="shared" si="27"/>
        <v/>
      </c>
    </row>
    <row r="1767" spans="19:28" x14ac:dyDescent="0.2">
      <c r="S1767" s="34"/>
      <c r="T1767" s="60" t="str">
        <f>IF(P1767&lt;&gt;"",
    IF(OR(O1767="", Q1767="", R1767=""),
        "Fill all the required columns",
        IFERROR(
            IF(OR(
                AND(R1767="Marine Protected", VLOOKUP(O1767, Reference!$A$2:$D$34, 4, FALSE) &lt;= P1767),
                AND(R1767="General Use", VLOOKUP(O1767, Reference!$A$2:$D$34, 3, FALSE) &lt;= P1767)
            ),
                "Exceeded",
                "OK"
            ),
            "No Regulation defined"
        )
    ),
    ""
)</f>
        <v/>
      </c>
      <c r="AB1767" s="62" t="str">
        <f t="shared" si="27"/>
        <v/>
      </c>
    </row>
    <row r="1768" spans="19:28" x14ac:dyDescent="0.2">
      <c r="S1768" s="34"/>
      <c r="T1768" s="60" t="str">
        <f>IF(P1768&lt;&gt;"",
    IF(OR(O1768="", Q1768="", R1768=""),
        "Fill all the required columns",
        IFERROR(
            IF(OR(
                AND(R1768="Marine Protected", VLOOKUP(O1768, Reference!$A$2:$D$34, 4, FALSE) &lt;= P1768),
                AND(R1768="General Use", VLOOKUP(O1768, Reference!$A$2:$D$34, 3, FALSE) &lt;= P1768)
            ),
                "Exceeded",
                "OK"
            ),
            "No Regulation defined"
        )
    ),
    ""
)</f>
        <v/>
      </c>
      <c r="AB1768" s="62" t="str">
        <f t="shared" si="27"/>
        <v/>
      </c>
    </row>
    <row r="1769" spans="19:28" x14ac:dyDescent="0.2">
      <c r="S1769" s="34"/>
      <c r="T1769" s="60" t="str">
        <f>IF(P1769&lt;&gt;"",
    IF(OR(O1769="", Q1769="", R1769=""),
        "Fill all the required columns",
        IFERROR(
            IF(OR(
                AND(R1769="Marine Protected", VLOOKUP(O1769, Reference!$A$2:$D$34, 4, FALSE) &lt;= P1769),
                AND(R1769="General Use", VLOOKUP(O1769, Reference!$A$2:$D$34, 3, FALSE) &lt;= P1769)
            ),
                "Exceeded",
                "OK"
            ),
            "No Regulation defined"
        )
    ),
    ""
)</f>
        <v/>
      </c>
      <c r="AB1769" s="62" t="str">
        <f t="shared" si="27"/>
        <v/>
      </c>
    </row>
    <row r="1770" spans="19:28" x14ac:dyDescent="0.2">
      <c r="S1770" s="34"/>
      <c r="T1770" s="60" t="str">
        <f>IF(P1770&lt;&gt;"",
    IF(OR(O1770="", Q1770="", R1770=""),
        "Fill all the required columns",
        IFERROR(
            IF(OR(
                AND(R1770="Marine Protected", VLOOKUP(O1770, Reference!$A$2:$D$34, 4, FALSE) &lt;= P1770),
                AND(R1770="General Use", VLOOKUP(O1770, Reference!$A$2:$D$34, 3, FALSE) &lt;= P1770)
            ),
                "Exceeded",
                "OK"
            ),
            "No Regulation defined"
        )
    ),
    ""
)</f>
        <v/>
      </c>
      <c r="AB1770" s="62" t="str">
        <f t="shared" si="27"/>
        <v/>
      </c>
    </row>
    <row r="1771" spans="19:28" x14ac:dyDescent="0.2">
      <c r="S1771" s="34"/>
      <c r="T1771" s="60" t="str">
        <f>IF(P1771&lt;&gt;"",
    IF(OR(O1771="", Q1771="", R1771=""),
        "Fill all the required columns",
        IFERROR(
            IF(OR(
                AND(R1771="Marine Protected", VLOOKUP(O1771, Reference!$A$2:$D$34, 4, FALSE) &lt;= P1771),
                AND(R1771="General Use", VLOOKUP(O1771, Reference!$A$2:$D$34, 3, FALSE) &lt;= P1771)
            ),
                "Exceeded",
                "OK"
            ),
            "No Regulation defined"
        )
    ),
    ""
)</f>
        <v/>
      </c>
      <c r="AB1771" s="62" t="str">
        <f t="shared" si="27"/>
        <v/>
      </c>
    </row>
    <row r="1772" spans="19:28" x14ac:dyDescent="0.2">
      <c r="S1772" s="34"/>
      <c r="T1772" s="60" t="str">
        <f>IF(P1772&lt;&gt;"",
    IF(OR(O1772="", Q1772="", R1772=""),
        "Fill all the required columns",
        IFERROR(
            IF(OR(
                AND(R1772="Marine Protected", VLOOKUP(O1772, Reference!$A$2:$D$34, 4, FALSE) &lt;= P1772),
                AND(R1772="General Use", VLOOKUP(O1772, Reference!$A$2:$D$34, 3, FALSE) &lt;= P1772)
            ),
                "Exceeded",
                "OK"
            ),
            "No Regulation defined"
        )
    ),
    ""
)</f>
        <v/>
      </c>
      <c r="AB1772" s="62" t="str">
        <f t="shared" si="27"/>
        <v/>
      </c>
    </row>
    <row r="1773" spans="19:28" x14ac:dyDescent="0.2">
      <c r="S1773" s="34"/>
      <c r="T1773" s="60" t="str">
        <f>IF(P1773&lt;&gt;"",
    IF(OR(O1773="", Q1773="", R1773=""),
        "Fill all the required columns",
        IFERROR(
            IF(OR(
                AND(R1773="Marine Protected", VLOOKUP(O1773, Reference!$A$2:$D$34, 4, FALSE) &lt;= P1773),
                AND(R1773="General Use", VLOOKUP(O1773, Reference!$A$2:$D$34, 3, FALSE) &lt;= P1773)
            ),
                "Exceeded",
                "OK"
            ),
            "No Regulation defined"
        )
    ),
    ""
)</f>
        <v/>
      </c>
      <c r="AB1773" s="62" t="str">
        <f t="shared" si="27"/>
        <v/>
      </c>
    </row>
    <row r="1774" spans="19:28" x14ac:dyDescent="0.2">
      <c r="S1774" s="34"/>
      <c r="T1774" s="60" t="str">
        <f>IF(P1774&lt;&gt;"",
    IF(OR(O1774="", Q1774="", R1774=""),
        "Fill all the required columns",
        IFERROR(
            IF(OR(
                AND(R1774="Marine Protected", VLOOKUP(O1774, Reference!$A$2:$D$34, 4, FALSE) &lt;= P1774),
                AND(R1774="General Use", VLOOKUP(O1774, Reference!$A$2:$D$34, 3, FALSE) &lt;= P1774)
            ),
                "Exceeded",
                "OK"
            ),
            "No Regulation defined"
        )
    ),
    ""
)</f>
        <v/>
      </c>
      <c r="AB1774" s="62" t="str">
        <f t="shared" si="27"/>
        <v/>
      </c>
    </row>
    <row r="1775" spans="19:28" x14ac:dyDescent="0.2">
      <c r="S1775" s="34"/>
      <c r="T1775" s="60" t="str">
        <f>IF(P1775&lt;&gt;"",
    IF(OR(O1775="", Q1775="", R1775=""),
        "Fill all the required columns",
        IFERROR(
            IF(OR(
                AND(R1775="Marine Protected", VLOOKUP(O1775, Reference!$A$2:$D$34, 4, FALSE) &lt;= P1775),
                AND(R1775="General Use", VLOOKUP(O1775, Reference!$A$2:$D$34, 3, FALSE) &lt;= P1775)
            ),
                "Exceeded",
                "OK"
            ),
            "No Regulation defined"
        )
    ),
    ""
)</f>
        <v/>
      </c>
      <c r="AB1775" s="62" t="str">
        <f t="shared" si="27"/>
        <v/>
      </c>
    </row>
    <row r="1776" spans="19:28" x14ac:dyDescent="0.2">
      <c r="S1776" s="34"/>
      <c r="T1776" s="60" t="str">
        <f>IF(P1776&lt;&gt;"",
    IF(OR(O1776="", Q1776="", R1776=""),
        "Fill all the required columns",
        IFERROR(
            IF(OR(
                AND(R1776="Marine Protected", VLOOKUP(O1776, Reference!$A$2:$D$34, 4, FALSE) &lt;= P1776),
                AND(R1776="General Use", VLOOKUP(O1776, Reference!$A$2:$D$34, 3, FALSE) &lt;= P1776)
            ),
                "Exceeded",
                "OK"
            ),
            "No Regulation defined"
        )
    ),
    ""
)</f>
        <v/>
      </c>
      <c r="AB1776" s="62" t="str">
        <f t="shared" si="27"/>
        <v/>
      </c>
    </row>
    <row r="1777" spans="19:28" x14ac:dyDescent="0.2">
      <c r="S1777" s="34"/>
      <c r="T1777" s="60" t="str">
        <f>IF(P1777&lt;&gt;"",
    IF(OR(O1777="", Q1777="", R1777=""),
        "Fill all the required columns",
        IFERROR(
            IF(OR(
                AND(R1777="Marine Protected", VLOOKUP(O1777, Reference!$A$2:$D$34, 4, FALSE) &lt;= P1777),
                AND(R1777="General Use", VLOOKUP(O1777, Reference!$A$2:$D$34, 3, FALSE) &lt;= P1777)
            ),
                "Exceeded",
                "OK"
            ),
            "No Regulation defined"
        )
    ),
    ""
)</f>
        <v/>
      </c>
      <c r="AB1777" s="62" t="str">
        <f t="shared" si="27"/>
        <v/>
      </c>
    </row>
    <row r="1778" spans="19:28" x14ac:dyDescent="0.2">
      <c r="S1778" s="34"/>
      <c r="T1778" s="60" t="str">
        <f>IF(P1778&lt;&gt;"",
    IF(OR(O1778="", Q1778="", R1778=""),
        "Fill all the required columns",
        IFERROR(
            IF(OR(
                AND(R1778="Marine Protected", VLOOKUP(O1778, Reference!$A$2:$D$34, 4, FALSE) &lt;= P1778),
                AND(R1778="General Use", VLOOKUP(O1778, Reference!$A$2:$D$34, 3, FALSE) &lt;= P1778)
            ),
                "Exceeded",
                "OK"
            ),
            "No Regulation defined"
        )
    ),
    ""
)</f>
        <v/>
      </c>
      <c r="AB1778" s="62" t="str">
        <f t="shared" si="27"/>
        <v/>
      </c>
    </row>
    <row r="1779" spans="19:28" x14ac:dyDescent="0.2">
      <c r="S1779" s="34"/>
      <c r="T1779" s="60" t="str">
        <f>IF(P1779&lt;&gt;"",
    IF(OR(O1779="", Q1779="", R1779=""),
        "Fill all the required columns",
        IFERROR(
            IF(OR(
                AND(R1779="Marine Protected", VLOOKUP(O1779, Reference!$A$2:$D$34, 4, FALSE) &lt;= P1779),
                AND(R1779="General Use", VLOOKUP(O1779, Reference!$A$2:$D$34, 3, FALSE) &lt;= P1779)
            ),
                "Exceeded",
                "OK"
            ),
            "No Regulation defined"
        )
    ),
    ""
)</f>
        <v/>
      </c>
      <c r="AB1779" s="62" t="str">
        <f t="shared" si="27"/>
        <v/>
      </c>
    </row>
    <row r="1780" spans="19:28" x14ac:dyDescent="0.2">
      <c r="S1780" s="34"/>
      <c r="T1780" s="60" t="str">
        <f>IF(P1780&lt;&gt;"",
    IF(OR(O1780="", Q1780="", R1780=""),
        "Fill all the required columns",
        IFERROR(
            IF(OR(
                AND(R1780="Marine Protected", VLOOKUP(O1780, Reference!$A$2:$D$34, 4, FALSE) &lt;= P1780),
                AND(R1780="General Use", VLOOKUP(O1780, Reference!$A$2:$D$34, 3, FALSE) &lt;= P1780)
            ),
                "Exceeded",
                "OK"
            ),
            "No Regulation defined"
        )
    ),
    ""
)</f>
        <v/>
      </c>
      <c r="AB1780" s="62" t="str">
        <f t="shared" si="27"/>
        <v/>
      </c>
    </row>
    <row r="1781" spans="19:28" x14ac:dyDescent="0.2">
      <c r="S1781" s="34"/>
      <c r="T1781" s="60" t="str">
        <f>IF(P1781&lt;&gt;"",
    IF(OR(O1781="", Q1781="", R1781=""),
        "Fill all the required columns",
        IFERROR(
            IF(OR(
                AND(R1781="Marine Protected", VLOOKUP(O1781, Reference!$A$2:$D$34, 4, FALSE) &lt;= P1781),
                AND(R1781="General Use", VLOOKUP(O1781, Reference!$A$2:$D$34, 3, FALSE) &lt;= P1781)
            ),
                "Exceeded",
                "OK"
            ),
            "No Regulation defined"
        )
    ),
    ""
)</f>
        <v/>
      </c>
      <c r="AB1781" s="62" t="str">
        <f t="shared" si="27"/>
        <v/>
      </c>
    </row>
    <row r="1782" spans="19:28" x14ac:dyDescent="0.2">
      <c r="S1782" s="34"/>
      <c r="T1782" s="60" t="str">
        <f>IF(P1782&lt;&gt;"",
    IF(OR(O1782="", Q1782="", R1782=""),
        "Fill all the required columns",
        IFERROR(
            IF(OR(
                AND(R1782="Marine Protected", VLOOKUP(O1782, Reference!$A$2:$D$34, 4, FALSE) &lt;= P1782),
                AND(R1782="General Use", VLOOKUP(O1782, Reference!$A$2:$D$34, 3, FALSE) &lt;= P1782)
            ),
                "Exceeded",
                "OK"
            ),
            "No Regulation defined"
        )
    ),
    ""
)</f>
        <v/>
      </c>
      <c r="AB1782" s="62" t="str">
        <f t="shared" si="27"/>
        <v/>
      </c>
    </row>
    <row r="1783" spans="19:28" x14ac:dyDescent="0.2">
      <c r="S1783" s="34"/>
      <c r="T1783" s="60" t="str">
        <f>IF(P1783&lt;&gt;"",
    IF(OR(O1783="", Q1783="", R1783=""),
        "Fill all the required columns",
        IFERROR(
            IF(OR(
                AND(R1783="Marine Protected", VLOOKUP(O1783, Reference!$A$2:$D$34, 4, FALSE) &lt;= P1783),
                AND(R1783="General Use", VLOOKUP(O1783, Reference!$A$2:$D$34, 3, FALSE) &lt;= P1783)
            ),
                "Exceeded",
                "OK"
            ),
            "No Regulation defined"
        )
    ),
    ""
)</f>
        <v/>
      </c>
      <c r="AB1783" s="62" t="str">
        <f t="shared" si="27"/>
        <v/>
      </c>
    </row>
    <row r="1784" spans="19:28" x14ac:dyDescent="0.2">
      <c r="S1784" s="34"/>
      <c r="T1784" s="60" t="str">
        <f>IF(P1784&lt;&gt;"",
    IF(OR(O1784="", Q1784="", R1784=""),
        "Fill all the required columns",
        IFERROR(
            IF(OR(
                AND(R1784="Marine Protected", VLOOKUP(O1784, Reference!$A$2:$D$34, 4, FALSE) &lt;= P1784),
                AND(R1784="General Use", VLOOKUP(O1784, Reference!$A$2:$D$34, 3, FALSE) &lt;= P1784)
            ),
                "Exceeded",
                "OK"
            ),
            "No Regulation defined"
        )
    ),
    ""
)</f>
        <v/>
      </c>
      <c r="AB1784" s="62" t="str">
        <f t="shared" si="27"/>
        <v/>
      </c>
    </row>
    <row r="1785" spans="19:28" x14ac:dyDescent="0.2">
      <c r="S1785" s="34"/>
      <c r="T1785" s="60" t="str">
        <f>IF(P1785&lt;&gt;"",
    IF(OR(O1785="", Q1785="", R1785=""),
        "Fill all the required columns",
        IFERROR(
            IF(OR(
                AND(R1785="Marine Protected", VLOOKUP(O1785, Reference!$A$2:$D$34, 4, FALSE) &lt;= P1785),
                AND(R1785="General Use", VLOOKUP(O1785, Reference!$A$2:$D$34, 3, FALSE) &lt;= P1785)
            ),
                "Exceeded",
                "OK"
            ),
            "No Regulation defined"
        )
    ),
    ""
)</f>
        <v/>
      </c>
      <c r="AB1785" s="62" t="str">
        <f t="shared" si="27"/>
        <v/>
      </c>
    </row>
    <row r="1786" spans="19:28" x14ac:dyDescent="0.2">
      <c r="S1786" s="34"/>
      <c r="T1786" s="60" t="str">
        <f>IF(P1786&lt;&gt;"",
    IF(OR(O1786="", Q1786="", R1786=""),
        "Fill all the required columns",
        IFERROR(
            IF(OR(
                AND(R1786="Marine Protected", VLOOKUP(O1786, Reference!$A$2:$D$34, 4, FALSE) &lt;= P1786),
                AND(R1786="General Use", VLOOKUP(O1786, Reference!$A$2:$D$34, 3, FALSE) &lt;= P1786)
            ),
                "Exceeded",
                "OK"
            ),
            "No Regulation defined"
        )
    ),
    ""
)</f>
        <v/>
      </c>
      <c r="AB1786" s="62" t="str">
        <f t="shared" si="27"/>
        <v/>
      </c>
    </row>
    <row r="1787" spans="19:28" x14ac:dyDescent="0.2">
      <c r="S1787" s="34"/>
      <c r="T1787" s="60" t="str">
        <f>IF(P1787&lt;&gt;"",
    IF(OR(O1787="", Q1787="", R1787=""),
        "Fill all the required columns",
        IFERROR(
            IF(OR(
                AND(R1787="Marine Protected", VLOOKUP(O1787, Reference!$A$2:$D$34, 4, FALSE) &lt;= P1787),
                AND(R1787="General Use", VLOOKUP(O1787, Reference!$A$2:$D$34, 3, FALSE) &lt;= P1787)
            ),
                "Exceeded",
                "OK"
            ),
            "No Regulation defined"
        )
    ),
    ""
)</f>
        <v/>
      </c>
      <c r="AB1787" s="62" t="str">
        <f t="shared" si="27"/>
        <v/>
      </c>
    </row>
    <row r="1788" spans="19:28" x14ac:dyDescent="0.2">
      <c r="S1788" s="34"/>
      <c r="T1788" s="60" t="str">
        <f>IF(P1788&lt;&gt;"",
    IF(OR(O1788="", Q1788="", R1788=""),
        "Fill all the required columns",
        IFERROR(
            IF(OR(
                AND(R1788="Marine Protected", VLOOKUP(O1788, Reference!$A$2:$D$34, 4, FALSE) &lt;= P1788),
                AND(R1788="General Use", VLOOKUP(O1788, Reference!$A$2:$D$34, 3, FALSE) &lt;= P1788)
            ),
                "Exceeded",
                "OK"
            ),
            "No Regulation defined"
        )
    ),
    ""
)</f>
        <v/>
      </c>
      <c r="AB1788" s="62" t="str">
        <f t="shared" si="27"/>
        <v/>
      </c>
    </row>
    <row r="1789" spans="19:28" x14ac:dyDescent="0.2">
      <c r="S1789" s="34"/>
      <c r="T1789" s="60" t="str">
        <f>IF(P1789&lt;&gt;"",
    IF(OR(O1789="", Q1789="", R1789=""),
        "Fill all the required columns",
        IFERROR(
            IF(OR(
                AND(R1789="Marine Protected", VLOOKUP(O1789, Reference!$A$2:$D$34, 4, FALSE) &lt;= P1789),
                AND(R1789="General Use", VLOOKUP(O1789, Reference!$A$2:$D$34, 3, FALSE) &lt;= P1789)
            ),
                "Exceeded",
                "OK"
            ),
            "No Regulation defined"
        )
    ),
    ""
)</f>
        <v/>
      </c>
      <c r="AB1789" s="62" t="str">
        <f t="shared" si="27"/>
        <v/>
      </c>
    </row>
    <row r="1790" spans="19:28" x14ac:dyDescent="0.2">
      <c r="S1790" s="34"/>
      <c r="T1790" s="60" t="str">
        <f>IF(P1790&lt;&gt;"",
    IF(OR(O1790="", Q1790="", R1790=""),
        "Fill all the required columns",
        IFERROR(
            IF(OR(
                AND(R1790="Marine Protected", VLOOKUP(O1790, Reference!$A$2:$D$34, 4, FALSE) &lt;= P1790),
                AND(R1790="General Use", VLOOKUP(O1790, Reference!$A$2:$D$34, 3, FALSE) &lt;= P1790)
            ),
                "Exceeded",
                "OK"
            ),
            "No Regulation defined"
        )
    ),
    ""
)</f>
        <v/>
      </c>
      <c r="AB1790" s="62" t="str">
        <f t="shared" si="27"/>
        <v/>
      </c>
    </row>
    <row r="1791" spans="19:28" x14ac:dyDescent="0.2">
      <c r="S1791" s="34"/>
      <c r="T1791" s="60" t="str">
        <f>IF(P1791&lt;&gt;"",
    IF(OR(O1791="", Q1791="", R1791=""),
        "Fill all the required columns",
        IFERROR(
            IF(OR(
                AND(R1791="Marine Protected", VLOOKUP(O1791, Reference!$A$2:$D$34, 4, FALSE) &lt;= P1791),
                AND(R1791="General Use", VLOOKUP(O1791, Reference!$A$2:$D$34, 3, FALSE) &lt;= P1791)
            ),
                "Exceeded",
                "OK"
            ),
            "No Regulation defined"
        )
    ),
    ""
)</f>
        <v/>
      </c>
      <c r="AB1791" s="62" t="str">
        <f t="shared" si="27"/>
        <v/>
      </c>
    </row>
    <row r="1792" spans="19:28" x14ac:dyDescent="0.2">
      <c r="S1792" s="34"/>
      <c r="T1792" s="60" t="str">
        <f>IF(P1792&lt;&gt;"",
    IF(OR(O1792="", Q1792="", R1792=""),
        "Fill all the required columns",
        IFERROR(
            IF(OR(
                AND(R1792="Marine Protected", VLOOKUP(O1792, Reference!$A$2:$D$34, 4, FALSE) &lt;= P1792),
                AND(R1792="General Use", VLOOKUP(O1792, Reference!$A$2:$D$34, 3, FALSE) &lt;= P1792)
            ),
                "Exceeded",
                "OK"
            ),
            "No Regulation defined"
        )
    ),
    ""
)</f>
        <v/>
      </c>
      <c r="AB1792" s="62" t="str">
        <f t="shared" si="27"/>
        <v/>
      </c>
    </row>
    <row r="1793" spans="19:28" x14ac:dyDescent="0.2">
      <c r="S1793" s="34"/>
      <c r="T1793" s="60" t="str">
        <f>IF(P1793&lt;&gt;"",
    IF(OR(O1793="", Q1793="", R1793=""),
        "Fill all the required columns",
        IFERROR(
            IF(OR(
                AND(R1793="Marine Protected", VLOOKUP(O1793, Reference!$A$2:$D$34, 4, FALSE) &lt;= P1793),
                AND(R1793="General Use", VLOOKUP(O1793, Reference!$A$2:$D$34, 3, FALSE) &lt;= P1793)
            ),
                "Exceeded",
                "OK"
            ),
            "No Regulation defined"
        )
    ),
    ""
)</f>
        <v/>
      </c>
      <c r="AB1793" s="62" t="str">
        <f t="shared" si="27"/>
        <v/>
      </c>
    </row>
    <row r="1794" spans="19:28" x14ac:dyDescent="0.2">
      <c r="S1794" s="34"/>
      <c r="T1794" s="60" t="str">
        <f>IF(P1794&lt;&gt;"",
    IF(OR(O1794="", Q1794="", R1794=""),
        "Fill all the required columns",
        IFERROR(
            IF(OR(
                AND(R1794="Marine Protected", VLOOKUP(O1794, Reference!$A$2:$D$34, 4, FALSE) &lt;= P1794),
                AND(R1794="General Use", VLOOKUP(O1794, Reference!$A$2:$D$34, 3, FALSE) &lt;= P1794)
            ),
                "Exceeded",
                "OK"
            ),
            "No Regulation defined"
        )
    ),
    ""
)</f>
        <v/>
      </c>
      <c r="AB1794" s="62" t="str">
        <f t="shared" si="27"/>
        <v/>
      </c>
    </row>
    <row r="1795" spans="19:28" x14ac:dyDescent="0.2">
      <c r="S1795" s="34"/>
      <c r="T1795" s="60" t="str">
        <f>IF(P1795&lt;&gt;"",
    IF(OR(O1795="", Q1795="", R1795=""),
        "Fill all the required columns",
        IFERROR(
            IF(OR(
                AND(R1795="Marine Protected", VLOOKUP(O1795, Reference!$A$2:$D$34, 4, FALSE) &lt;= P1795),
                AND(R1795="General Use", VLOOKUP(O1795, Reference!$A$2:$D$34, 3, FALSE) &lt;= P1795)
            ),
                "Exceeded",
                "OK"
            ),
            "No Regulation defined"
        )
    ),
    ""
)</f>
        <v/>
      </c>
      <c r="AB1795" s="62" t="str">
        <f t="shared" ref="AB1795:AB1858" si="28">IF(COUNTA(A1795, E1795, F1795, H1795, I1795, O1795, P1795, Q1795, R1795,S1795) = 0, "", IF(COUNTA(A1795, E1795, F1795, H1795, I1795, O1795, P1795, Q1795, R1795,S1795) = 10, "OK", "Incomplete"))</f>
        <v/>
      </c>
    </row>
    <row r="1796" spans="19:28" x14ac:dyDescent="0.2">
      <c r="S1796" s="34"/>
      <c r="T1796" s="60" t="str">
        <f>IF(P1796&lt;&gt;"",
    IF(OR(O1796="", Q1796="", R1796=""),
        "Fill all the required columns",
        IFERROR(
            IF(OR(
                AND(R1796="Marine Protected", VLOOKUP(O1796, Reference!$A$2:$D$34, 4, FALSE) &lt;= P1796),
                AND(R1796="General Use", VLOOKUP(O1796, Reference!$A$2:$D$34, 3, FALSE) &lt;= P1796)
            ),
                "Exceeded",
                "OK"
            ),
            "No Regulation defined"
        )
    ),
    ""
)</f>
        <v/>
      </c>
      <c r="AB1796" s="62" t="str">
        <f t="shared" si="28"/>
        <v/>
      </c>
    </row>
    <row r="1797" spans="19:28" x14ac:dyDescent="0.2">
      <c r="S1797" s="34"/>
      <c r="T1797" s="60" t="str">
        <f>IF(P1797&lt;&gt;"",
    IF(OR(O1797="", Q1797="", R1797=""),
        "Fill all the required columns",
        IFERROR(
            IF(OR(
                AND(R1797="Marine Protected", VLOOKUP(O1797, Reference!$A$2:$D$34, 4, FALSE) &lt;= P1797),
                AND(R1797="General Use", VLOOKUP(O1797, Reference!$A$2:$D$34, 3, FALSE) &lt;= P1797)
            ),
                "Exceeded",
                "OK"
            ),
            "No Regulation defined"
        )
    ),
    ""
)</f>
        <v/>
      </c>
      <c r="AB1797" s="62" t="str">
        <f t="shared" si="28"/>
        <v/>
      </c>
    </row>
    <row r="1798" spans="19:28" x14ac:dyDescent="0.2">
      <c r="S1798" s="34"/>
      <c r="T1798" s="60" t="str">
        <f>IF(P1798&lt;&gt;"",
    IF(OR(O1798="", Q1798="", R1798=""),
        "Fill all the required columns",
        IFERROR(
            IF(OR(
                AND(R1798="Marine Protected", VLOOKUP(O1798, Reference!$A$2:$D$34, 4, FALSE) &lt;= P1798),
                AND(R1798="General Use", VLOOKUP(O1798, Reference!$A$2:$D$34, 3, FALSE) &lt;= P1798)
            ),
                "Exceeded",
                "OK"
            ),
            "No Regulation defined"
        )
    ),
    ""
)</f>
        <v/>
      </c>
      <c r="AB1798" s="62" t="str">
        <f t="shared" si="28"/>
        <v/>
      </c>
    </row>
    <row r="1799" spans="19:28" x14ac:dyDescent="0.2">
      <c r="S1799" s="34"/>
      <c r="T1799" s="60" t="str">
        <f>IF(P1799&lt;&gt;"",
    IF(OR(O1799="", Q1799="", R1799=""),
        "Fill all the required columns",
        IFERROR(
            IF(OR(
                AND(R1799="Marine Protected", VLOOKUP(O1799, Reference!$A$2:$D$34, 4, FALSE) &lt;= P1799),
                AND(R1799="General Use", VLOOKUP(O1799, Reference!$A$2:$D$34, 3, FALSE) &lt;= P1799)
            ),
                "Exceeded",
                "OK"
            ),
            "No Regulation defined"
        )
    ),
    ""
)</f>
        <v/>
      </c>
      <c r="AB1799" s="62" t="str">
        <f t="shared" si="28"/>
        <v/>
      </c>
    </row>
    <row r="1800" spans="19:28" x14ac:dyDescent="0.2">
      <c r="S1800" s="34"/>
      <c r="T1800" s="60" t="str">
        <f>IF(P1800&lt;&gt;"",
    IF(OR(O1800="", Q1800="", R1800=""),
        "Fill all the required columns",
        IFERROR(
            IF(OR(
                AND(R1800="Marine Protected", VLOOKUP(O1800, Reference!$A$2:$D$34, 4, FALSE) &lt;= P1800),
                AND(R1800="General Use", VLOOKUP(O1800, Reference!$A$2:$D$34, 3, FALSE) &lt;= P1800)
            ),
                "Exceeded",
                "OK"
            ),
            "No Regulation defined"
        )
    ),
    ""
)</f>
        <v/>
      </c>
      <c r="AB1800" s="62" t="str">
        <f t="shared" si="28"/>
        <v/>
      </c>
    </row>
    <row r="1801" spans="19:28" x14ac:dyDescent="0.2">
      <c r="S1801" s="34"/>
      <c r="T1801" s="60" t="str">
        <f>IF(P1801&lt;&gt;"",
    IF(OR(O1801="", Q1801="", R1801=""),
        "Fill all the required columns",
        IFERROR(
            IF(OR(
                AND(R1801="Marine Protected", VLOOKUP(O1801, Reference!$A$2:$D$34, 4, FALSE) &lt;= P1801),
                AND(R1801="General Use", VLOOKUP(O1801, Reference!$A$2:$D$34, 3, FALSE) &lt;= P1801)
            ),
                "Exceeded",
                "OK"
            ),
            "No Regulation defined"
        )
    ),
    ""
)</f>
        <v/>
      </c>
      <c r="AB1801" s="62" t="str">
        <f t="shared" si="28"/>
        <v/>
      </c>
    </row>
    <row r="1802" spans="19:28" x14ac:dyDescent="0.2">
      <c r="S1802" s="34"/>
      <c r="T1802" s="60" t="str">
        <f>IF(P1802&lt;&gt;"",
    IF(OR(O1802="", Q1802="", R1802=""),
        "Fill all the required columns",
        IFERROR(
            IF(OR(
                AND(R1802="Marine Protected", VLOOKUP(O1802, Reference!$A$2:$D$34, 4, FALSE) &lt;= P1802),
                AND(R1802="General Use", VLOOKUP(O1802, Reference!$A$2:$D$34, 3, FALSE) &lt;= P1802)
            ),
                "Exceeded",
                "OK"
            ),
            "No Regulation defined"
        )
    ),
    ""
)</f>
        <v/>
      </c>
      <c r="AB1802" s="62" t="str">
        <f t="shared" si="28"/>
        <v/>
      </c>
    </row>
    <row r="1803" spans="19:28" x14ac:dyDescent="0.2">
      <c r="S1803" s="34"/>
      <c r="T1803" s="60" t="str">
        <f>IF(P1803&lt;&gt;"",
    IF(OR(O1803="", Q1803="", R1803=""),
        "Fill all the required columns",
        IFERROR(
            IF(OR(
                AND(R1803="Marine Protected", VLOOKUP(O1803, Reference!$A$2:$D$34, 4, FALSE) &lt;= P1803),
                AND(R1803="General Use", VLOOKUP(O1803, Reference!$A$2:$D$34, 3, FALSE) &lt;= P1803)
            ),
                "Exceeded",
                "OK"
            ),
            "No Regulation defined"
        )
    ),
    ""
)</f>
        <v/>
      </c>
      <c r="AB1803" s="62" t="str">
        <f t="shared" si="28"/>
        <v/>
      </c>
    </row>
    <row r="1804" spans="19:28" x14ac:dyDescent="0.2">
      <c r="S1804" s="34"/>
      <c r="T1804" s="60" t="str">
        <f>IF(P1804&lt;&gt;"",
    IF(OR(O1804="", Q1804="", R1804=""),
        "Fill all the required columns",
        IFERROR(
            IF(OR(
                AND(R1804="Marine Protected", VLOOKUP(O1804, Reference!$A$2:$D$34, 4, FALSE) &lt;= P1804),
                AND(R1804="General Use", VLOOKUP(O1804, Reference!$A$2:$D$34, 3, FALSE) &lt;= P1804)
            ),
                "Exceeded",
                "OK"
            ),
            "No Regulation defined"
        )
    ),
    ""
)</f>
        <v/>
      </c>
      <c r="AB1804" s="62" t="str">
        <f t="shared" si="28"/>
        <v/>
      </c>
    </row>
    <row r="1805" spans="19:28" x14ac:dyDescent="0.2">
      <c r="S1805" s="34"/>
      <c r="T1805" s="60" t="str">
        <f>IF(P1805&lt;&gt;"",
    IF(OR(O1805="", Q1805="", R1805=""),
        "Fill all the required columns",
        IFERROR(
            IF(OR(
                AND(R1805="Marine Protected", VLOOKUP(O1805, Reference!$A$2:$D$34, 4, FALSE) &lt;= P1805),
                AND(R1805="General Use", VLOOKUP(O1805, Reference!$A$2:$D$34, 3, FALSE) &lt;= P1805)
            ),
                "Exceeded",
                "OK"
            ),
            "No Regulation defined"
        )
    ),
    ""
)</f>
        <v/>
      </c>
      <c r="AB1805" s="62" t="str">
        <f t="shared" si="28"/>
        <v/>
      </c>
    </row>
    <row r="1806" spans="19:28" x14ac:dyDescent="0.2">
      <c r="S1806" s="34"/>
      <c r="T1806" s="60" t="str">
        <f>IF(P1806&lt;&gt;"",
    IF(OR(O1806="", Q1806="", R1806=""),
        "Fill all the required columns",
        IFERROR(
            IF(OR(
                AND(R1806="Marine Protected", VLOOKUP(O1806, Reference!$A$2:$D$34, 4, FALSE) &lt;= P1806),
                AND(R1806="General Use", VLOOKUP(O1806, Reference!$A$2:$D$34, 3, FALSE) &lt;= P1806)
            ),
                "Exceeded",
                "OK"
            ),
            "No Regulation defined"
        )
    ),
    ""
)</f>
        <v/>
      </c>
      <c r="AB1806" s="62" t="str">
        <f t="shared" si="28"/>
        <v/>
      </c>
    </row>
    <row r="1807" spans="19:28" x14ac:dyDescent="0.2">
      <c r="S1807" s="34"/>
      <c r="T1807" s="60" t="str">
        <f>IF(P1807&lt;&gt;"",
    IF(OR(O1807="", Q1807="", R1807=""),
        "Fill all the required columns",
        IFERROR(
            IF(OR(
                AND(R1807="Marine Protected", VLOOKUP(O1807, Reference!$A$2:$D$34, 4, FALSE) &lt;= P1807),
                AND(R1807="General Use", VLOOKUP(O1807, Reference!$A$2:$D$34, 3, FALSE) &lt;= P1807)
            ),
                "Exceeded",
                "OK"
            ),
            "No Regulation defined"
        )
    ),
    ""
)</f>
        <v/>
      </c>
      <c r="AB1807" s="62" t="str">
        <f t="shared" si="28"/>
        <v/>
      </c>
    </row>
    <row r="1808" spans="19:28" x14ac:dyDescent="0.2">
      <c r="S1808" s="34"/>
      <c r="T1808" s="60" t="str">
        <f>IF(P1808&lt;&gt;"",
    IF(OR(O1808="", Q1808="", R1808=""),
        "Fill all the required columns",
        IFERROR(
            IF(OR(
                AND(R1808="Marine Protected", VLOOKUP(O1808, Reference!$A$2:$D$34, 4, FALSE) &lt;= P1808),
                AND(R1808="General Use", VLOOKUP(O1808, Reference!$A$2:$D$34, 3, FALSE) &lt;= P1808)
            ),
                "Exceeded",
                "OK"
            ),
            "No Regulation defined"
        )
    ),
    ""
)</f>
        <v/>
      </c>
      <c r="AB1808" s="62" t="str">
        <f t="shared" si="28"/>
        <v/>
      </c>
    </row>
    <row r="1809" spans="19:28" x14ac:dyDescent="0.2">
      <c r="S1809" s="34"/>
      <c r="T1809" s="60" t="str">
        <f>IF(P1809&lt;&gt;"",
    IF(OR(O1809="", Q1809="", R1809=""),
        "Fill all the required columns",
        IFERROR(
            IF(OR(
                AND(R1809="Marine Protected", VLOOKUP(O1809, Reference!$A$2:$D$34, 4, FALSE) &lt;= P1809),
                AND(R1809="General Use", VLOOKUP(O1809, Reference!$A$2:$D$34, 3, FALSE) &lt;= P1809)
            ),
                "Exceeded",
                "OK"
            ),
            "No Regulation defined"
        )
    ),
    ""
)</f>
        <v/>
      </c>
      <c r="AB1809" s="62" t="str">
        <f t="shared" si="28"/>
        <v/>
      </c>
    </row>
    <row r="1810" spans="19:28" x14ac:dyDescent="0.2">
      <c r="S1810" s="34"/>
      <c r="T1810" s="60" t="str">
        <f>IF(P1810&lt;&gt;"",
    IF(OR(O1810="", Q1810="", R1810=""),
        "Fill all the required columns",
        IFERROR(
            IF(OR(
                AND(R1810="Marine Protected", VLOOKUP(O1810, Reference!$A$2:$D$34, 4, FALSE) &lt;= P1810),
                AND(R1810="General Use", VLOOKUP(O1810, Reference!$A$2:$D$34, 3, FALSE) &lt;= P1810)
            ),
                "Exceeded",
                "OK"
            ),
            "No Regulation defined"
        )
    ),
    ""
)</f>
        <v/>
      </c>
      <c r="AB1810" s="62" t="str">
        <f t="shared" si="28"/>
        <v/>
      </c>
    </row>
    <row r="1811" spans="19:28" x14ac:dyDescent="0.2">
      <c r="S1811" s="34"/>
      <c r="T1811" s="60" t="str">
        <f>IF(P1811&lt;&gt;"",
    IF(OR(O1811="", Q1811="", R1811=""),
        "Fill all the required columns",
        IFERROR(
            IF(OR(
                AND(R1811="Marine Protected", VLOOKUP(O1811, Reference!$A$2:$D$34, 4, FALSE) &lt;= P1811),
                AND(R1811="General Use", VLOOKUP(O1811, Reference!$A$2:$D$34, 3, FALSE) &lt;= P1811)
            ),
                "Exceeded",
                "OK"
            ),
            "No Regulation defined"
        )
    ),
    ""
)</f>
        <v/>
      </c>
      <c r="AB1811" s="62" t="str">
        <f t="shared" si="28"/>
        <v/>
      </c>
    </row>
    <row r="1812" spans="19:28" x14ac:dyDescent="0.2">
      <c r="S1812" s="34"/>
      <c r="T1812" s="60" t="str">
        <f>IF(P1812&lt;&gt;"",
    IF(OR(O1812="", Q1812="", R1812=""),
        "Fill all the required columns",
        IFERROR(
            IF(OR(
                AND(R1812="Marine Protected", VLOOKUP(O1812, Reference!$A$2:$D$34, 4, FALSE) &lt;= P1812),
                AND(R1812="General Use", VLOOKUP(O1812, Reference!$A$2:$D$34, 3, FALSE) &lt;= P1812)
            ),
                "Exceeded",
                "OK"
            ),
            "No Regulation defined"
        )
    ),
    ""
)</f>
        <v/>
      </c>
      <c r="AB1812" s="62" t="str">
        <f t="shared" si="28"/>
        <v/>
      </c>
    </row>
    <row r="1813" spans="19:28" x14ac:dyDescent="0.2">
      <c r="S1813" s="34"/>
      <c r="T1813" s="60" t="str">
        <f>IF(P1813&lt;&gt;"",
    IF(OR(O1813="", Q1813="", R1813=""),
        "Fill all the required columns",
        IFERROR(
            IF(OR(
                AND(R1813="Marine Protected", VLOOKUP(O1813, Reference!$A$2:$D$34, 4, FALSE) &lt;= P1813),
                AND(R1813="General Use", VLOOKUP(O1813, Reference!$A$2:$D$34, 3, FALSE) &lt;= P1813)
            ),
                "Exceeded",
                "OK"
            ),
            "No Regulation defined"
        )
    ),
    ""
)</f>
        <v/>
      </c>
      <c r="AB1813" s="62" t="str">
        <f t="shared" si="28"/>
        <v/>
      </c>
    </row>
    <row r="1814" spans="19:28" x14ac:dyDescent="0.2">
      <c r="S1814" s="34"/>
      <c r="T1814" s="60" t="str">
        <f>IF(P1814&lt;&gt;"",
    IF(OR(O1814="", Q1814="", R1814=""),
        "Fill all the required columns",
        IFERROR(
            IF(OR(
                AND(R1814="Marine Protected", VLOOKUP(O1814, Reference!$A$2:$D$34, 4, FALSE) &lt;= P1814),
                AND(R1814="General Use", VLOOKUP(O1814, Reference!$A$2:$D$34, 3, FALSE) &lt;= P1814)
            ),
                "Exceeded",
                "OK"
            ),
            "No Regulation defined"
        )
    ),
    ""
)</f>
        <v/>
      </c>
      <c r="AB1814" s="62" t="str">
        <f t="shared" si="28"/>
        <v/>
      </c>
    </row>
    <row r="1815" spans="19:28" x14ac:dyDescent="0.2">
      <c r="S1815" s="34"/>
      <c r="T1815" s="60" t="str">
        <f>IF(P1815&lt;&gt;"",
    IF(OR(O1815="", Q1815="", R1815=""),
        "Fill all the required columns",
        IFERROR(
            IF(OR(
                AND(R1815="Marine Protected", VLOOKUP(O1815, Reference!$A$2:$D$34, 4, FALSE) &lt;= P1815),
                AND(R1815="General Use", VLOOKUP(O1815, Reference!$A$2:$D$34, 3, FALSE) &lt;= P1815)
            ),
                "Exceeded",
                "OK"
            ),
            "No Regulation defined"
        )
    ),
    ""
)</f>
        <v/>
      </c>
      <c r="AB1815" s="62" t="str">
        <f t="shared" si="28"/>
        <v/>
      </c>
    </row>
    <row r="1816" spans="19:28" x14ac:dyDescent="0.2">
      <c r="S1816" s="34"/>
      <c r="T1816" s="60" t="str">
        <f>IF(P1816&lt;&gt;"",
    IF(OR(O1816="", Q1816="", R1816=""),
        "Fill all the required columns",
        IFERROR(
            IF(OR(
                AND(R1816="Marine Protected", VLOOKUP(O1816, Reference!$A$2:$D$34, 4, FALSE) &lt;= P1816),
                AND(R1816="General Use", VLOOKUP(O1816, Reference!$A$2:$D$34, 3, FALSE) &lt;= P1816)
            ),
                "Exceeded",
                "OK"
            ),
            "No Regulation defined"
        )
    ),
    ""
)</f>
        <v/>
      </c>
      <c r="AB1816" s="62" t="str">
        <f t="shared" si="28"/>
        <v/>
      </c>
    </row>
    <row r="1817" spans="19:28" x14ac:dyDescent="0.2">
      <c r="S1817" s="34"/>
      <c r="T1817" s="60" t="str">
        <f>IF(P1817&lt;&gt;"",
    IF(OR(O1817="", Q1817="", R1817=""),
        "Fill all the required columns",
        IFERROR(
            IF(OR(
                AND(R1817="Marine Protected", VLOOKUP(O1817, Reference!$A$2:$D$34, 4, FALSE) &lt;= P1817),
                AND(R1817="General Use", VLOOKUP(O1817, Reference!$A$2:$D$34, 3, FALSE) &lt;= P1817)
            ),
                "Exceeded",
                "OK"
            ),
            "No Regulation defined"
        )
    ),
    ""
)</f>
        <v/>
      </c>
      <c r="AB1817" s="62" t="str">
        <f t="shared" si="28"/>
        <v/>
      </c>
    </row>
    <row r="1818" spans="19:28" x14ac:dyDescent="0.2">
      <c r="S1818" s="34"/>
      <c r="T1818" s="60" t="str">
        <f>IF(P1818&lt;&gt;"",
    IF(OR(O1818="", Q1818="", R1818=""),
        "Fill all the required columns",
        IFERROR(
            IF(OR(
                AND(R1818="Marine Protected", VLOOKUP(O1818, Reference!$A$2:$D$34, 4, FALSE) &lt;= P1818),
                AND(R1818="General Use", VLOOKUP(O1818, Reference!$A$2:$D$34, 3, FALSE) &lt;= P1818)
            ),
                "Exceeded",
                "OK"
            ),
            "No Regulation defined"
        )
    ),
    ""
)</f>
        <v/>
      </c>
      <c r="AB1818" s="62" t="str">
        <f t="shared" si="28"/>
        <v/>
      </c>
    </row>
    <row r="1819" spans="19:28" x14ac:dyDescent="0.2">
      <c r="S1819" s="34"/>
      <c r="T1819" s="60" t="str">
        <f>IF(P1819&lt;&gt;"",
    IF(OR(O1819="", Q1819="", R1819=""),
        "Fill all the required columns",
        IFERROR(
            IF(OR(
                AND(R1819="Marine Protected", VLOOKUP(O1819, Reference!$A$2:$D$34, 4, FALSE) &lt;= P1819),
                AND(R1819="General Use", VLOOKUP(O1819, Reference!$A$2:$D$34, 3, FALSE) &lt;= P1819)
            ),
                "Exceeded",
                "OK"
            ),
            "No Regulation defined"
        )
    ),
    ""
)</f>
        <v/>
      </c>
      <c r="AB1819" s="62" t="str">
        <f t="shared" si="28"/>
        <v/>
      </c>
    </row>
    <row r="1820" spans="19:28" x14ac:dyDescent="0.2">
      <c r="S1820" s="34"/>
      <c r="T1820" s="60" t="str">
        <f>IF(P1820&lt;&gt;"",
    IF(OR(O1820="", Q1820="", R1820=""),
        "Fill all the required columns",
        IFERROR(
            IF(OR(
                AND(R1820="Marine Protected", VLOOKUP(O1820, Reference!$A$2:$D$34, 4, FALSE) &lt;= P1820),
                AND(R1820="General Use", VLOOKUP(O1820, Reference!$A$2:$D$34, 3, FALSE) &lt;= P1820)
            ),
                "Exceeded",
                "OK"
            ),
            "No Regulation defined"
        )
    ),
    ""
)</f>
        <v/>
      </c>
      <c r="AB1820" s="62" t="str">
        <f t="shared" si="28"/>
        <v/>
      </c>
    </row>
    <row r="1821" spans="19:28" x14ac:dyDescent="0.2">
      <c r="S1821" s="34"/>
      <c r="T1821" s="60" t="str">
        <f>IF(P1821&lt;&gt;"",
    IF(OR(O1821="", Q1821="", R1821=""),
        "Fill all the required columns",
        IFERROR(
            IF(OR(
                AND(R1821="Marine Protected", VLOOKUP(O1821, Reference!$A$2:$D$34, 4, FALSE) &lt;= P1821),
                AND(R1821="General Use", VLOOKUP(O1821, Reference!$A$2:$D$34, 3, FALSE) &lt;= P1821)
            ),
                "Exceeded",
                "OK"
            ),
            "No Regulation defined"
        )
    ),
    ""
)</f>
        <v/>
      </c>
      <c r="AB1821" s="62" t="str">
        <f t="shared" si="28"/>
        <v/>
      </c>
    </row>
    <row r="1822" spans="19:28" x14ac:dyDescent="0.2">
      <c r="S1822" s="34"/>
      <c r="T1822" s="60" t="str">
        <f>IF(P1822&lt;&gt;"",
    IF(OR(O1822="", Q1822="", R1822=""),
        "Fill all the required columns",
        IFERROR(
            IF(OR(
                AND(R1822="Marine Protected", VLOOKUP(O1822, Reference!$A$2:$D$34, 4, FALSE) &lt;= P1822),
                AND(R1822="General Use", VLOOKUP(O1822, Reference!$A$2:$D$34, 3, FALSE) &lt;= P1822)
            ),
                "Exceeded",
                "OK"
            ),
            "No Regulation defined"
        )
    ),
    ""
)</f>
        <v/>
      </c>
      <c r="AB1822" s="62" t="str">
        <f t="shared" si="28"/>
        <v/>
      </c>
    </row>
    <row r="1823" spans="19:28" x14ac:dyDescent="0.2">
      <c r="S1823" s="34"/>
      <c r="T1823" s="60" t="str">
        <f>IF(P1823&lt;&gt;"",
    IF(OR(O1823="", Q1823="", R1823=""),
        "Fill all the required columns",
        IFERROR(
            IF(OR(
                AND(R1823="Marine Protected", VLOOKUP(O1823, Reference!$A$2:$D$34, 4, FALSE) &lt;= P1823),
                AND(R1823="General Use", VLOOKUP(O1823, Reference!$A$2:$D$34, 3, FALSE) &lt;= P1823)
            ),
                "Exceeded",
                "OK"
            ),
            "No Regulation defined"
        )
    ),
    ""
)</f>
        <v/>
      </c>
      <c r="AB1823" s="62" t="str">
        <f t="shared" si="28"/>
        <v/>
      </c>
    </row>
    <row r="1824" spans="19:28" x14ac:dyDescent="0.2">
      <c r="S1824" s="34"/>
      <c r="T1824" s="60" t="str">
        <f>IF(P1824&lt;&gt;"",
    IF(OR(O1824="", Q1824="", R1824=""),
        "Fill all the required columns",
        IFERROR(
            IF(OR(
                AND(R1824="Marine Protected", VLOOKUP(O1824, Reference!$A$2:$D$34, 4, FALSE) &lt;= P1824),
                AND(R1824="General Use", VLOOKUP(O1824, Reference!$A$2:$D$34, 3, FALSE) &lt;= P1824)
            ),
                "Exceeded",
                "OK"
            ),
            "No Regulation defined"
        )
    ),
    ""
)</f>
        <v/>
      </c>
      <c r="AB1824" s="62" t="str">
        <f t="shared" si="28"/>
        <v/>
      </c>
    </row>
    <row r="1825" spans="19:28" x14ac:dyDescent="0.2">
      <c r="S1825" s="34"/>
      <c r="T1825" s="60" t="str">
        <f>IF(P1825&lt;&gt;"",
    IF(OR(O1825="", Q1825="", R1825=""),
        "Fill all the required columns",
        IFERROR(
            IF(OR(
                AND(R1825="Marine Protected", VLOOKUP(O1825, Reference!$A$2:$D$34, 4, FALSE) &lt;= P1825),
                AND(R1825="General Use", VLOOKUP(O1825, Reference!$A$2:$D$34, 3, FALSE) &lt;= P1825)
            ),
                "Exceeded",
                "OK"
            ),
            "No Regulation defined"
        )
    ),
    ""
)</f>
        <v/>
      </c>
      <c r="AB1825" s="62" t="str">
        <f t="shared" si="28"/>
        <v/>
      </c>
    </row>
    <row r="1826" spans="19:28" x14ac:dyDescent="0.2">
      <c r="S1826" s="34"/>
      <c r="T1826" s="60" t="str">
        <f>IF(P1826&lt;&gt;"",
    IF(OR(O1826="", Q1826="", R1826=""),
        "Fill all the required columns",
        IFERROR(
            IF(OR(
                AND(R1826="Marine Protected", VLOOKUP(O1826, Reference!$A$2:$D$34, 4, FALSE) &lt;= P1826),
                AND(R1826="General Use", VLOOKUP(O1826, Reference!$A$2:$D$34, 3, FALSE) &lt;= P1826)
            ),
                "Exceeded",
                "OK"
            ),
            "No Regulation defined"
        )
    ),
    ""
)</f>
        <v/>
      </c>
      <c r="AB1826" s="62" t="str">
        <f t="shared" si="28"/>
        <v/>
      </c>
    </row>
    <row r="1827" spans="19:28" x14ac:dyDescent="0.2">
      <c r="S1827" s="34"/>
      <c r="T1827" s="60" t="str">
        <f>IF(P1827&lt;&gt;"",
    IF(OR(O1827="", Q1827="", R1827=""),
        "Fill all the required columns",
        IFERROR(
            IF(OR(
                AND(R1827="Marine Protected", VLOOKUP(O1827, Reference!$A$2:$D$34, 4, FALSE) &lt;= P1827),
                AND(R1827="General Use", VLOOKUP(O1827, Reference!$A$2:$D$34, 3, FALSE) &lt;= P1827)
            ),
                "Exceeded",
                "OK"
            ),
            "No Regulation defined"
        )
    ),
    ""
)</f>
        <v/>
      </c>
      <c r="AB1827" s="62" t="str">
        <f t="shared" si="28"/>
        <v/>
      </c>
    </row>
    <row r="1828" spans="19:28" x14ac:dyDescent="0.2">
      <c r="S1828" s="34"/>
      <c r="T1828" s="60" t="str">
        <f>IF(P1828&lt;&gt;"",
    IF(OR(O1828="", Q1828="", R1828=""),
        "Fill all the required columns",
        IFERROR(
            IF(OR(
                AND(R1828="Marine Protected", VLOOKUP(O1828, Reference!$A$2:$D$34, 4, FALSE) &lt;= P1828),
                AND(R1828="General Use", VLOOKUP(O1828, Reference!$A$2:$D$34, 3, FALSE) &lt;= P1828)
            ),
                "Exceeded",
                "OK"
            ),
            "No Regulation defined"
        )
    ),
    ""
)</f>
        <v/>
      </c>
      <c r="AB1828" s="62" t="str">
        <f t="shared" si="28"/>
        <v/>
      </c>
    </row>
    <row r="1829" spans="19:28" x14ac:dyDescent="0.2">
      <c r="S1829" s="34"/>
      <c r="T1829" s="60" t="str">
        <f>IF(P1829&lt;&gt;"",
    IF(OR(O1829="", Q1829="", R1829=""),
        "Fill all the required columns",
        IFERROR(
            IF(OR(
                AND(R1829="Marine Protected", VLOOKUP(O1829, Reference!$A$2:$D$34, 4, FALSE) &lt;= P1829),
                AND(R1829="General Use", VLOOKUP(O1829, Reference!$A$2:$D$34, 3, FALSE) &lt;= P1829)
            ),
                "Exceeded",
                "OK"
            ),
            "No Regulation defined"
        )
    ),
    ""
)</f>
        <v/>
      </c>
      <c r="AB1829" s="62" t="str">
        <f t="shared" si="28"/>
        <v/>
      </c>
    </row>
    <row r="1830" spans="19:28" x14ac:dyDescent="0.2">
      <c r="S1830" s="34"/>
      <c r="T1830" s="60" t="str">
        <f>IF(P1830&lt;&gt;"",
    IF(OR(O1830="", Q1830="", R1830=""),
        "Fill all the required columns",
        IFERROR(
            IF(OR(
                AND(R1830="Marine Protected", VLOOKUP(O1830, Reference!$A$2:$D$34, 4, FALSE) &lt;= P1830),
                AND(R1830="General Use", VLOOKUP(O1830, Reference!$A$2:$D$34, 3, FALSE) &lt;= P1830)
            ),
                "Exceeded",
                "OK"
            ),
            "No Regulation defined"
        )
    ),
    ""
)</f>
        <v/>
      </c>
      <c r="AB1830" s="62" t="str">
        <f t="shared" si="28"/>
        <v/>
      </c>
    </row>
    <row r="1831" spans="19:28" x14ac:dyDescent="0.2">
      <c r="S1831" s="34"/>
      <c r="T1831" s="60" t="str">
        <f>IF(P1831&lt;&gt;"",
    IF(OR(O1831="", Q1831="", R1831=""),
        "Fill all the required columns",
        IFERROR(
            IF(OR(
                AND(R1831="Marine Protected", VLOOKUP(O1831, Reference!$A$2:$D$34, 4, FALSE) &lt;= P1831),
                AND(R1831="General Use", VLOOKUP(O1831, Reference!$A$2:$D$34, 3, FALSE) &lt;= P1831)
            ),
                "Exceeded",
                "OK"
            ),
            "No Regulation defined"
        )
    ),
    ""
)</f>
        <v/>
      </c>
      <c r="AB1831" s="62" t="str">
        <f t="shared" si="28"/>
        <v/>
      </c>
    </row>
    <row r="1832" spans="19:28" x14ac:dyDescent="0.2">
      <c r="S1832" s="34"/>
      <c r="T1832" s="60" t="str">
        <f>IF(P1832&lt;&gt;"",
    IF(OR(O1832="", Q1832="", R1832=""),
        "Fill all the required columns",
        IFERROR(
            IF(OR(
                AND(R1832="Marine Protected", VLOOKUP(O1832, Reference!$A$2:$D$34, 4, FALSE) &lt;= P1832),
                AND(R1832="General Use", VLOOKUP(O1832, Reference!$A$2:$D$34, 3, FALSE) &lt;= P1832)
            ),
                "Exceeded",
                "OK"
            ),
            "No Regulation defined"
        )
    ),
    ""
)</f>
        <v/>
      </c>
      <c r="AB1832" s="62" t="str">
        <f t="shared" si="28"/>
        <v/>
      </c>
    </row>
    <row r="1833" spans="19:28" x14ac:dyDescent="0.2">
      <c r="S1833" s="34"/>
      <c r="T1833" s="60" t="str">
        <f>IF(P1833&lt;&gt;"",
    IF(OR(O1833="", Q1833="", R1833=""),
        "Fill all the required columns",
        IFERROR(
            IF(OR(
                AND(R1833="Marine Protected", VLOOKUP(O1833, Reference!$A$2:$D$34, 4, FALSE) &lt;= P1833),
                AND(R1833="General Use", VLOOKUP(O1833, Reference!$A$2:$D$34, 3, FALSE) &lt;= P1833)
            ),
                "Exceeded",
                "OK"
            ),
            "No Regulation defined"
        )
    ),
    ""
)</f>
        <v/>
      </c>
      <c r="AB1833" s="62" t="str">
        <f t="shared" si="28"/>
        <v/>
      </c>
    </row>
    <row r="1834" spans="19:28" x14ac:dyDescent="0.2">
      <c r="S1834" s="34"/>
      <c r="T1834" s="60" t="str">
        <f>IF(P1834&lt;&gt;"",
    IF(OR(O1834="", Q1834="", R1834=""),
        "Fill all the required columns",
        IFERROR(
            IF(OR(
                AND(R1834="Marine Protected", VLOOKUP(O1834, Reference!$A$2:$D$34, 4, FALSE) &lt;= P1834),
                AND(R1834="General Use", VLOOKUP(O1834, Reference!$A$2:$D$34, 3, FALSE) &lt;= P1834)
            ),
                "Exceeded",
                "OK"
            ),
            "No Regulation defined"
        )
    ),
    ""
)</f>
        <v/>
      </c>
      <c r="AB1834" s="62" t="str">
        <f t="shared" si="28"/>
        <v/>
      </c>
    </row>
    <row r="1835" spans="19:28" x14ac:dyDescent="0.2">
      <c r="S1835" s="34"/>
      <c r="T1835" s="60" t="str">
        <f>IF(P1835&lt;&gt;"",
    IF(OR(O1835="", Q1835="", R1835=""),
        "Fill all the required columns",
        IFERROR(
            IF(OR(
                AND(R1835="Marine Protected", VLOOKUP(O1835, Reference!$A$2:$D$34, 4, FALSE) &lt;= P1835),
                AND(R1835="General Use", VLOOKUP(O1835, Reference!$A$2:$D$34, 3, FALSE) &lt;= P1835)
            ),
                "Exceeded",
                "OK"
            ),
            "No Regulation defined"
        )
    ),
    ""
)</f>
        <v/>
      </c>
      <c r="AB1835" s="62" t="str">
        <f t="shared" si="28"/>
        <v/>
      </c>
    </row>
    <row r="1836" spans="19:28" x14ac:dyDescent="0.2">
      <c r="S1836" s="34"/>
      <c r="T1836" s="60" t="str">
        <f>IF(P1836&lt;&gt;"",
    IF(OR(O1836="", Q1836="", R1836=""),
        "Fill all the required columns",
        IFERROR(
            IF(OR(
                AND(R1836="Marine Protected", VLOOKUP(O1836, Reference!$A$2:$D$34, 4, FALSE) &lt;= P1836),
                AND(R1836="General Use", VLOOKUP(O1836, Reference!$A$2:$D$34, 3, FALSE) &lt;= P1836)
            ),
                "Exceeded",
                "OK"
            ),
            "No Regulation defined"
        )
    ),
    ""
)</f>
        <v/>
      </c>
      <c r="AB1836" s="62" t="str">
        <f t="shared" si="28"/>
        <v/>
      </c>
    </row>
    <row r="1837" spans="19:28" x14ac:dyDescent="0.2">
      <c r="S1837" s="34"/>
      <c r="T1837" s="60" t="str">
        <f>IF(P1837&lt;&gt;"",
    IF(OR(O1837="", Q1837="", R1837=""),
        "Fill all the required columns",
        IFERROR(
            IF(OR(
                AND(R1837="Marine Protected", VLOOKUP(O1837, Reference!$A$2:$D$34, 4, FALSE) &lt;= P1837),
                AND(R1837="General Use", VLOOKUP(O1837, Reference!$A$2:$D$34, 3, FALSE) &lt;= P1837)
            ),
                "Exceeded",
                "OK"
            ),
            "No Regulation defined"
        )
    ),
    ""
)</f>
        <v/>
      </c>
      <c r="AB1837" s="62" t="str">
        <f t="shared" si="28"/>
        <v/>
      </c>
    </row>
    <row r="1838" spans="19:28" x14ac:dyDescent="0.2">
      <c r="S1838" s="34"/>
      <c r="T1838" s="60" t="str">
        <f>IF(P1838&lt;&gt;"",
    IF(OR(O1838="", Q1838="", R1838=""),
        "Fill all the required columns",
        IFERROR(
            IF(OR(
                AND(R1838="Marine Protected", VLOOKUP(O1838, Reference!$A$2:$D$34, 4, FALSE) &lt;= P1838),
                AND(R1838="General Use", VLOOKUP(O1838, Reference!$A$2:$D$34, 3, FALSE) &lt;= P1838)
            ),
                "Exceeded",
                "OK"
            ),
            "No Regulation defined"
        )
    ),
    ""
)</f>
        <v/>
      </c>
      <c r="AB1838" s="62" t="str">
        <f t="shared" si="28"/>
        <v/>
      </c>
    </row>
    <row r="1839" spans="19:28" x14ac:dyDescent="0.2">
      <c r="S1839" s="34"/>
      <c r="T1839" s="60" t="str">
        <f>IF(P1839&lt;&gt;"",
    IF(OR(O1839="", Q1839="", R1839=""),
        "Fill all the required columns",
        IFERROR(
            IF(OR(
                AND(R1839="Marine Protected", VLOOKUP(O1839, Reference!$A$2:$D$34, 4, FALSE) &lt;= P1839),
                AND(R1839="General Use", VLOOKUP(O1839, Reference!$A$2:$D$34, 3, FALSE) &lt;= P1839)
            ),
                "Exceeded",
                "OK"
            ),
            "No Regulation defined"
        )
    ),
    ""
)</f>
        <v/>
      </c>
      <c r="AB1839" s="62" t="str">
        <f t="shared" si="28"/>
        <v/>
      </c>
    </row>
    <row r="1840" spans="19:28" x14ac:dyDescent="0.2">
      <c r="S1840" s="34"/>
      <c r="T1840" s="60" t="str">
        <f>IF(P1840&lt;&gt;"",
    IF(OR(O1840="", Q1840="", R1840=""),
        "Fill all the required columns",
        IFERROR(
            IF(OR(
                AND(R1840="Marine Protected", VLOOKUP(O1840, Reference!$A$2:$D$34, 4, FALSE) &lt;= P1840),
                AND(R1840="General Use", VLOOKUP(O1840, Reference!$A$2:$D$34, 3, FALSE) &lt;= P1840)
            ),
                "Exceeded",
                "OK"
            ),
            "No Regulation defined"
        )
    ),
    ""
)</f>
        <v/>
      </c>
      <c r="AB1840" s="62" t="str">
        <f t="shared" si="28"/>
        <v/>
      </c>
    </row>
    <row r="1841" spans="19:28" x14ac:dyDescent="0.2">
      <c r="S1841" s="34"/>
      <c r="T1841" s="60" t="str">
        <f>IF(P1841&lt;&gt;"",
    IF(OR(O1841="", Q1841="", R1841=""),
        "Fill all the required columns",
        IFERROR(
            IF(OR(
                AND(R1841="Marine Protected", VLOOKUP(O1841, Reference!$A$2:$D$34, 4, FALSE) &lt;= P1841),
                AND(R1841="General Use", VLOOKUP(O1841, Reference!$A$2:$D$34, 3, FALSE) &lt;= P1841)
            ),
                "Exceeded",
                "OK"
            ),
            "No Regulation defined"
        )
    ),
    ""
)</f>
        <v/>
      </c>
      <c r="AB1841" s="62" t="str">
        <f t="shared" si="28"/>
        <v/>
      </c>
    </row>
    <row r="1842" spans="19:28" x14ac:dyDescent="0.2">
      <c r="S1842" s="34"/>
      <c r="T1842" s="60" t="str">
        <f>IF(P1842&lt;&gt;"",
    IF(OR(O1842="", Q1842="", R1842=""),
        "Fill all the required columns",
        IFERROR(
            IF(OR(
                AND(R1842="Marine Protected", VLOOKUP(O1842, Reference!$A$2:$D$34, 4, FALSE) &lt;= P1842),
                AND(R1842="General Use", VLOOKUP(O1842, Reference!$A$2:$D$34, 3, FALSE) &lt;= P1842)
            ),
                "Exceeded",
                "OK"
            ),
            "No Regulation defined"
        )
    ),
    ""
)</f>
        <v/>
      </c>
      <c r="AB1842" s="62" t="str">
        <f t="shared" si="28"/>
        <v/>
      </c>
    </row>
    <row r="1843" spans="19:28" x14ac:dyDescent="0.2">
      <c r="S1843" s="34"/>
      <c r="T1843" s="60" t="str">
        <f>IF(P1843&lt;&gt;"",
    IF(OR(O1843="", Q1843="", R1843=""),
        "Fill all the required columns",
        IFERROR(
            IF(OR(
                AND(R1843="Marine Protected", VLOOKUP(O1843, Reference!$A$2:$D$34, 4, FALSE) &lt;= P1843),
                AND(R1843="General Use", VLOOKUP(O1843, Reference!$A$2:$D$34, 3, FALSE) &lt;= P1843)
            ),
                "Exceeded",
                "OK"
            ),
            "No Regulation defined"
        )
    ),
    ""
)</f>
        <v/>
      </c>
      <c r="AB1843" s="62" t="str">
        <f t="shared" si="28"/>
        <v/>
      </c>
    </row>
    <row r="1844" spans="19:28" x14ac:dyDescent="0.2">
      <c r="S1844" s="34"/>
      <c r="T1844" s="60" t="str">
        <f>IF(P1844&lt;&gt;"",
    IF(OR(O1844="", Q1844="", R1844=""),
        "Fill all the required columns",
        IFERROR(
            IF(OR(
                AND(R1844="Marine Protected", VLOOKUP(O1844, Reference!$A$2:$D$34, 4, FALSE) &lt;= P1844),
                AND(R1844="General Use", VLOOKUP(O1844, Reference!$A$2:$D$34, 3, FALSE) &lt;= P1844)
            ),
                "Exceeded",
                "OK"
            ),
            "No Regulation defined"
        )
    ),
    ""
)</f>
        <v/>
      </c>
      <c r="AB1844" s="62" t="str">
        <f t="shared" si="28"/>
        <v/>
      </c>
    </row>
    <row r="1845" spans="19:28" x14ac:dyDescent="0.2">
      <c r="S1845" s="34"/>
      <c r="T1845" s="60" t="str">
        <f>IF(P1845&lt;&gt;"",
    IF(OR(O1845="", Q1845="", R1845=""),
        "Fill all the required columns",
        IFERROR(
            IF(OR(
                AND(R1845="Marine Protected", VLOOKUP(O1845, Reference!$A$2:$D$34, 4, FALSE) &lt;= P1845),
                AND(R1845="General Use", VLOOKUP(O1845, Reference!$A$2:$D$34, 3, FALSE) &lt;= P1845)
            ),
                "Exceeded",
                "OK"
            ),
            "No Regulation defined"
        )
    ),
    ""
)</f>
        <v/>
      </c>
      <c r="AB1845" s="62" t="str">
        <f t="shared" si="28"/>
        <v/>
      </c>
    </row>
    <row r="1846" spans="19:28" x14ac:dyDescent="0.2">
      <c r="S1846" s="34"/>
      <c r="T1846" s="60" t="str">
        <f>IF(P1846&lt;&gt;"",
    IF(OR(O1846="", Q1846="", R1846=""),
        "Fill all the required columns",
        IFERROR(
            IF(OR(
                AND(R1846="Marine Protected", VLOOKUP(O1846, Reference!$A$2:$D$34, 4, FALSE) &lt;= P1846),
                AND(R1846="General Use", VLOOKUP(O1846, Reference!$A$2:$D$34, 3, FALSE) &lt;= P1846)
            ),
                "Exceeded",
                "OK"
            ),
            "No Regulation defined"
        )
    ),
    ""
)</f>
        <v/>
      </c>
      <c r="AB1846" s="62" t="str">
        <f t="shared" si="28"/>
        <v/>
      </c>
    </row>
    <row r="1847" spans="19:28" x14ac:dyDescent="0.2">
      <c r="S1847" s="34"/>
      <c r="T1847" s="60" t="str">
        <f>IF(P1847&lt;&gt;"",
    IF(OR(O1847="", Q1847="", R1847=""),
        "Fill all the required columns",
        IFERROR(
            IF(OR(
                AND(R1847="Marine Protected", VLOOKUP(O1847, Reference!$A$2:$D$34, 4, FALSE) &lt;= P1847),
                AND(R1847="General Use", VLOOKUP(O1847, Reference!$A$2:$D$34, 3, FALSE) &lt;= P1847)
            ),
                "Exceeded",
                "OK"
            ),
            "No Regulation defined"
        )
    ),
    ""
)</f>
        <v/>
      </c>
      <c r="AB1847" s="62" t="str">
        <f t="shared" si="28"/>
        <v/>
      </c>
    </row>
    <row r="1848" spans="19:28" x14ac:dyDescent="0.2">
      <c r="S1848" s="34"/>
      <c r="T1848" s="60" t="str">
        <f>IF(P1848&lt;&gt;"",
    IF(OR(O1848="", Q1848="", R1848=""),
        "Fill all the required columns",
        IFERROR(
            IF(OR(
                AND(R1848="Marine Protected", VLOOKUP(O1848, Reference!$A$2:$D$34, 4, FALSE) &lt;= P1848),
                AND(R1848="General Use", VLOOKUP(O1848, Reference!$A$2:$D$34, 3, FALSE) &lt;= P1848)
            ),
                "Exceeded",
                "OK"
            ),
            "No Regulation defined"
        )
    ),
    ""
)</f>
        <v/>
      </c>
      <c r="AB1848" s="62" t="str">
        <f t="shared" si="28"/>
        <v/>
      </c>
    </row>
    <row r="1849" spans="19:28" x14ac:dyDescent="0.2">
      <c r="S1849" s="34"/>
      <c r="T1849" s="60" t="str">
        <f>IF(P1849&lt;&gt;"",
    IF(OR(O1849="", Q1849="", R1849=""),
        "Fill all the required columns",
        IFERROR(
            IF(OR(
                AND(R1849="Marine Protected", VLOOKUP(O1849, Reference!$A$2:$D$34, 4, FALSE) &lt;= P1849),
                AND(R1849="General Use", VLOOKUP(O1849, Reference!$A$2:$D$34, 3, FALSE) &lt;= P1849)
            ),
                "Exceeded",
                "OK"
            ),
            "No Regulation defined"
        )
    ),
    ""
)</f>
        <v/>
      </c>
      <c r="AB1849" s="62" t="str">
        <f t="shared" si="28"/>
        <v/>
      </c>
    </row>
    <row r="1850" spans="19:28" x14ac:dyDescent="0.2">
      <c r="S1850" s="34"/>
      <c r="T1850" s="60" t="str">
        <f>IF(P1850&lt;&gt;"",
    IF(OR(O1850="", Q1850="", R1850=""),
        "Fill all the required columns",
        IFERROR(
            IF(OR(
                AND(R1850="Marine Protected", VLOOKUP(O1850, Reference!$A$2:$D$34, 4, FALSE) &lt;= P1850),
                AND(R1850="General Use", VLOOKUP(O1850, Reference!$A$2:$D$34, 3, FALSE) &lt;= P1850)
            ),
                "Exceeded",
                "OK"
            ),
            "No Regulation defined"
        )
    ),
    ""
)</f>
        <v/>
      </c>
      <c r="AB1850" s="62" t="str">
        <f t="shared" si="28"/>
        <v/>
      </c>
    </row>
    <row r="1851" spans="19:28" x14ac:dyDescent="0.2">
      <c r="S1851" s="34"/>
      <c r="T1851" s="60" t="str">
        <f>IF(P1851&lt;&gt;"",
    IF(OR(O1851="", Q1851="", R1851=""),
        "Fill all the required columns",
        IFERROR(
            IF(OR(
                AND(R1851="Marine Protected", VLOOKUP(O1851, Reference!$A$2:$D$34, 4, FALSE) &lt;= P1851),
                AND(R1851="General Use", VLOOKUP(O1851, Reference!$A$2:$D$34, 3, FALSE) &lt;= P1851)
            ),
                "Exceeded",
                "OK"
            ),
            "No Regulation defined"
        )
    ),
    ""
)</f>
        <v/>
      </c>
      <c r="AB1851" s="62" t="str">
        <f t="shared" si="28"/>
        <v/>
      </c>
    </row>
    <row r="1852" spans="19:28" x14ac:dyDescent="0.2">
      <c r="S1852" s="34"/>
      <c r="T1852" s="60" t="str">
        <f>IF(P1852&lt;&gt;"",
    IF(OR(O1852="", Q1852="", R1852=""),
        "Fill all the required columns",
        IFERROR(
            IF(OR(
                AND(R1852="Marine Protected", VLOOKUP(O1852, Reference!$A$2:$D$34, 4, FALSE) &lt;= P1852),
                AND(R1852="General Use", VLOOKUP(O1852, Reference!$A$2:$D$34, 3, FALSE) &lt;= P1852)
            ),
                "Exceeded",
                "OK"
            ),
            "No Regulation defined"
        )
    ),
    ""
)</f>
        <v/>
      </c>
      <c r="AB1852" s="62" t="str">
        <f t="shared" si="28"/>
        <v/>
      </c>
    </row>
    <row r="1853" spans="19:28" x14ac:dyDescent="0.2">
      <c r="S1853" s="34"/>
      <c r="T1853" s="60" t="str">
        <f>IF(P1853&lt;&gt;"",
    IF(OR(O1853="", Q1853="", R1853=""),
        "Fill all the required columns",
        IFERROR(
            IF(OR(
                AND(R1853="Marine Protected", VLOOKUP(O1853, Reference!$A$2:$D$34, 4, FALSE) &lt;= P1853),
                AND(R1853="General Use", VLOOKUP(O1853, Reference!$A$2:$D$34, 3, FALSE) &lt;= P1853)
            ),
                "Exceeded",
                "OK"
            ),
            "No Regulation defined"
        )
    ),
    ""
)</f>
        <v/>
      </c>
      <c r="AB1853" s="62" t="str">
        <f t="shared" si="28"/>
        <v/>
      </c>
    </row>
    <row r="1854" spans="19:28" x14ac:dyDescent="0.2">
      <c r="S1854" s="34"/>
      <c r="T1854" s="60" t="str">
        <f>IF(P1854&lt;&gt;"",
    IF(OR(O1854="", Q1854="", R1854=""),
        "Fill all the required columns",
        IFERROR(
            IF(OR(
                AND(R1854="Marine Protected", VLOOKUP(O1854, Reference!$A$2:$D$34, 4, FALSE) &lt;= P1854),
                AND(R1854="General Use", VLOOKUP(O1854, Reference!$A$2:$D$34, 3, FALSE) &lt;= P1854)
            ),
                "Exceeded",
                "OK"
            ),
            "No Regulation defined"
        )
    ),
    ""
)</f>
        <v/>
      </c>
      <c r="AB1854" s="62" t="str">
        <f t="shared" si="28"/>
        <v/>
      </c>
    </row>
    <row r="1855" spans="19:28" x14ac:dyDescent="0.2">
      <c r="S1855" s="34"/>
      <c r="T1855" s="60" t="str">
        <f>IF(P1855&lt;&gt;"",
    IF(OR(O1855="", Q1855="", R1855=""),
        "Fill all the required columns",
        IFERROR(
            IF(OR(
                AND(R1855="Marine Protected", VLOOKUP(O1855, Reference!$A$2:$D$34, 4, FALSE) &lt;= P1855),
                AND(R1855="General Use", VLOOKUP(O1855, Reference!$A$2:$D$34, 3, FALSE) &lt;= P1855)
            ),
                "Exceeded",
                "OK"
            ),
            "No Regulation defined"
        )
    ),
    ""
)</f>
        <v/>
      </c>
      <c r="AB1855" s="62" t="str">
        <f t="shared" si="28"/>
        <v/>
      </c>
    </row>
    <row r="1856" spans="19:28" x14ac:dyDescent="0.2">
      <c r="S1856" s="34"/>
      <c r="T1856" s="60" t="str">
        <f>IF(P1856&lt;&gt;"",
    IF(OR(O1856="", Q1856="", R1856=""),
        "Fill all the required columns",
        IFERROR(
            IF(OR(
                AND(R1856="Marine Protected", VLOOKUP(O1856, Reference!$A$2:$D$34, 4, FALSE) &lt;= P1856),
                AND(R1856="General Use", VLOOKUP(O1856, Reference!$A$2:$D$34, 3, FALSE) &lt;= P1856)
            ),
                "Exceeded",
                "OK"
            ),
            "No Regulation defined"
        )
    ),
    ""
)</f>
        <v/>
      </c>
      <c r="AB1856" s="62" t="str">
        <f t="shared" si="28"/>
        <v/>
      </c>
    </row>
    <row r="1857" spans="19:28" x14ac:dyDescent="0.2">
      <c r="S1857" s="34"/>
      <c r="T1857" s="60" t="str">
        <f>IF(P1857&lt;&gt;"",
    IF(OR(O1857="", Q1857="", R1857=""),
        "Fill all the required columns",
        IFERROR(
            IF(OR(
                AND(R1857="Marine Protected", VLOOKUP(O1857, Reference!$A$2:$D$34, 4, FALSE) &lt;= P1857),
                AND(R1857="General Use", VLOOKUP(O1857, Reference!$A$2:$D$34, 3, FALSE) &lt;= P1857)
            ),
                "Exceeded",
                "OK"
            ),
            "No Regulation defined"
        )
    ),
    ""
)</f>
        <v/>
      </c>
      <c r="AB1857" s="62" t="str">
        <f t="shared" si="28"/>
        <v/>
      </c>
    </row>
    <row r="1858" spans="19:28" x14ac:dyDescent="0.2">
      <c r="S1858" s="34"/>
      <c r="T1858" s="60" t="str">
        <f>IF(P1858&lt;&gt;"",
    IF(OR(O1858="", Q1858="", R1858=""),
        "Fill all the required columns",
        IFERROR(
            IF(OR(
                AND(R1858="Marine Protected", VLOOKUP(O1858, Reference!$A$2:$D$34, 4, FALSE) &lt;= P1858),
                AND(R1858="General Use", VLOOKUP(O1858, Reference!$A$2:$D$34, 3, FALSE) &lt;= P1858)
            ),
                "Exceeded",
                "OK"
            ),
            "No Regulation defined"
        )
    ),
    ""
)</f>
        <v/>
      </c>
      <c r="AB1858" s="62" t="str">
        <f t="shared" si="28"/>
        <v/>
      </c>
    </row>
    <row r="1859" spans="19:28" x14ac:dyDescent="0.2">
      <c r="S1859" s="34"/>
      <c r="T1859" s="60" t="str">
        <f>IF(P1859&lt;&gt;"",
    IF(OR(O1859="", Q1859="", R1859=""),
        "Fill all the required columns",
        IFERROR(
            IF(OR(
                AND(R1859="Marine Protected", VLOOKUP(O1859, Reference!$A$2:$D$34, 4, FALSE) &lt;= P1859),
                AND(R1859="General Use", VLOOKUP(O1859, Reference!$A$2:$D$34, 3, FALSE) &lt;= P1859)
            ),
                "Exceeded",
                "OK"
            ),
            "No Regulation defined"
        )
    ),
    ""
)</f>
        <v/>
      </c>
      <c r="AB1859" s="62" t="str">
        <f t="shared" ref="AB1859:AB1922" si="29">IF(COUNTA(A1859, E1859, F1859, H1859, I1859, O1859, P1859, Q1859, R1859,S1859) = 0, "", IF(COUNTA(A1859, E1859, F1859, H1859, I1859, O1859, P1859, Q1859, R1859,S1859) = 10, "OK", "Incomplete"))</f>
        <v/>
      </c>
    </row>
    <row r="1860" spans="19:28" x14ac:dyDescent="0.2">
      <c r="S1860" s="34"/>
      <c r="T1860" s="60" t="str">
        <f>IF(P1860&lt;&gt;"",
    IF(OR(O1860="", Q1860="", R1860=""),
        "Fill all the required columns",
        IFERROR(
            IF(OR(
                AND(R1860="Marine Protected", VLOOKUP(O1860, Reference!$A$2:$D$34, 4, FALSE) &lt;= P1860),
                AND(R1860="General Use", VLOOKUP(O1860, Reference!$A$2:$D$34, 3, FALSE) &lt;= P1860)
            ),
                "Exceeded",
                "OK"
            ),
            "No Regulation defined"
        )
    ),
    ""
)</f>
        <v/>
      </c>
      <c r="AB1860" s="62" t="str">
        <f t="shared" si="29"/>
        <v/>
      </c>
    </row>
    <row r="1861" spans="19:28" x14ac:dyDescent="0.2">
      <c r="S1861" s="34"/>
      <c r="T1861" s="60" t="str">
        <f>IF(P1861&lt;&gt;"",
    IF(OR(O1861="", Q1861="", R1861=""),
        "Fill all the required columns",
        IFERROR(
            IF(OR(
                AND(R1861="Marine Protected", VLOOKUP(O1861, Reference!$A$2:$D$34, 4, FALSE) &lt;= P1861),
                AND(R1861="General Use", VLOOKUP(O1861, Reference!$A$2:$D$34, 3, FALSE) &lt;= P1861)
            ),
                "Exceeded",
                "OK"
            ),
            "No Regulation defined"
        )
    ),
    ""
)</f>
        <v/>
      </c>
      <c r="AB1861" s="62" t="str">
        <f t="shared" si="29"/>
        <v/>
      </c>
    </row>
    <row r="1862" spans="19:28" x14ac:dyDescent="0.2">
      <c r="S1862" s="34"/>
      <c r="T1862" s="60" t="str">
        <f>IF(P1862&lt;&gt;"",
    IF(OR(O1862="", Q1862="", R1862=""),
        "Fill all the required columns",
        IFERROR(
            IF(OR(
                AND(R1862="Marine Protected", VLOOKUP(O1862, Reference!$A$2:$D$34, 4, FALSE) &lt;= P1862),
                AND(R1862="General Use", VLOOKUP(O1862, Reference!$A$2:$D$34, 3, FALSE) &lt;= P1862)
            ),
                "Exceeded",
                "OK"
            ),
            "No Regulation defined"
        )
    ),
    ""
)</f>
        <v/>
      </c>
      <c r="AB1862" s="62" t="str">
        <f t="shared" si="29"/>
        <v/>
      </c>
    </row>
    <row r="1863" spans="19:28" x14ac:dyDescent="0.2">
      <c r="S1863" s="34"/>
      <c r="T1863" s="60" t="str">
        <f>IF(P1863&lt;&gt;"",
    IF(OR(O1863="", Q1863="", R1863=""),
        "Fill all the required columns",
        IFERROR(
            IF(OR(
                AND(R1863="Marine Protected", VLOOKUP(O1863, Reference!$A$2:$D$34, 4, FALSE) &lt;= P1863),
                AND(R1863="General Use", VLOOKUP(O1863, Reference!$A$2:$D$34, 3, FALSE) &lt;= P1863)
            ),
                "Exceeded",
                "OK"
            ),
            "No Regulation defined"
        )
    ),
    ""
)</f>
        <v/>
      </c>
      <c r="AB1863" s="62" t="str">
        <f t="shared" si="29"/>
        <v/>
      </c>
    </row>
    <row r="1864" spans="19:28" x14ac:dyDescent="0.2">
      <c r="S1864" s="34"/>
      <c r="T1864" s="60" t="str">
        <f>IF(P1864&lt;&gt;"",
    IF(OR(O1864="", Q1864="", R1864=""),
        "Fill all the required columns",
        IFERROR(
            IF(OR(
                AND(R1864="Marine Protected", VLOOKUP(O1864, Reference!$A$2:$D$34, 4, FALSE) &lt;= P1864),
                AND(R1864="General Use", VLOOKUP(O1864, Reference!$A$2:$D$34, 3, FALSE) &lt;= P1864)
            ),
                "Exceeded",
                "OK"
            ),
            "No Regulation defined"
        )
    ),
    ""
)</f>
        <v/>
      </c>
      <c r="AB1864" s="62" t="str">
        <f t="shared" si="29"/>
        <v/>
      </c>
    </row>
    <row r="1865" spans="19:28" x14ac:dyDescent="0.2">
      <c r="S1865" s="34"/>
      <c r="T1865" s="60" t="str">
        <f>IF(P1865&lt;&gt;"",
    IF(OR(O1865="", Q1865="", R1865=""),
        "Fill all the required columns",
        IFERROR(
            IF(OR(
                AND(R1865="Marine Protected", VLOOKUP(O1865, Reference!$A$2:$D$34, 4, FALSE) &lt;= P1865),
                AND(R1865="General Use", VLOOKUP(O1865, Reference!$A$2:$D$34, 3, FALSE) &lt;= P1865)
            ),
                "Exceeded",
                "OK"
            ),
            "No Regulation defined"
        )
    ),
    ""
)</f>
        <v/>
      </c>
      <c r="AB1865" s="62" t="str">
        <f t="shared" si="29"/>
        <v/>
      </c>
    </row>
    <row r="1866" spans="19:28" x14ac:dyDescent="0.2">
      <c r="S1866" s="34"/>
      <c r="T1866" s="60" t="str">
        <f>IF(P1866&lt;&gt;"",
    IF(OR(O1866="", Q1866="", R1866=""),
        "Fill all the required columns",
        IFERROR(
            IF(OR(
                AND(R1866="Marine Protected", VLOOKUP(O1866, Reference!$A$2:$D$34, 4, FALSE) &lt;= P1866),
                AND(R1866="General Use", VLOOKUP(O1866, Reference!$A$2:$D$34, 3, FALSE) &lt;= P1866)
            ),
                "Exceeded",
                "OK"
            ),
            "No Regulation defined"
        )
    ),
    ""
)</f>
        <v/>
      </c>
      <c r="AB1866" s="62" t="str">
        <f t="shared" si="29"/>
        <v/>
      </c>
    </row>
    <row r="1867" spans="19:28" x14ac:dyDescent="0.2">
      <c r="S1867" s="34"/>
      <c r="T1867" s="60" t="str">
        <f>IF(P1867&lt;&gt;"",
    IF(OR(O1867="", Q1867="", R1867=""),
        "Fill all the required columns",
        IFERROR(
            IF(OR(
                AND(R1867="Marine Protected", VLOOKUP(O1867, Reference!$A$2:$D$34, 4, FALSE) &lt;= P1867),
                AND(R1867="General Use", VLOOKUP(O1867, Reference!$A$2:$D$34, 3, FALSE) &lt;= P1867)
            ),
                "Exceeded",
                "OK"
            ),
            "No Regulation defined"
        )
    ),
    ""
)</f>
        <v/>
      </c>
      <c r="AB1867" s="62" t="str">
        <f t="shared" si="29"/>
        <v/>
      </c>
    </row>
    <row r="1868" spans="19:28" x14ac:dyDescent="0.2">
      <c r="S1868" s="34"/>
      <c r="T1868" s="60" t="str">
        <f>IF(P1868&lt;&gt;"",
    IF(OR(O1868="", Q1868="", R1868=""),
        "Fill all the required columns",
        IFERROR(
            IF(OR(
                AND(R1868="Marine Protected", VLOOKUP(O1868, Reference!$A$2:$D$34, 4, FALSE) &lt;= P1868),
                AND(R1868="General Use", VLOOKUP(O1868, Reference!$A$2:$D$34, 3, FALSE) &lt;= P1868)
            ),
                "Exceeded",
                "OK"
            ),
            "No Regulation defined"
        )
    ),
    ""
)</f>
        <v/>
      </c>
      <c r="AB1868" s="62" t="str">
        <f t="shared" si="29"/>
        <v/>
      </c>
    </row>
    <row r="1869" spans="19:28" x14ac:dyDescent="0.2">
      <c r="S1869" s="34"/>
      <c r="T1869" s="60" t="str">
        <f>IF(P1869&lt;&gt;"",
    IF(OR(O1869="", Q1869="", R1869=""),
        "Fill all the required columns",
        IFERROR(
            IF(OR(
                AND(R1869="Marine Protected", VLOOKUP(O1869, Reference!$A$2:$D$34, 4, FALSE) &lt;= P1869),
                AND(R1869="General Use", VLOOKUP(O1869, Reference!$A$2:$D$34, 3, FALSE) &lt;= P1869)
            ),
                "Exceeded",
                "OK"
            ),
            "No Regulation defined"
        )
    ),
    ""
)</f>
        <v/>
      </c>
      <c r="AB1869" s="62" t="str">
        <f t="shared" si="29"/>
        <v/>
      </c>
    </row>
    <row r="1870" spans="19:28" x14ac:dyDescent="0.2">
      <c r="S1870" s="34"/>
      <c r="T1870" s="60" t="str">
        <f>IF(P1870&lt;&gt;"",
    IF(OR(O1870="", Q1870="", R1870=""),
        "Fill all the required columns",
        IFERROR(
            IF(OR(
                AND(R1870="Marine Protected", VLOOKUP(O1870, Reference!$A$2:$D$34, 4, FALSE) &lt;= P1870),
                AND(R1870="General Use", VLOOKUP(O1870, Reference!$A$2:$D$34, 3, FALSE) &lt;= P1870)
            ),
                "Exceeded",
                "OK"
            ),
            "No Regulation defined"
        )
    ),
    ""
)</f>
        <v/>
      </c>
      <c r="AB1870" s="62" t="str">
        <f t="shared" si="29"/>
        <v/>
      </c>
    </row>
    <row r="1871" spans="19:28" x14ac:dyDescent="0.2">
      <c r="S1871" s="34"/>
      <c r="T1871" s="60" t="str">
        <f>IF(P1871&lt;&gt;"",
    IF(OR(O1871="", Q1871="", R1871=""),
        "Fill all the required columns",
        IFERROR(
            IF(OR(
                AND(R1871="Marine Protected", VLOOKUP(O1871, Reference!$A$2:$D$34, 4, FALSE) &lt;= P1871),
                AND(R1871="General Use", VLOOKUP(O1871, Reference!$A$2:$D$34, 3, FALSE) &lt;= P1871)
            ),
                "Exceeded",
                "OK"
            ),
            "No Regulation defined"
        )
    ),
    ""
)</f>
        <v/>
      </c>
      <c r="AB1871" s="62" t="str">
        <f t="shared" si="29"/>
        <v/>
      </c>
    </row>
    <row r="1872" spans="19:28" x14ac:dyDescent="0.2">
      <c r="S1872" s="34"/>
      <c r="T1872" s="60" t="str">
        <f>IF(P1872&lt;&gt;"",
    IF(OR(O1872="", Q1872="", R1872=""),
        "Fill all the required columns",
        IFERROR(
            IF(OR(
                AND(R1872="Marine Protected", VLOOKUP(O1872, Reference!$A$2:$D$34, 4, FALSE) &lt;= P1872),
                AND(R1872="General Use", VLOOKUP(O1872, Reference!$A$2:$D$34, 3, FALSE) &lt;= P1872)
            ),
                "Exceeded",
                "OK"
            ),
            "No Regulation defined"
        )
    ),
    ""
)</f>
        <v/>
      </c>
      <c r="AB1872" s="62" t="str">
        <f t="shared" si="29"/>
        <v/>
      </c>
    </row>
    <row r="1873" spans="19:28" x14ac:dyDescent="0.2">
      <c r="S1873" s="34"/>
      <c r="T1873" s="60" t="str">
        <f>IF(P1873&lt;&gt;"",
    IF(OR(O1873="", Q1873="", R1873=""),
        "Fill all the required columns",
        IFERROR(
            IF(OR(
                AND(R1873="Marine Protected", VLOOKUP(O1873, Reference!$A$2:$D$34, 4, FALSE) &lt;= P1873),
                AND(R1873="General Use", VLOOKUP(O1873, Reference!$A$2:$D$34, 3, FALSE) &lt;= P1873)
            ),
                "Exceeded",
                "OK"
            ),
            "No Regulation defined"
        )
    ),
    ""
)</f>
        <v/>
      </c>
      <c r="AB1873" s="62" t="str">
        <f t="shared" si="29"/>
        <v/>
      </c>
    </row>
    <row r="1874" spans="19:28" x14ac:dyDescent="0.2">
      <c r="S1874" s="34"/>
      <c r="T1874" s="60" t="str">
        <f>IF(P1874&lt;&gt;"",
    IF(OR(O1874="", Q1874="", R1874=""),
        "Fill all the required columns",
        IFERROR(
            IF(OR(
                AND(R1874="Marine Protected", VLOOKUP(O1874, Reference!$A$2:$D$34, 4, FALSE) &lt;= P1874),
                AND(R1874="General Use", VLOOKUP(O1874, Reference!$A$2:$D$34, 3, FALSE) &lt;= P1874)
            ),
                "Exceeded",
                "OK"
            ),
            "No Regulation defined"
        )
    ),
    ""
)</f>
        <v/>
      </c>
      <c r="AB1874" s="62" t="str">
        <f t="shared" si="29"/>
        <v/>
      </c>
    </row>
    <row r="1875" spans="19:28" x14ac:dyDescent="0.2">
      <c r="S1875" s="34"/>
      <c r="T1875" s="60" t="str">
        <f>IF(P1875&lt;&gt;"",
    IF(OR(O1875="", Q1875="", R1875=""),
        "Fill all the required columns",
        IFERROR(
            IF(OR(
                AND(R1875="Marine Protected", VLOOKUP(O1875, Reference!$A$2:$D$34, 4, FALSE) &lt;= P1875),
                AND(R1875="General Use", VLOOKUP(O1875, Reference!$A$2:$D$34, 3, FALSE) &lt;= P1875)
            ),
                "Exceeded",
                "OK"
            ),
            "No Regulation defined"
        )
    ),
    ""
)</f>
        <v/>
      </c>
      <c r="AB1875" s="62" t="str">
        <f t="shared" si="29"/>
        <v/>
      </c>
    </row>
    <row r="1876" spans="19:28" x14ac:dyDescent="0.2">
      <c r="S1876" s="34"/>
      <c r="T1876" s="60" t="str">
        <f>IF(P1876&lt;&gt;"",
    IF(OR(O1876="", Q1876="", R1876=""),
        "Fill all the required columns",
        IFERROR(
            IF(OR(
                AND(R1876="Marine Protected", VLOOKUP(O1876, Reference!$A$2:$D$34, 4, FALSE) &lt;= P1876),
                AND(R1876="General Use", VLOOKUP(O1876, Reference!$A$2:$D$34, 3, FALSE) &lt;= P1876)
            ),
                "Exceeded",
                "OK"
            ),
            "No Regulation defined"
        )
    ),
    ""
)</f>
        <v/>
      </c>
      <c r="AB1876" s="62" t="str">
        <f t="shared" si="29"/>
        <v/>
      </c>
    </row>
    <row r="1877" spans="19:28" x14ac:dyDescent="0.2">
      <c r="S1877" s="34"/>
      <c r="T1877" s="60" t="str">
        <f>IF(P1877&lt;&gt;"",
    IF(OR(O1877="", Q1877="", R1877=""),
        "Fill all the required columns",
        IFERROR(
            IF(OR(
                AND(R1877="Marine Protected", VLOOKUP(O1877, Reference!$A$2:$D$34, 4, FALSE) &lt;= P1877),
                AND(R1877="General Use", VLOOKUP(O1877, Reference!$A$2:$D$34, 3, FALSE) &lt;= P1877)
            ),
                "Exceeded",
                "OK"
            ),
            "No Regulation defined"
        )
    ),
    ""
)</f>
        <v/>
      </c>
      <c r="AB1877" s="62" t="str">
        <f t="shared" si="29"/>
        <v/>
      </c>
    </row>
    <row r="1878" spans="19:28" x14ac:dyDescent="0.2">
      <c r="S1878" s="34"/>
      <c r="T1878" s="60" t="str">
        <f>IF(P1878&lt;&gt;"",
    IF(OR(O1878="", Q1878="", R1878=""),
        "Fill all the required columns",
        IFERROR(
            IF(OR(
                AND(R1878="Marine Protected", VLOOKUP(O1878, Reference!$A$2:$D$34, 4, FALSE) &lt;= P1878),
                AND(R1878="General Use", VLOOKUP(O1878, Reference!$A$2:$D$34, 3, FALSE) &lt;= P1878)
            ),
                "Exceeded",
                "OK"
            ),
            "No Regulation defined"
        )
    ),
    ""
)</f>
        <v/>
      </c>
      <c r="AB1878" s="62" t="str">
        <f t="shared" si="29"/>
        <v/>
      </c>
    </row>
    <row r="1879" spans="19:28" x14ac:dyDescent="0.2">
      <c r="S1879" s="34"/>
      <c r="T1879" s="60" t="str">
        <f>IF(P1879&lt;&gt;"",
    IF(OR(O1879="", Q1879="", R1879=""),
        "Fill all the required columns",
        IFERROR(
            IF(OR(
                AND(R1879="Marine Protected", VLOOKUP(O1879, Reference!$A$2:$D$34, 4, FALSE) &lt;= P1879),
                AND(R1879="General Use", VLOOKUP(O1879, Reference!$A$2:$D$34, 3, FALSE) &lt;= P1879)
            ),
                "Exceeded",
                "OK"
            ),
            "No Regulation defined"
        )
    ),
    ""
)</f>
        <v/>
      </c>
      <c r="AB1879" s="62" t="str">
        <f t="shared" si="29"/>
        <v/>
      </c>
    </row>
    <row r="1880" spans="19:28" x14ac:dyDescent="0.2">
      <c r="S1880" s="34"/>
      <c r="T1880" s="60" t="str">
        <f>IF(P1880&lt;&gt;"",
    IF(OR(O1880="", Q1880="", R1880=""),
        "Fill all the required columns",
        IFERROR(
            IF(OR(
                AND(R1880="Marine Protected", VLOOKUP(O1880, Reference!$A$2:$D$34, 4, FALSE) &lt;= P1880),
                AND(R1880="General Use", VLOOKUP(O1880, Reference!$A$2:$D$34, 3, FALSE) &lt;= P1880)
            ),
                "Exceeded",
                "OK"
            ),
            "No Regulation defined"
        )
    ),
    ""
)</f>
        <v/>
      </c>
      <c r="AB1880" s="62" t="str">
        <f t="shared" si="29"/>
        <v/>
      </c>
    </row>
    <row r="1881" spans="19:28" x14ac:dyDescent="0.2">
      <c r="S1881" s="34"/>
      <c r="T1881" s="60" t="str">
        <f>IF(P1881&lt;&gt;"",
    IF(OR(O1881="", Q1881="", R1881=""),
        "Fill all the required columns",
        IFERROR(
            IF(OR(
                AND(R1881="Marine Protected", VLOOKUP(O1881, Reference!$A$2:$D$34, 4, FALSE) &lt;= P1881),
                AND(R1881="General Use", VLOOKUP(O1881, Reference!$A$2:$D$34, 3, FALSE) &lt;= P1881)
            ),
                "Exceeded",
                "OK"
            ),
            "No Regulation defined"
        )
    ),
    ""
)</f>
        <v/>
      </c>
      <c r="AB1881" s="62" t="str">
        <f t="shared" si="29"/>
        <v/>
      </c>
    </row>
    <row r="1882" spans="19:28" x14ac:dyDescent="0.2">
      <c r="S1882" s="34"/>
      <c r="T1882" s="60" t="str">
        <f>IF(P1882&lt;&gt;"",
    IF(OR(O1882="", Q1882="", R1882=""),
        "Fill all the required columns",
        IFERROR(
            IF(OR(
                AND(R1882="Marine Protected", VLOOKUP(O1882, Reference!$A$2:$D$34, 4, FALSE) &lt;= P1882),
                AND(R1882="General Use", VLOOKUP(O1882, Reference!$A$2:$D$34, 3, FALSE) &lt;= P1882)
            ),
                "Exceeded",
                "OK"
            ),
            "No Regulation defined"
        )
    ),
    ""
)</f>
        <v/>
      </c>
      <c r="AB1882" s="62" t="str">
        <f t="shared" si="29"/>
        <v/>
      </c>
    </row>
    <row r="1883" spans="19:28" x14ac:dyDescent="0.2">
      <c r="S1883" s="34"/>
      <c r="T1883" s="60" t="str">
        <f>IF(P1883&lt;&gt;"",
    IF(OR(O1883="", Q1883="", R1883=""),
        "Fill all the required columns",
        IFERROR(
            IF(OR(
                AND(R1883="Marine Protected", VLOOKUP(O1883, Reference!$A$2:$D$34, 4, FALSE) &lt;= P1883),
                AND(R1883="General Use", VLOOKUP(O1883, Reference!$A$2:$D$34, 3, FALSE) &lt;= P1883)
            ),
                "Exceeded",
                "OK"
            ),
            "No Regulation defined"
        )
    ),
    ""
)</f>
        <v/>
      </c>
      <c r="AB1883" s="62" t="str">
        <f t="shared" si="29"/>
        <v/>
      </c>
    </row>
    <row r="1884" spans="19:28" x14ac:dyDescent="0.2">
      <c r="S1884" s="34"/>
      <c r="T1884" s="60" t="str">
        <f>IF(P1884&lt;&gt;"",
    IF(OR(O1884="", Q1884="", R1884=""),
        "Fill all the required columns",
        IFERROR(
            IF(OR(
                AND(R1884="Marine Protected", VLOOKUP(O1884, Reference!$A$2:$D$34, 4, FALSE) &lt;= P1884),
                AND(R1884="General Use", VLOOKUP(O1884, Reference!$A$2:$D$34, 3, FALSE) &lt;= P1884)
            ),
                "Exceeded",
                "OK"
            ),
            "No Regulation defined"
        )
    ),
    ""
)</f>
        <v/>
      </c>
      <c r="AB1884" s="62" t="str">
        <f t="shared" si="29"/>
        <v/>
      </c>
    </row>
    <row r="1885" spans="19:28" x14ac:dyDescent="0.2">
      <c r="S1885" s="34"/>
      <c r="T1885" s="60" t="str">
        <f>IF(P1885&lt;&gt;"",
    IF(OR(O1885="", Q1885="", R1885=""),
        "Fill all the required columns",
        IFERROR(
            IF(OR(
                AND(R1885="Marine Protected", VLOOKUP(O1885, Reference!$A$2:$D$34, 4, FALSE) &lt;= P1885),
                AND(R1885="General Use", VLOOKUP(O1885, Reference!$A$2:$D$34, 3, FALSE) &lt;= P1885)
            ),
                "Exceeded",
                "OK"
            ),
            "No Regulation defined"
        )
    ),
    ""
)</f>
        <v/>
      </c>
      <c r="AB1885" s="62" t="str">
        <f t="shared" si="29"/>
        <v/>
      </c>
    </row>
    <row r="1886" spans="19:28" x14ac:dyDescent="0.2">
      <c r="S1886" s="34"/>
      <c r="T1886" s="60" t="str">
        <f>IF(P1886&lt;&gt;"",
    IF(OR(O1886="", Q1886="", R1886=""),
        "Fill all the required columns",
        IFERROR(
            IF(OR(
                AND(R1886="Marine Protected", VLOOKUP(O1886, Reference!$A$2:$D$34, 4, FALSE) &lt;= P1886),
                AND(R1886="General Use", VLOOKUP(O1886, Reference!$A$2:$D$34, 3, FALSE) &lt;= P1886)
            ),
                "Exceeded",
                "OK"
            ),
            "No Regulation defined"
        )
    ),
    ""
)</f>
        <v/>
      </c>
      <c r="AB1886" s="62" t="str">
        <f t="shared" si="29"/>
        <v/>
      </c>
    </row>
    <row r="1887" spans="19:28" x14ac:dyDescent="0.2">
      <c r="S1887" s="34"/>
      <c r="T1887" s="60" t="str">
        <f>IF(P1887&lt;&gt;"",
    IF(OR(O1887="", Q1887="", R1887=""),
        "Fill all the required columns",
        IFERROR(
            IF(OR(
                AND(R1887="Marine Protected", VLOOKUP(O1887, Reference!$A$2:$D$34, 4, FALSE) &lt;= P1887),
                AND(R1887="General Use", VLOOKUP(O1887, Reference!$A$2:$D$34, 3, FALSE) &lt;= P1887)
            ),
                "Exceeded",
                "OK"
            ),
            "No Regulation defined"
        )
    ),
    ""
)</f>
        <v/>
      </c>
      <c r="AB1887" s="62" t="str">
        <f t="shared" si="29"/>
        <v/>
      </c>
    </row>
    <row r="1888" spans="19:28" x14ac:dyDescent="0.2">
      <c r="S1888" s="34"/>
      <c r="T1888" s="60" t="str">
        <f>IF(P1888&lt;&gt;"",
    IF(OR(O1888="", Q1888="", R1888=""),
        "Fill all the required columns",
        IFERROR(
            IF(OR(
                AND(R1888="Marine Protected", VLOOKUP(O1888, Reference!$A$2:$D$34, 4, FALSE) &lt;= P1888),
                AND(R1888="General Use", VLOOKUP(O1888, Reference!$A$2:$D$34, 3, FALSE) &lt;= P1888)
            ),
                "Exceeded",
                "OK"
            ),
            "No Regulation defined"
        )
    ),
    ""
)</f>
        <v/>
      </c>
      <c r="AB1888" s="62" t="str">
        <f t="shared" si="29"/>
        <v/>
      </c>
    </row>
    <row r="1889" spans="19:28" x14ac:dyDescent="0.2">
      <c r="S1889" s="34"/>
      <c r="T1889" s="60" t="str">
        <f>IF(P1889&lt;&gt;"",
    IF(OR(O1889="", Q1889="", R1889=""),
        "Fill all the required columns",
        IFERROR(
            IF(OR(
                AND(R1889="Marine Protected", VLOOKUP(O1889, Reference!$A$2:$D$34, 4, FALSE) &lt;= P1889),
                AND(R1889="General Use", VLOOKUP(O1889, Reference!$A$2:$D$34, 3, FALSE) &lt;= P1889)
            ),
                "Exceeded",
                "OK"
            ),
            "No Regulation defined"
        )
    ),
    ""
)</f>
        <v/>
      </c>
      <c r="AB1889" s="62" t="str">
        <f t="shared" si="29"/>
        <v/>
      </c>
    </row>
    <row r="1890" spans="19:28" x14ac:dyDescent="0.2">
      <c r="S1890" s="34"/>
      <c r="T1890" s="60" t="str">
        <f>IF(P1890&lt;&gt;"",
    IF(OR(O1890="", Q1890="", R1890=""),
        "Fill all the required columns",
        IFERROR(
            IF(OR(
                AND(R1890="Marine Protected", VLOOKUP(O1890, Reference!$A$2:$D$34, 4, FALSE) &lt;= P1890),
                AND(R1890="General Use", VLOOKUP(O1890, Reference!$A$2:$D$34, 3, FALSE) &lt;= P1890)
            ),
                "Exceeded",
                "OK"
            ),
            "No Regulation defined"
        )
    ),
    ""
)</f>
        <v/>
      </c>
      <c r="AB1890" s="62" t="str">
        <f t="shared" si="29"/>
        <v/>
      </c>
    </row>
    <row r="1891" spans="19:28" x14ac:dyDescent="0.2">
      <c r="S1891" s="34"/>
      <c r="T1891" s="60" t="str">
        <f>IF(P1891&lt;&gt;"",
    IF(OR(O1891="", Q1891="", R1891=""),
        "Fill all the required columns",
        IFERROR(
            IF(OR(
                AND(R1891="Marine Protected", VLOOKUP(O1891, Reference!$A$2:$D$34, 4, FALSE) &lt;= P1891),
                AND(R1891="General Use", VLOOKUP(O1891, Reference!$A$2:$D$34, 3, FALSE) &lt;= P1891)
            ),
                "Exceeded",
                "OK"
            ),
            "No Regulation defined"
        )
    ),
    ""
)</f>
        <v/>
      </c>
      <c r="AB1891" s="62" t="str">
        <f t="shared" si="29"/>
        <v/>
      </c>
    </row>
    <row r="1892" spans="19:28" x14ac:dyDescent="0.2">
      <c r="S1892" s="34"/>
      <c r="T1892" s="60" t="str">
        <f>IF(P1892&lt;&gt;"",
    IF(OR(O1892="", Q1892="", R1892=""),
        "Fill all the required columns",
        IFERROR(
            IF(OR(
                AND(R1892="Marine Protected", VLOOKUP(O1892, Reference!$A$2:$D$34, 4, FALSE) &lt;= P1892),
                AND(R1892="General Use", VLOOKUP(O1892, Reference!$A$2:$D$34, 3, FALSE) &lt;= P1892)
            ),
                "Exceeded",
                "OK"
            ),
            "No Regulation defined"
        )
    ),
    ""
)</f>
        <v/>
      </c>
      <c r="AB1892" s="62" t="str">
        <f t="shared" si="29"/>
        <v/>
      </c>
    </row>
    <row r="1893" spans="19:28" x14ac:dyDescent="0.2">
      <c r="S1893" s="34"/>
      <c r="T1893" s="60" t="str">
        <f>IF(P1893&lt;&gt;"",
    IF(OR(O1893="", Q1893="", R1893=""),
        "Fill all the required columns",
        IFERROR(
            IF(OR(
                AND(R1893="Marine Protected", VLOOKUP(O1893, Reference!$A$2:$D$34, 4, FALSE) &lt;= P1893),
                AND(R1893="General Use", VLOOKUP(O1893, Reference!$A$2:$D$34, 3, FALSE) &lt;= P1893)
            ),
                "Exceeded",
                "OK"
            ),
            "No Regulation defined"
        )
    ),
    ""
)</f>
        <v/>
      </c>
      <c r="AB1893" s="62" t="str">
        <f t="shared" si="29"/>
        <v/>
      </c>
    </row>
    <row r="1894" spans="19:28" x14ac:dyDescent="0.2">
      <c r="S1894" s="34"/>
      <c r="T1894" s="60" t="str">
        <f>IF(P1894&lt;&gt;"",
    IF(OR(O1894="", Q1894="", R1894=""),
        "Fill all the required columns",
        IFERROR(
            IF(OR(
                AND(R1894="Marine Protected", VLOOKUP(O1894, Reference!$A$2:$D$34, 4, FALSE) &lt;= P1894),
                AND(R1894="General Use", VLOOKUP(O1894, Reference!$A$2:$D$34, 3, FALSE) &lt;= P1894)
            ),
                "Exceeded",
                "OK"
            ),
            "No Regulation defined"
        )
    ),
    ""
)</f>
        <v/>
      </c>
      <c r="AB1894" s="62" t="str">
        <f t="shared" si="29"/>
        <v/>
      </c>
    </row>
    <row r="1895" spans="19:28" x14ac:dyDescent="0.2">
      <c r="S1895" s="34"/>
      <c r="T1895" s="60" t="str">
        <f>IF(P1895&lt;&gt;"",
    IF(OR(O1895="", Q1895="", R1895=""),
        "Fill all the required columns",
        IFERROR(
            IF(OR(
                AND(R1895="Marine Protected", VLOOKUP(O1895, Reference!$A$2:$D$34, 4, FALSE) &lt;= P1895),
                AND(R1895="General Use", VLOOKUP(O1895, Reference!$A$2:$D$34, 3, FALSE) &lt;= P1895)
            ),
                "Exceeded",
                "OK"
            ),
            "No Regulation defined"
        )
    ),
    ""
)</f>
        <v/>
      </c>
      <c r="AB1895" s="62" t="str">
        <f t="shared" si="29"/>
        <v/>
      </c>
    </row>
    <row r="1896" spans="19:28" x14ac:dyDescent="0.2">
      <c r="S1896" s="34"/>
      <c r="T1896" s="60" t="str">
        <f>IF(P1896&lt;&gt;"",
    IF(OR(O1896="", Q1896="", R1896=""),
        "Fill all the required columns",
        IFERROR(
            IF(OR(
                AND(R1896="Marine Protected", VLOOKUP(O1896, Reference!$A$2:$D$34, 4, FALSE) &lt;= P1896),
                AND(R1896="General Use", VLOOKUP(O1896, Reference!$A$2:$D$34, 3, FALSE) &lt;= P1896)
            ),
                "Exceeded",
                "OK"
            ),
            "No Regulation defined"
        )
    ),
    ""
)</f>
        <v/>
      </c>
      <c r="AB1896" s="62" t="str">
        <f t="shared" si="29"/>
        <v/>
      </c>
    </row>
    <row r="1897" spans="19:28" x14ac:dyDescent="0.2">
      <c r="S1897" s="34"/>
      <c r="T1897" s="60" t="str">
        <f>IF(P1897&lt;&gt;"",
    IF(OR(O1897="", Q1897="", R1897=""),
        "Fill all the required columns",
        IFERROR(
            IF(OR(
                AND(R1897="Marine Protected", VLOOKUP(O1897, Reference!$A$2:$D$34, 4, FALSE) &lt;= P1897),
                AND(R1897="General Use", VLOOKUP(O1897, Reference!$A$2:$D$34, 3, FALSE) &lt;= P1897)
            ),
                "Exceeded",
                "OK"
            ),
            "No Regulation defined"
        )
    ),
    ""
)</f>
        <v/>
      </c>
      <c r="AB1897" s="62" t="str">
        <f t="shared" si="29"/>
        <v/>
      </c>
    </row>
    <row r="1898" spans="19:28" x14ac:dyDescent="0.2">
      <c r="S1898" s="34"/>
      <c r="T1898" s="60" t="str">
        <f>IF(P1898&lt;&gt;"",
    IF(OR(O1898="", Q1898="", R1898=""),
        "Fill all the required columns",
        IFERROR(
            IF(OR(
                AND(R1898="Marine Protected", VLOOKUP(O1898, Reference!$A$2:$D$34, 4, FALSE) &lt;= P1898),
                AND(R1898="General Use", VLOOKUP(O1898, Reference!$A$2:$D$34, 3, FALSE) &lt;= P1898)
            ),
                "Exceeded",
                "OK"
            ),
            "No Regulation defined"
        )
    ),
    ""
)</f>
        <v/>
      </c>
      <c r="AB1898" s="62" t="str">
        <f t="shared" si="29"/>
        <v/>
      </c>
    </row>
    <row r="1899" spans="19:28" x14ac:dyDescent="0.2">
      <c r="S1899" s="34"/>
      <c r="T1899" s="60" t="str">
        <f>IF(P1899&lt;&gt;"",
    IF(OR(O1899="", Q1899="", R1899=""),
        "Fill all the required columns",
        IFERROR(
            IF(OR(
                AND(R1899="Marine Protected", VLOOKUP(O1899, Reference!$A$2:$D$34, 4, FALSE) &lt;= P1899),
                AND(R1899="General Use", VLOOKUP(O1899, Reference!$A$2:$D$34, 3, FALSE) &lt;= P1899)
            ),
                "Exceeded",
                "OK"
            ),
            "No Regulation defined"
        )
    ),
    ""
)</f>
        <v/>
      </c>
      <c r="AB1899" s="62" t="str">
        <f t="shared" si="29"/>
        <v/>
      </c>
    </row>
    <row r="1900" spans="19:28" x14ac:dyDescent="0.2">
      <c r="S1900" s="34"/>
      <c r="T1900" s="60" t="str">
        <f>IF(P1900&lt;&gt;"",
    IF(OR(O1900="", Q1900="", R1900=""),
        "Fill all the required columns",
        IFERROR(
            IF(OR(
                AND(R1900="Marine Protected", VLOOKUP(O1900, Reference!$A$2:$D$34, 4, FALSE) &lt;= P1900),
                AND(R1900="General Use", VLOOKUP(O1900, Reference!$A$2:$D$34, 3, FALSE) &lt;= P1900)
            ),
                "Exceeded",
                "OK"
            ),
            "No Regulation defined"
        )
    ),
    ""
)</f>
        <v/>
      </c>
      <c r="AB1900" s="62" t="str">
        <f t="shared" si="29"/>
        <v/>
      </c>
    </row>
    <row r="1901" spans="19:28" x14ac:dyDescent="0.2">
      <c r="S1901" s="34"/>
      <c r="T1901" s="60" t="str">
        <f>IF(P1901&lt;&gt;"",
    IF(OR(O1901="", Q1901="", R1901=""),
        "Fill all the required columns",
        IFERROR(
            IF(OR(
                AND(R1901="Marine Protected", VLOOKUP(O1901, Reference!$A$2:$D$34, 4, FALSE) &lt;= P1901),
                AND(R1901="General Use", VLOOKUP(O1901, Reference!$A$2:$D$34, 3, FALSE) &lt;= P1901)
            ),
                "Exceeded",
                "OK"
            ),
            "No Regulation defined"
        )
    ),
    ""
)</f>
        <v/>
      </c>
      <c r="AB1901" s="62" t="str">
        <f t="shared" si="29"/>
        <v/>
      </c>
    </row>
    <row r="1902" spans="19:28" x14ac:dyDescent="0.2">
      <c r="S1902" s="34"/>
      <c r="T1902" s="60" t="str">
        <f>IF(P1902&lt;&gt;"",
    IF(OR(O1902="", Q1902="", R1902=""),
        "Fill all the required columns",
        IFERROR(
            IF(OR(
                AND(R1902="Marine Protected", VLOOKUP(O1902, Reference!$A$2:$D$34, 4, FALSE) &lt;= P1902),
                AND(R1902="General Use", VLOOKUP(O1902, Reference!$A$2:$D$34, 3, FALSE) &lt;= P1902)
            ),
                "Exceeded",
                "OK"
            ),
            "No Regulation defined"
        )
    ),
    ""
)</f>
        <v/>
      </c>
      <c r="AB1902" s="62" t="str">
        <f t="shared" si="29"/>
        <v/>
      </c>
    </row>
    <row r="1903" spans="19:28" x14ac:dyDescent="0.2">
      <c r="S1903" s="34"/>
      <c r="T1903" s="60" t="str">
        <f>IF(P1903&lt;&gt;"",
    IF(OR(O1903="", Q1903="", R1903=""),
        "Fill all the required columns",
        IFERROR(
            IF(OR(
                AND(R1903="Marine Protected", VLOOKUP(O1903, Reference!$A$2:$D$34, 4, FALSE) &lt;= P1903),
                AND(R1903="General Use", VLOOKUP(O1903, Reference!$A$2:$D$34, 3, FALSE) &lt;= P1903)
            ),
                "Exceeded",
                "OK"
            ),
            "No Regulation defined"
        )
    ),
    ""
)</f>
        <v/>
      </c>
      <c r="AB1903" s="62" t="str">
        <f t="shared" si="29"/>
        <v/>
      </c>
    </row>
    <row r="1904" spans="19:28" x14ac:dyDescent="0.2">
      <c r="S1904" s="34"/>
      <c r="T1904" s="60" t="str">
        <f>IF(P1904&lt;&gt;"",
    IF(OR(O1904="", Q1904="", R1904=""),
        "Fill all the required columns",
        IFERROR(
            IF(OR(
                AND(R1904="Marine Protected", VLOOKUP(O1904, Reference!$A$2:$D$34, 4, FALSE) &lt;= P1904),
                AND(R1904="General Use", VLOOKUP(O1904, Reference!$A$2:$D$34, 3, FALSE) &lt;= P1904)
            ),
                "Exceeded",
                "OK"
            ),
            "No Regulation defined"
        )
    ),
    ""
)</f>
        <v/>
      </c>
      <c r="AB1904" s="62" t="str">
        <f t="shared" si="29"/>
        <v/>
      </c>
    </row>
    <row r="1905" spans="19:28" x14ac:dyDescent="0.2">
      <c r="S1905" s="34"/>
      <c r="T1905" s="60" t="str">
        <f>IF(P1905&lt;&gt;"",
    IF(OR(O1905="", Q1905="", R1905=""),
        "Fill all the required columns",
        IFERROR(
            IF(OR(
                AND(R1905="Marine Protected", VLOOKUP(O1905, Reference!$A$2:$D$34, 4, FALSE) &lt;= P1905),
                AND(R1905="General Use", VLOOKUP(O1905, Reference!$A$2:$D$34, 3, FALSE) &lt;= P1905)
            ),
                "Exceeded",
                "OK"
            ),
            "No Regulation defined"
        )
    ),
    ""
)</f>
        <v/>
      </c>
      <c r="AB1905" s="62" t="str">
        <f t="shared" si="29"/>
        <v/>
      </c>
    </row>
    <row r="1906" spans="19:28" x14ac:dyDescent="0.2">
      <c r="S1906" s="34"/>
      <c r="T1906" s="60" t="str">
        <f>IF(P1906&lt;&gt;"",
    IF(OR(O1906="", Q1906="", R1906=""),
        "Fill all the required columns",
        IFERROR(
            IF(OR(
                AND(R1906="Marine Protected", VLOOKUP(O1906, Reference!$A$2:$D$34, 4, FALSE) &lt;= P1906),
                AND(R1906="General Use", VLOOKUP(O1906, Reference!$A$2:$D$34, 3, FALSE) &lt;= P1906)
            ),
                "Exceeded",
                "OK"
            ),
            "No Regulation defined"
        )
    ),
    ""
)</f>
        <v/>
      </c>
      <c r="AB1906" s="62" t="str">
        <f t="shared" si="29"/>
        <v/>
      </c>
    </row>
    <row r="1907" spans="19:28" x14ac:dyDescent="0.2">
      <c r="S1907" s="34"/>
      <c r="T1907" s="60" t="str">
        <f>IF(P1907&lt;&gt;"",
    IF(OR(O1907="", Q1907="", R1907=""),
        "Fill all the required columns",
        IFERROR(
            IF(OR(
                AND(R1907="Marine Protected", VLOOKUP(O1907, Reference!$A$2:$D$34, 4, FALSE) &lt;= P1907),
                AND(R1907="General Use", VLOOKUP(O1907, Reference!$A$2:$D$34, 3, FALSE) &lt;= P1907)
            ),
                "Exceeded",
                "OK"
            ),
            "No Regulation defined"
        )
    ),
    ""
)</f>
        <v/>
      </c>
      <c r="AB1907" s="62" t="str">
        <f t="shared" si="29"/>
        <v/>
      </c>
    </row>
    <row r="1908" spans="19:28" x14ac:dyDescent="0.2">
      <c r="S1908" s="34"/>
      <c r="T1908" s="60" t="str">
        <f>IF(P1908&lt;&gt;"",
    IF(OR(O1908="", Q1908="", R1908=""),
        "Fill all the required columns",
        IFERROR(
            IF(OR(
                AND(R1908="Marine Protected", VLOOKUP(O1908, Reference!$A$2:$D$34, 4, FALSE) &lt;= P1908),
                AND(R1908="General Use", VLOOKUP(O1908, Reference!$A$2:$D$34, 3, FALSE) &lt;= P1908)
            ),
                "Exceeded",
                "OK"
            ),
            "No Regulation defined"
        )
    ),
    ""
)</f>
        <v/>
      </c>
      <c r="AB1908" s="62" t="str">
        <f t="shared" si="29"/>
        <v/>
      </c>
    </row>
    <row r="1909" spans="19:28" x14ac:dyDescent="0.2">
      <c r="S1909" s="34"/>
      <c r="T1909" s="60" t="str">
        <f>IF(P1909&lt;&gt;"",
    IF(OR(O1909="", Q1909="", R1909=""),
        "Fill all the required columns",
        IFERROR(
            IF(OR(
                AND(R1909="Marine Protected", VLOOKUP(O1909, Reference!$A$2:$D$34, 4, FALSE) &lt;= P1909),
                AND(R1909="General Use", VLOOKUP(O1909, Reference!$A$2:$D$34, 3, FALSE) &lt;= P1909)
            ),
                "Exceeded",
                "OK"
            ),
            "No Regulation defined"
        )
    ),
    ""
)</f>
        <v/>
      </c>
      <c r="AB1909" s="62" t="str">
        <f t="shared" si="29"/>
        <v/>
      </c>
    </row>
    <row r="1910" spans="19:28" x14ac:dyDescent="0.2">
      <c r="S1910" s="34"/>
      <c r="T1910" s="60" t="str">
        <f>IF(P1910&lt;&gt;"",
    IF(OR(O1910="", Q1910="", R1910=""),
        "Fill all the required columns",
        IFERROR(
            IF(OR(
                AND(R1910="Marine Protected", VLOOKUP(O1910, Reference!$A$2:$D$34, 4, FALSE) &lt;= P1910),
                AND(R1910="General Use", VLOOKUP(O1910, Reference!$A$2:$D$34, 3, FALSE) &lt;= P1910)
            ),
                "Exceeded",
                "OK"
            ),
            "No Regulation defined"
        )
    ),
    ""
)</f>
        <v/>
      </c>
      <c r="AB1910" s="62" t="str">
        <f t="shared" si="29"/>
        <v/>
      </c>
    </row>
    <row r="1911" spans="19:28" x14ac:dyDescent="0.2">
      <c r="S1911" s="34"/>
      <c r="T1911" s="60" t="str">
        <f>IF(P1911&lt;&gt;"",
    IF(OR(O1911="", Q1911="", R1911=""),
        "Fill all the required columns",
        IFERROR(
            IF(OR(
                AND(R1911="Marine Protected", VLOOKUP(O1911, Reference!$A$2:$D$34, 4, FALSE) &lt;= P1911),
                AND(R1911="General Use", VLOOKUP(O1911, Reference!$A$2:$D$34, 3, FALSE) &lt;= P1911)
            ),
                "Exceeded",
                "OK"
            ),
            "No Regulation defined"
        )
    ),
    ""
)</f>
        <v/>
      </c>
      <c r="AB1911" s="62" t="str">
        <f t="shared" si="29"/>
        <v/>
      </c>
    </row>
    <row r="1912" spans="19:28" x14ac:dyDescent="0.2">
      <c r="S1912" s="34"/>
      <c r="T1912" s="60" t="str">
        <f>IF(P1912&lt;&gt;"",
    IF(OR(O1912="", Q1912="", R1912=""),
        "Fill all the required columns",
        IFERROR(
            IF(OR(
                AND(R1912="Marine Protected", VLOOKUP(O1912, Reference!$A$2:$D$34, 4, FALSE) &lt;= P1912),
                AND(R1912="General Use", VLOOKUP(O1912, Reference!$A$2:$D$34, 3, FALSE) &lt;= P1912)
            ),
                "Exceeded",
                "OK"
            ),
            "No Regulation defined"
        )
    ),
    ""
)</f>
        <v/>
      </c>
      <c r="AB1912" s="62" t="str">
        <f t="shared" si="29"/>
        <v/>
      </c>
    </row>
    <row r="1913" spans="19:28" x14ac:dyDescent="0.2">
      <c r="S1913" s="34"/>
      <c r="T1913" s="60" t="str">
        <f>IF(P1913&lt;&gt;"",
    IF(OR(O1913="", Q1913="", R1913=""),
        "Fill all the required columns",
        IFERROR(
            IF(OR(
                AND(R1913="Marine Protected", VLOOKUP(O1913, Reference!$A$2:$D$34, 4, FALSE) &lt;= P1913),
                AND(R1913="General Use", VLOOKUP(O1913, Reference!$A$2:$D$34, 3, FALSE) &lt;= P1913)
            ),
                "Exceeded",
                "OK"
            ),
            "No Regulation defined"
        )
    ),
    ""
)</f>
        <v/>
      </c>
      <c r="AB1913" s="62" t="str">
        <f t="shared" si="29"/>
        <v/>
      </c>
    </row>
    <row r="1914" spans="19:28" x14ac:dyDescent="0.2">
      <c r="S1914" s="34"/>
      <c r="T1914" s="60" t="str">
        <f>IF(P1914&lt;&gt;"",
    IF(OR(O1914="", Q1914="", R1914=""),
        "Fill all the required columns",
        IFERROR(
            IF(OR(
                AND(R1914="Marine Protected", VLOOKUP(O1914, Reference!$A$2:$D$34, 4, FALSE) &lt;= P1914),
                AND(R1914="General Use", VLOOKUP(O1914, Reference!$A$2:$D$34, 3, FALSE) &lt;= P1914)
            ),
                "Exceeded",
                "OK"
            ),
            "No Regulation defined"
        )
    ),
    ""
)</f>
        <v/>
      </c>
      <c r="AB1914" s="62" t="str">
        <f t="shared" si="29"/>
        <v/>
      </c>
    </row>
    <row r="1915" spans="19:28" x14ac:dyDescent="0.2">
      <c r="S1915" s="34"/>
      <c r="T1915" s="60" t="str">
        <f>IF(P1915&lt;&gt;"",
    IF(OR(O1915="", Q1915="", R1915=""),
        "Fill all the required columns",
        IFERROR(
            IF(OR(
                AND(R1915="Marine Protected", VLOOKUP(O1915, Reference!$A$2:$D$34, 4, FALSE) &lt;= P1915),
                AND(R1915="General Use", VLOOKUP(O1915, Reference!$A$2:$D$34, 3, FALSE) &lt;= P1915)
            ),
                "Exceeded",
                "OK"
            ),
            "No Regulation defined"
        )
    ),
    ""
)</f>
        <v/>
      </c>
      <c r="AB1915" s="62" t="str">
        <f t="shared" si="29"/>
        <v/>
      </c>
    </row>
    <row r="1916" spans="19:28" x14ac:dyDescent="0.2">
      <c r="S1916" s="34"/>
      <c r="T1916" s="60" t="str">
        <f>IF(P1916&lt;&gt;"",
    IF(OR(O1916="", Q1916="", R1916=""),
        "Fill all the required columns",
        IFERROR(
            IF(OR(
                AND(R1916="Marine Protected", VLOOKUP(O1916, Reference!$A$2:$D$34, 4, FALSE) &lt;= P1916),
                AND(R1916="General Use", VLOOKUP(O1916, Reference!$A$2:$D$34, 3, FALSE) &lt;= P1916)
            ),
                "Exceeded",
                "OK"
            ),
            "No Regulation defined"
        )
    ),
    ""
)</f>
        <v/>
      </c>
      <c r="AB1916" s="62" t="str">
        <f t="shared" si="29"/>
        <v/>
      </c>
    </row>
    <row r="1917" spans="19:28" x14ac:dyDescent="0.2">
      <c r="S1917" s="34"/>
      <c r="T1917" s="60" t="str">
        <f>IF(P1917&lt;&gt;"",
    IF(OR(O1917="", Q1917="", R1917=""),
        "Fill all the required columns",
        IFERROR(
            IF(OR(
                AND(R1917="Marine Protected", VLOOKUP(O1917, Reference!$A$2:$D$34, 4, FALSE) &lt;= P1917),
                AND(R1917="General Use", VLOOKUP(O1917, Reference!$A$2:$D$34, 3, FALSE) &lt;= P1917)
            ),
                "Exceeded",
                "OK"
            ),
            "No Regulation defined"
        )
    ),
    ""
)</f>
        <v/>
      </c>
      <c r="AB1917" s="62" t="str">
        <f t="shared" si="29"/>
        <v/>
      </c>
    </row>
    <row r="1918" spans="19:28" x14ac:dyDescent="0.2">
      <c r="S1918" s="34"/>
      <c r="T1918" s="60" t="str">
        <f>IF(P1918&lt;&gt;"",
    IF(OR(O1918="", Q1918="", R1918=""),
        "Fill all the required columns",
        IFERROR(
            IF(OR(
                AND(R1918="Marine Protected", VLOOKUP(O1918, Reference!$A$2:$D$34, 4, FALSE) &lt;= P1918),
                AND(R1918="General Use", VLOOKUP(O1918, Reference!$A$2:$D$34, 3, FALSE) &lt;= P1918)
            ),
                "Exceeded",
                "OK"
            ),
            "No Regulation defined"
        )
    ),
    ""
)</f>
        <v/>
      </c>
      <c r="AB1918" s="62" t="str">
        <f t="shared" si="29"/>
        <v/>
      </c>
    </row>
    <row r="1919" spans="19:28" x14ac:dyDescent="0.2">
      <c r="S1919" s="34"/>
      <c r="T1919" s="60" t="str">
        <f>IF(P1919&lt;&gt;"",
    IF(OR(O1919="", Q1919="", R1919=""),
        "Fill all the required columns",
        IFERROR(
            IF(OR(
                AND(R1919="Marine Protected", VLOOKUP(O1919, Reference!$A$2:$D$34, 4, FALSE) &lt;= P1919),
                AND(R1919="General Use", VLOOKUP(O1919, Reference!$A$2:$D$34, 3, FALSE) &lt;= P1919)
            ),
                "Exceeded",
                "OK"
            ),
            "No Regulation defined"
        )
    ),
    ""
)</f>
        <v/>
      </c>
      <c r="AB1919" s="62" t="str">
        <f t="shared" si="29"/>
        <v/>
      </c>
    </row>
    <row r="1920" spans="19:28" x14ac:dyDescent="0.2">
      <c r="S1920" s="34"/>
      <c r="T1920" s="60" t="str">
        <f>IF(P1920&lt;&gt;"",
    IF(OR(O1920="", Q1920="", R1920=""),
        "Fill all the required columns",
        IFERROR(
            IF(OR(
                AND(R1920="Marine Protected", VLOOKUP(O1920, Reference!$A$2:$D$34, 4, FALSE) &lt;= P1920),
                AND(R1920="General Use", VLOOKUP(O1920, Reference!$A$2:$D$34, 3, FALSE) &lt;= P1920)
            ),
                "Exceeded",
                "OK"
            ),
            "No Regulation defined"
        )
    ),
    ""
)</f>
        <v/>
      </c>
      <c r="AB1920" s="62" t="str">
        <f t="shared" si="29"/>
        <v/>
      </c>
    </row>
    <row r="1921" spans="19:28" x14ac:dyDescent="0.2">
      <c r="S1921" s="34"/>
      <c r="T1921" s="60" t="str">
        <f>IF(P1921&lt;&gt;"",
    IF(OR(O1921="", Q1921="", R1921=""),
        "Fill all the required columns",
        IFERROR(
            IF(OR(
                AND(R1921="Marine Protected", VLOOKUP(O1921, Reference!$A$2:$D$34, 4, FALSE) &lt;= P1921),
                AND(R1921="General Use", VLOOKUP(O1921, Reference!$A$2:$D$34, 3, FALSE) &lt;= P1921)
            ),
                "Exceeded",
                "OK"
            ),
            "No Regulation defined"
        )
    ),
    ""
)</f>
        <v/>
      </c>
      <c r="AB1921" s="62" t="str">
        <f t="shared" si="29"/>
        <v/>
      </c>
    </row>
    <row r="1922" spans="19:28" x14ac:dyDescent="0.2">
      <c r="S1922" s="34"/>
      <c r="T1922" s="60" t="str">
        <f>IF(P1922&lt;&gt;"",
    IF(OR(O1922="", Q1922="", R1922=""),
        "Fill all the required columns",
        IFERROR(
            IF(OR(
                AND(R1922="Marine Protected", VLOOKUP(O1922, Reference!$A$2:$D$34, 4, FALSE) &lt;= P1922),
                AND(R1922="General Use", VLOOKUP(O1922, Reference!$A$2:$D$34, 3, FALSE) &lt;= P1922)
            ),
                "Exceeded",
                "OK"
            ),
            "No Regulation defined"
        )
    ),
    ""
)</f>
        <v/>
      </c>
      <c r="AB1922" s="62" t="str">
        <f t="shared" si="29"/>
        <v/>
      </c>
    </row>
    <row r="1923" spans="19:28" x14ac:dyDescent="0.2">
      <c r="S1923" s="34"/>
      <c r="T1923" s="60" t="str">
        <f>IF(P1923&lt;&gt;"",
    IF(OR(O1923="", Q1923="", R1923=""),
        "Fill all the required columns",
        IFERROR(
            IF(OR(
                AND(R1923="Marine Protected", VLOOKUP(O1923, Reference!$A$2:$D$34, 4, FALSE) &lt;= P1923),
                AND(R1923="General Use", VLOOKUP(O1923, Reference!$A$2:$D$34, 3, FALSE) &lt;= P1923)
            ),
                "Exceeded",
                "OK"
            ),
            "No Regulation defined"
        )
    ),
    ""
)</f>
        <v/>
      </c>
      <c r="AB1923" s="62" t="str">
        <f t="shared" ref="AB1923:AB1986" si="30">IF(COUNTA(A1923, E1923, F1923, H1923, I1923, O1923, P1923, Q1923, R1923,S1923) = 0, "", IF(COUNTA(A1923, E1923, F1923, H1923, I1923, O1923, P1923, Q1923, R1923,S1923) = 10, "OK", "Incomplete"))</f>
        <v/>
      </c>
    </row>
    <row r="1924" spans="19:28" x14ac:dyDescent="0.2">
      <c r="S1924" s="34"/>
      <c r="T1924" s="60" t="str">
        <f>IF(P1924&lt;&gt;"",
    IF(OR(O1924="", Q1924="", R1924=""),
        "Fill all the required columns",
        IFERROR(
            IF(OR(
                AND(R1924="Marine Protected", VLOOKUP(O1924, Reference!$A$2:$D$34, 4, FALSE) &lt;= P1924),
                AND(R1924="General Use", VLOOKUP(O1924, Reference!$A$2:$D$34, 3, FALSE) &lt;= P1924)
            ),
                "Exceeded",
                "OK"
            ),
            "No Regulation defined"
        )
    ),
    ""
)</f>
        <v/>
      </c>
      <c r="AB1924" s="62" t="str">
        <f t="shared" si="30"/>
        <v/>
      </c>
    </row>
    <row r="1925" spans="19:28" x14ac:dyDescent="0.2">
      <c r="S1925" s="34"/>
      <c r="T1925" s="60" t="str">
        <f>IF(P1925&lt;&gt;"",
    IF(OR(O1925="", Q1925="", R1925=""),
        "Fill all the required columns",
        IFERROR(
            IF(OR(
                AND(R1925="Marine Protected", VLOOKUP(O1925, Reference!$A$2:$D$34, 4, FALSE) &lt;= P1925),
                AND(R1925="General Use", VLOOKUP(O1925, Reference!$A$2:$D$34, 3, FALSE) &lt;= P1925)
            ),
                "Exceeded",
                "OK"
            ),
            "No Regulation defined"
        )
    ),
    ""
)</f>
        <v/>
      </c>
      <c r="AB1925" s="62" t="str">
        <f t="shared" si="30"/>
        <v/>
      </c>
    </row>
    <row r="1926" spans="19:28" x14ac:dyDescent="0.2">
      <c r="S1926" s="34"/>
      <c r="T1926" s="60" t="str">
        <f>IF(P1926&lt;&gt;"",
    IF(OR(O1926="", Q1926="", R1926=""),
        "Fill all the required columns",
        IFERROR(
            IF(OR(
                AND(R1926="Marine Protected", VLOOKUP(O1926, Reference!$A$2:$D$34, 4, FALSE) &lt;= P1926),
                AND(R1926="General Use", VLOOKUP(O1926, Reference!$A$2:$D$34, 3, FALSE) &lt;= P1926)
            ),
                "Exceeded",
                "OK"
            ),
            "No Regulation defined"
        )
    ),
    ""
)</f>
        <v/>
      </c>
      <c r="AB1926" s="62" t="str">
        <f t="shared" si="30"/>
        <v/>
      </c>
    </row>
    <row r="1927" spans="19:28" x14ac:dyDescent="0.2">
      <c r="S1927" s="34"/>
      <c r="T1927" s="60" t="str">
        <f>IF(P1927&lt;&gt;"",
    IF(OR(O1927="", Q1927="", R1927=""),
        "Fill all the required columns",
        IFERROR(
            IF(OR(
                AND(R1927="Marine Protected", VLOOKUP(O1927, Reference!$A$2:$D$34, 4, FALSE) &lt;= P1927),
                AND(R1927="General Use", VLOOKUP(O1927, Reference!$A$2:$D$34, 3, FALSE) &lt;= P1927)
            ),
                "Exceeded",
                "OK"
            ),
            "No Regulation defined"
        )
    ),
    ""
)</f>
        <v/>
      </c>
      <c r="AB1927" s="62" t="str">
        <f t="shared" si="30"/>
        <v/>
      </c>
    </row>
    <row r="1928" spans="19:28" x14ac:dyDescent="0.2">
      <c r="S1928" s="34"/>
      <c r="T1928" s="60" t="str">
        <f>IF(P1928&lt;&gt;"",
    IF(OR(O1928="", Q1928="", R1928=""),
        "Fill all the required columns",
        IFERROR(
            IF(OR(
                AND(R1928="Marine Protected", VLOOKUP(O1928, Reference!$A$2:$D$34, 4, FALSE) &lt;= P1928),
                AND(R1928="General Use", VLOOKUP(O1928, Reference!$A$2:$D$34, 3, FALSE) &lt;= P1928)
            ),
                "Exceeded",
                "OK"
            ),
            "No Regulation defined"
        )
    ),
    ""
)</f>
        <v/>
      </c>
      <c r="AB1928" s="62" t="str">
        <f t="shared" si="30"/>
        <v/>
      </c>
    </row>
    <row r="1929" spans="19:28" x14ac:dyDescent="0.2">
      <c r="S1929" s="34"/>
      <c r="T1929" s="60" t="str">
        <f>IF(P1929&lt;&gt;"",
    IF(OR(O1929="", Q1929="", R1929=""),
        "Fill all the required columns",
        IFERROR(
            IF(OR(
                AND(R1929="Marine Protected", VLOOKUP(O1929, Reference!$A$2:$D$34, 4, FALSE) &lt;= P1929),
                AND(R1929="General Use", VLOOKUP(O1929, Reference!$A$2:$D$34, 3, FALSE) &lt;= P1929)
            ),
                "Exceeded",
                "OK"
            ),
            "No Regulation defined"
        )
    ),
    ""
)</f>
        <v/>
      </c>
      <c r="AB1929" s="62" t="str">
        <f t="shared" si="30"/>
        <v/>
      </c>
    </row>
    <row r="1930" spans="19:28" x14ac:dyDescent="0.2">
      <c r="S1930" s="34"/>
      <c r="T1930" s="60" t="str">
        <f>IF(P1930&lt;&gt;"",
    IF(OR(O1930="", Q1930="", R1930=""),
        "Fill all the required columns",
        IFERROR(
            IF(OR(
                AND(R1930="Marine Protected", VLOOKUP(O1930, Reference!$A$2:$D$34, 4, FALSE) &lt;= P1930),
                AND(R1930="General Use", VLOOKUP(O1930, Reference!$A$2:$D$34, 3, FALSE) &lt;= P1930)
            ),
                "Exceeded",
                "OK"
            ),
            "No Regulation defined"
        )
    ),
    ""
)</f>
        <v/>
      </c>
      <c r="AB1930" s="62" t="str">
        <f t="shared" si="30"/>
        <v/>
      </c>
    </row>
    <row r="1931" spans="19:28" x14ac:dyDescent="0.2">
      <c r="S1931" s="34"/>
      <c r="T1931" s="60" t="str">
        <f>IF(P1931&lt;&gt;"",
    IF(OR(O1931="", Q1931="", R1931=""),
        "Fill all the required columns",
        IFERROR(
            IF(OR(
                AND(R1931="Marine Protected", VLOOKUP(O1931, Reference!$A$2:$D$34, 4, FALSE) &lt;= P1931),
                AND(R1931="General Use", VLOOKUP(O1931, Reference!$A$2:$D$34, 3, FALSE) &lt;= P1931)
            ),
                "Exceeded",
                "OK"
            ),
            "No Regulation defined"
        )
    ),
    ""
)</f>
        <v/>
      </c>
      <c r="AB1931" s="62" t="str">
        <f t="shared" si="30"/>
        <v/>
      </c>
    </row>
    <row r="1932" spans="19:28" x14ac:dyDescent="0.2">
      <c r="S1932" s="34"/>
      <c r="T1932" s="60" t="str">
        <f>IF(P1932&lt;&gt;"",
    IF(OR(O1932="", Q1932="", R1932=""),
        "Fill all the required columns",
        IFERROR(
            IF(OR(
                AND(R1932="Marine Protected", VLOOKUP(O1932, Reference!$A$2:$D$34, 4, FALSE) &lt;= P1932),
                AND(R1932="General Use", VLOOKUP(O1932, Reference!$A$2:$D$34, 3, FALSE) &lt;= P1932)
            ),
                "Exceeded",
                "OK"
            ),
            "No Regulation defined"
        )
    ),
    ""
)</f>
        <v/>
      </c>
      <c r="AB1932" s="62" t="str">
        <f t="shared" si="30"/>
        <v/>
      </c>
    </row>
    <row r="1933" spans="19:28" x14ac:dyDescent="0.2">
      <c r="S1933" s="34"/>
      <c r="T1933" s="60" t="str">
        <f>IF(P1933&lt;&gt;"",
    IF(OR(O1933="", Q1933="", R1933=""),
        "Fill all the required columns",
        IFERROR(
            IF(OR(
                AND(R1933="Marine Protected", VLOOKUP(O1933, Reference!$A$2:$D$34, 4, FALSE) &lt;= P1933),
                AND(R1933="General Use", VLOOKUP(O1933, Reference!$A$2:$D$34, 3, FALSE) &lt;= P1933)
            ),
                "Exceeded",
                "OK"
            ),
            "No Regulation defined"
        )
    ),
    ""
)</f>
        <v/>
      </c>
      <c r="AB1933" s="62" t="str">
        <f t="shared" si="30"/>
        <v/>
      </c>
    </row>
    <row r="1934" spans="19:28" x14ac:dyDescent="0.2">
      <c r="S1934" s="34"/>
      <c r="T1934" s="60" t="str">
        <f>IF(P1934&lt;&gt;"",
    IF(OR(O1934="", Q1934="", R1934=""),
        "Fill all the required columns",
        IFERROR(
            IF(OR(
                AND(R1934="Marine Protected", VLOOKUP(O1934, Reference!$A$2:$D$34, 4, FALSE) &lt;= P1934),
                AND(R1934="General Use", VLOOKUP(O1934, Reference!$A$2:$D$34, 3, FALSE) &lt;= P1934)
            ),
                "Exceeded",
                "OK"
            ),
            "No Regulation defined"
        )
    ),
    ""
)</f>
        <v/>
      </c>
      <c r="AB1934" s="62" t="str">
        <f t="shared" si="30"/>
        <v/>
      </c>
    </row>
    <row r="1935" spans="19:28" x14ac:dyDescent="0.2">
      <c r="S1935" s="34"/>
      <c r="T1935" s="60" t="str">
        <f>IF(P1935&lt;&gt;"",
    IF(OR(O1935="", Q1935="", R1935=""),
        "Fill all the required columns",
        IFERROR(
            IF(OR(
                AND(R1935="Marine Protected", VLOOKUP(O1935, Reference!$A$2:$D$34, 4, FALSE) &lt;= P1935),
                AND(R1935="General Use", VLOOKUP(O1935, Reference!$A$2:$D$34, 3, FALSE) &lt;= P1935)
            ),
                "Exceeded",
                "OK"
            ),
            "No Regulation defined"
        )
    ),
    ""
)</f>
        <v/>
      </c>
      <c r="AB1935" s="62" t="str">
        <f t="shared" si="30"/>
        <v/>
      </c>
    </row>
    <row r="1936" spans="19:28" x14ac:dyDescent="0.2">
      <c r="S1936" s="34"/>
      <c r="T1936" s="60" t="str">
        <f>IF(P1936&lt;&gt;"",
    IF(OR(O1936="", Q1936="", R1936=""),
        "Fill all the required columns",
        IFERROR(
            IF(OR(
                AND(R1936="Marine Protected", VLOOKUP(O1936, Reference!$A$2:$D$34, 4, FALSE) &lt;= P1936),
                AND(R1936="General Use", VLOOKUP(O1936, Reference!$A$2:$D$34, 3, FALSE) &lt;= P1936)
            ),
                "Exceeded",
                "OK"
            ),
            "No Regulation defined"
        )
    ),
    ""
)</f>
        <v/>
      </c>
      <c r="AB1936" s="62" t="str">
        <f t="shared" si="30"/>
        <v/>
      </c>
    </row>
    <row r="1937" spans="19:28" x14ac:dyDescent="0.2">
      <c r="S1937" s="34"/>
      <c r="T1937" s="60" t="str">
        <f>IF(P1937&lt;&gt;"",
    IF(OR(O1937="", Q1937="", R1937=""),
        "Fill all the required columns",
        IFERROR(
            IF(OR(
                AND(R1937="Marine Protected", VLOOKUP(O1937, Reference!$A$2:$D$34, 4, FALSE) &lt;= P1937),
                AND(R1937="General Use", VLOOKUP(O1937, Reference!$A$2:$D$34, 3, FALSE) &lt;= P1937)
            ),
                "Exceeded",
                "OK"
            ),
            "No Regulation defined"
        )
    ),
    ""
)</f>
        <v/>
      </c>
      <c r="AB1937" s="62" t="str">
        <f t="shared" si="30"/>
        <v/>
      </c>
    </row>
    <row r="1938" spans="19:28" x14ac:dyDescent="0.2">
      <c r="S1938" s="34"/>
      <c r="T1938" s="60" t="str">
        <f>IF(P1938&lt;&gt;"",
    IF(OR(O1938="", Q1938="", R1938=""),
        "Fill all the required columns",
        IFERROR(
            IF(OR(
                AND(R1938="Marine Protected", VLOOKUP(O1938, Reference!$A$2:$D$34, 4, FALSE) &lt;= P1938),
                AND(R1938="General Use", VLOOKUP(O1938, Reference!$A$2:$D$34, 3, FALSE) &lt;= P1938)
            ),
                "Exceeded",
                "OK"
            ),
            "No Regulation defined"
        )
    ),
    ""
)</f>
        <v/>
      </c>
      <c r="AB1938" s="62" t="str">
        <f t="shared" si="30"/>
        <v/>
      </c>
    </row>
    <row r="1939" spans="19:28" x14ac:dyDescent="0.2">
      <c r="S1939" s="34"/>
      <c r="T1939" s="60" t="str">
        <f>IF(P1939&lt;&gt;"",
    IF(OR(O1939="", Q1939="", R1939=""),
        "Fill all the required columns",
        IFERROR(
            IF(OR(
                AND(R1939="Marine Protected", VLOOKUP(O1939, Reference!$A$2:$D$34, 4, FALSE) &lt;= P1939),
                AND(R1939="General Use", VLOOKUP(O1939, Reference!$A$2:$D$34, 3, FALSE) &lt;= P1939)
            ),
                "Exceeded",
                "OK"
            ),
            "No Regulation defined"
        )
    ),
    ""
)</f>
        <v/>
      </c>
      <c r="AB1939" s="62" t="str">
        <f t="shared" si="30"/>
        <v/>
      </c>
    </row>
    <row r="1940" spans="19:28" x14ac:dyDescent="0.2">
      <c r="S1940" s="34"/>
      <c r="T1940" s="60" t="str">
        <f>IF(P1940&lt;&gt;"",
    IF(OR(O1940="", Q1940="", R1940=""),
        "Fill all the required columns",
        IFERROR(
            IF(OR(
                AND(R1940="Marine Protected", VLOOKUP(O1940, Reference!$A$2:$D$34, 4, FALSE) &lt;= P1940),
                AND(R1940="General Use", VLOOKUP(O1940, Reference!$A$2:$D$34, 3, FALSE) &lt;= P1940)
            ),
                "Exceeded",
                "OK"
            ),
            "No Regulation defined"
        )
    ),
    ""
)</f>
        <v/>
      </c>
      <c r="AB1940" s="62" t="str">
        <f t="shared" si="30"/>
        <v/>
      </c>
    </row>
    <row r="1941" spans="19:28" x14ac:dyDescent="0.2">
      <c r="S1941" s="34"/>
      <c r="T1941" s="60" t="str">
        <f>IF(P1941&lt;&gt;"",
    IF(OR(O1941="", Q1941="", R1941=""),
        "Fill all the required columns",
        IFERROR(
            IF(OR(
                AND(R1941="Marine Protected", VLOOKUP(O1941, Reference!$A$2:$D$34, 4, FALSE) &lt;= P1941),
                AND(R1941="General Use", VLOOKUP(O1941, Reference!$A$2:$D$34, 3, FALSE) &lt;= P1941)
            ),
                "Exceeded",
                "OK"
            ),
            "No Regulation defined"
        )
    ),
    ""
)</f>
        <v/>
      </c>
      <c r="AB1941" s="62" t="str">
        <f t="shared" si="30"/>
        <v/>
      </c>
    </row>
    <row r="1942" spans="19:28" x14ac:dyDescent="0.2">
      <c r="S1942" s="34"/>
      <c r="T1942" s="60" t="str">
        <f>IF(P1942&lt;&gt;"",
    IF(OR(O1942="", Q1942="", R1942=""),
        "Fill all the required columns",
        IFERROR(
            IF(OR(
                AND(R1942="Marine Protected", VLOOKUP(O1942, Reference!$A$2:$D$34, 4, FALSE) &lt;= P1942),
                AND(R1942="General Use", VLOOKUP(O1942, Reference!$A$2:$D$34, 3, FALSE) &lt;= P1942)
            ),
                "Exceeded",
                "OK"
            ),
            "No Regulation defined"
        )
    ),
    ""
)</f>
        <v/>
      </c>
      <c r="AB1942" s="62" t="str">
        <f t="shared" si="30"/>
        <v/>
      </c>
    </row>
    <row r="1943" spans="19:28" x14ac:dyDescent="0.2">
      <c r="S1943" s="34"/>
      <c r="T1943" s="60" t="str">
        <f>IF(P1943&lt;&gt;"",
    IF(OR(O1943="", Q1943="", R1943=""),
        "Fill all the required columns",
        IFERROR(
            IF(OR(
                AND(R1943="Marine Protected", VLOOKUP(O1943, Reference!$A$2:$D$34, 4, FALSE) &lt;= P1943),
                AND(R1943="General Use", VLOOKUP(O1943, Reference!$A$2:$D$34, 3, FALSE) &lt;= P1943)
            ),
                "Exceeded",
                "OK"
            ),
            "No Regulation defined"
        )
    ),
    ""
)</f>
        <v/>
      </c>
      <c r="AB1943" s="62" t="str">
        <f t="shared" si="30"/>
        <v/>
      </c>
    </row>
    <row r="1944" spans="19:28" x14ac:dyDescent="0.2">
      <c r="S1944" s="34"/>
      <c r="T1944" s="60" t="str">
        <f>IF(P1944&lt;&gt;"",
    IF(OR(O1944="", Q1944="", R1944=""),
        "Fill all the required columns",
        IFERROR(
            IF(OR(
                AND(R1944="Marine Protected", VLOOKUP(O1944, Reference!$A$2:$D$34, 4, FALSE) &lt;= P1944),
                AND(R1944="General Use", VLOOKUP(O1944, Reference!$A$2:$D$34, 3, FALSE) &lt;= P1944)
            ),
                "Exceeded",
                "OK"
            ),
            "No Regulation defined"
        )
    ),
    ""
)</f>
        <v/>
      </c>
      <c r="AB1944" s="62" t="str">
        <f t="shared" si="30"/>
        <v/>
      </c>
    </row>
    <row r="1945" spans="19:28" x14ac:dyDescent="0.2">
      <c r="S1945" s="34"/>
      <c r="T1945" s="60" t="str">
        <f>IF(P1945&lt;&gt;"",
    IF(OR(O1945="", Q1945="", R1945=""),
        "Fill all the required columns",
        IFERROR(
            IF(OR(
                AND(R1945="Marine Protected", VLOOKUP(O1945, Reference!$A$2:$D$34, 4, FALSE) &lt;= P1945),
                AND(R1945="General Use", VLOOKUP(O1945, Reference!$A$2:$D$34, 3, FALSE) &lt;= P1945)
            ),
                "Exceeded",
                "OK"
            ),
            "No Regulation defined"
        )
    ),
    ""
)</f>
        <v/>
      </c>
      <c r="AB1945" s="62" t="str">
        <f t="shared" si="30"/>
        <v/>
      </c>
    </row>
    <row r="1946" spans="19:28" x14ac:dyDescent="0.2">
      <c r="S1946" s="34"/>
      <c r="T1946" s="60" t="str">
        <f>IF(P1946&lt;&gt;"",
    IF(OR(O1946="", Q1946="", R1946=""),
        "Fill all the required columns",
        IFERROR(
            IF(OR(
                AND(R1946="Marine Protected", VLOOKUP(O1946, Reference!$A$2:$D$34, 4, FALSE) &lt;= P1946),
                AND(R1946="General Use", VLOOKUP(O1946, Reference!$A$2:$D$34, 3, FALSE) &lt;= P1946)
            ),
                "Exceeded",
                "OK"
            ),
            "No Regulation defined"
        )
    ),
    ""
)</f>
        <v/>
      </c>
      <c r="AB1946" s="62" t="str">
        <f t="shared" si="30"/>
        <v/>
      </c>
    </row>
    <row r="1947" spans="19:28" x14ac:dyDescent="0.2">
      <c r="S1947" s="34"/>
      <c r="T1947" s="60" t="str">
        <f>IF(P1947&lt;&gt;"",
    IF(OR(O1947="", Q1947="", R1947=""),
        "Fill all the required columns",
        IFERROR(
            IF(OR(
                AND(R1947="Marine Protected", VLOOKUP(O1947, Reference!$A$2:$D$34, 4, FALSE) &lt;= P1947),
                AND(R1947="General Use", VLOOKUP(O1947, Reference!$A$2:$D$34, 3, FALSE) &lt;= P1947)
            ),
                "Exceeded",
                "OK"
            ),
            "No Regulation defined"
        )
    ),
    ""
)</f>
        <v/>
      </c>
      <c r="AB1947" s="62" t="str">
        <f t="shared" si="30"/>
        <v/>
      </c>
    </row>
    <row r="1948" spans="19:28" x14ac:dyDescent="0.2">
      <c r="S1948" s="34"/>
      <c r="T1948" s="60" t="str">
        <f>IF(P1948&lt;&gt;"",
    IF(OR(O1948="", Q1948="", R1948=""),
        "Fill all the required columns",
        IFERROR(
            IF(OR(
                AND(R1948="Marine Protected", VLOOKUP(O1948, Reference!$A$2:$D$34, 4, FALSE) &lt;= P1948),
                AND(R1948="General Use", VLOOKUP(O1948, Reference!$A$2:$D$34, 3, FALSE) &lt;= P1948)
            ),
                "Exceeded",
                "OK"
            ),
            "No Regulation defined"
        )
    ),
    ""
)</f>
        <v/>
      </c>
      <c r="AB1948" s="62" t="str">
        <f t="shared" si="30"/>
        <v/>
      </c>
    </row>
    <row r="1949" spans="19:28" x14ac:dyDescent="0.2">
      <c r="S1949" s="34"/>
      <c r="T1949" s="60" t="str">
        <f>IF(P1949&lt;&gt;"",
    IF(OR(O1949="", Q1949="", R1949=""),
        "Fill all the required columns",
        IFERROR(
            IF(OR(
                AND(R1949="Marine Protected", VLOOKUP(O1949, Reference!$A$2:$D$34, 4, FALSE) &lt;= P1949),
                AND(R1949="General Use", VLOOKUP(O1949, Reference!$A$2:$D$34, 3, FALSE) &lt;= P1949)
            ),
                "Exceeded",
                "OK"
            ),
            "No Regulation defined"
        )
    ),
    ""
)</f>
        <v/>
      </c>
      <c r="AB1949" s="62" t="str">
        <f t="shared" si="30"/>
        <v/>
      </c>
    </row>
    <row r="1950" spans="19:28" x14ac:dyDescent="0.2">
      <c r="S1950" s="34"/>
      <c r="T1950" s="60" t="str">
        <f>IF(P1950&lt;&gt;"",
    IF(OR(O1950="", Q1950="", R1950=""),
        "Fill all the required columns",
        IFERROR(
            IF(OR(
                AND(R1950="Marine Protected", VLOOKUP(O1950, Reference!$A$2:$D$34, 4, FALSE) &lt;= P1950),
                AND(R1950="General Use", VLOOKUP(O1950, Reference!$A$2:$D$34, 3, FALSE) &lt;= P1950)
            ),
                "Exceeded",
                "OK"
            ),
            "No Regulation defined"
        )
    ),
    ""
)</f>
        <v/>
      </c>
      <c r="AB1950" s="62" t="str">
        <f t="shared" si="30"/>
        <v/>
      </c>
    </row>
    <row r="1951" spans="19:28" x14ac:dyDescent="0.2">
      <c r="S1951" s="34"/>
      <c r="T1951" s="60" t="str">
        <f>IF(P1951&lt;&gt;"",
    IF(OR(O1951="", Q1951="", R1951=""),
        "Fill all the required columns",
        IFERROR(
            IF(OR(
                AND(R1951="Marine Protected", VLOOKUP(O1951, Reference!$A$2:$D$34, 4, FALSE) &lt;= P1951),
                AND(R1951="General Use", VLOOKUP(O1951, Reference!$A$2:$D$34, 3, FALSE) &lt;= P1951)
            ),
                "Exceeded",
                "OK"
            ),
            "No Regulation defined"
        )
    ),
    ""
)</f>
        <v/>
      </c>
      <c r="AB1951" s="62" t="str">
        <f t="shared" si="30"/>
        <v/>
      </c>
    </row>
    <row r="1952" spans="19:28" x14ac:dyDescent="0.2">
      <c r="S1952" s="34"/>
      <c r="T1952" s="60" t="str">
        <f>IF(P1952&lt;&gt;"",
    IF(OR(O1952="", Q1952="", R1952=""),
        "Fill all the required columns",
        IFERROR(
            IF(OR(
                AND(R1952="Marine Protected", VLOOKUP(O1952, Reference!$A$2:$D$34, 4, FALSE) &lt;= P1952),
                AND(R1952="General Use", VLOOKUP(O1952, Reference!$A$2:$D$34, 3, FALSE) &lt;= P1952)
            ),
                "Exceeded",
                "OK"
            ),
            "No Regulation defined"
        )
    ),
    ""
)</f>
        <v/>
      </c>
      <c r="AB1952" s="62" t="str">
        <f t="shared" si="30"/>
        <v/>
      </c>
    </row>
    <row r="1953" spans="19:28" x14ac:dyDescent="0.2">
      <c r="S1953" s="34"/>
      <c r="T1953" s="60" t="str">
        <f>IF(P1953&lt;&gt;"",
    IF(OR(O1953="", Q1953="", R1953=""),
        "Fill all the required columns",
        IFERROR(
            IF(OR(
                AND(R1953="Marine Protected", VLOOKUP(O1953, Reference!$A$2:$D$34, 4, FALSE) &lt;= P1953),
                AND(R1953="General Use", VLOOKUP(O1953, Reference!$A$2:$D$34, 3, FALSE) &lt;= P1953)
            ),
                "Exceeded",
                "OK"
            ),
            "No Regulation defined"
        )
    ),
    ""
)</f>
        <v/>
      </c>
      <c r="AB1953" s="62" t="str">
        <f t="shared" si="30"/>
        <v/>
      </c>
    </row>
    <row r="1954" spans="19:28" x14ac:dyDescent="0.2">
      <c r="S1954" s="34"/>
      <c r="T1954" s="60" t="str">
        <f>IF(P1954&lt;&gt;"",
    IF(OR(O1954="", Q1954="", R1954=""),
        "Fill all the required columns",
        IFERROR(
            IF(OR(
                AND(R1954="Marine Protected", VLOOKUP(O1954, Reference!$A$2:$D$34, 4, FALSE) &lt;= P1954),
                AND(R1954="General Use", VLOOKUP(O1954, Reference!$A$2:$D$34, 3, FALSE) &lt;= P1954)
            ),
                "Exceeded",
                "OK"
            ),
            "No Regulation defined"
        )
    ),
    ""
)</f>
        <v/>
      </c>
      <c r="AB1954" s="62" t="str">
        <f t="shared" si="30"/>
        <v/>
      </c>
    </row>
    <row r="1955" spans="19:28" x14ac:dyDescent="0.2">
      <c r="S1955" s="34"/>
      <c r="T1955" s="60" t="str">
        <f>IF(P1955&lt;&gt;"",
    IF(OR(O1955="", Q1955="", R1955=""),
        "Fill all the required columns",
        IFERROR(
            IF(OR(
                AND(R1955="Marine Protected", VLOOKUP(O1955, Reference!$A$2:$D$34, 4, FALSE) &lt;= P1955),
                AND(R1955="General Use", VLOOKUP(O1955, Reference!$A$2:$D$34, 3, FALSE) &lt;= P1955)
            ),
                "Exceeded",
                "OK"
            ),
            "No Regulation defined"
        )
    ),
    ""
)</f>
        <v/>
      </c>
      <c r="AB1955" s="62" t="str">
        <f t="shared" si="30"/>
        <v/>
      </c>
    </row>
    <row r="1956" spans="19:28" x14ac:dyDescent="0.2">
      <c r="S1956" s="34"/>
      <c r="T1956" s="60" t="str">
        <f>IF(P1956&lt;&gt;"",
    IF(OR(O1956="", Q1956="", R1956=""),
        "Fill all the required columns",
        IFERROR(
            IF(OR(
                AND(R1956="Marine Protected", VLOOKUP(O1956, Reference!$A$2:$D$34, 4, FALSE) &lt;= P1956),
                AND(R1956="General Use", VLOOKUP(O1956, Reference!$A$2:$D$34, 3, FALSE) &lt;= P1956)
            ),
                "Exceeded",
                "OK"
            ),
            "No Regulation defined"
        )
    ),
    ""
)</f>
        <v/>
      </c>
      <c r="AB1956" s="62" t="str">
        <f t="shared" si="30"/>
        <v/>
      </c>
    </row>
    <row r="1957" spans="19:28" x14ac:dyDescent="0.2">
      <c r="S1957" s="34"/>
      <c r="T1957" s="60" t="str">
        <f>IF(P1957&lt;&gt;"",
    IF(OR(O1957="", Q1957="", R1957=""),
        "Fill all the required columns",
        IFERROR(
            IF(OR(
                AND(R1957="Marine Protected", VLOOKUP(O1957, Reference!$A$2:$D$34, 4, FALSE) &lt;= P1957),
                AND(R1957="General Use", VLOOKUP(O1957, Reference!$A$2:$D$34, 3, FALSE) &lt;= P1957)
            ),
                "Exceeded",
                "OK"
            ),
            "No Regulation defined"
        )
    ),
    ""
)</f>
        <v/>
      </c>
      <c r="AB1957" s="62" t="str">
        <f t="shared" si="30"/>
        <v/>
      </c>
    </row>
    <row r="1958" spans="19:28" x14ac:dyDescent="0.2">
      <c r="S1958" s="34"/>
      <c r="T1958" s="60" t="str">
        <f>IF(P1958&lt;&gt;"",
    IF(OR(O1958="", Q1958="", R1958=""),
        "Fill all the required columns",
        IFERROR(
            IF(OR(
                AND(R1958="Marine Protected", VLOOKUP(O1958, Reference!$A$2:$D$34, 4, FALSE) &lt;= P1958),
                AND(R1958="General Use", VLOOKUP(O1958, Reference!$A$2:$D$34, 3, FALSE) &lt;= P1958)
            ),
                "Exceeded",
                "OK"
            ),
            "No Regulation defined"
        )
    ),
    ""
)</f>
        <v/>
      </c>
      <c r="AB1958" s="62" t="str">
        <f t="shared" si="30"/>
        <v/>
      </c>
    </row>
    <row r="1959" spans="19:28" x14ac:dyDescent="0.2">
      <c r="S1959" s="34"/>
      <c r="T1959" s="60" t="str">
        <f>IF(P1959&lt;&gt;"",
    IF(OR(O1959="", Q1959="", R1959=""),
        "Fill all the required columns",
        IFERROR(
            IF(OR(
                AND(R1959="Marine Protected", VLOOKUP(O1959, Reference!$A$2:$D$34, 4, FALSE) &lt;= P1959),
                AND(R1959="General Use", VLOOKUP(O1959, Reference!$A$2:$D$34, 3, FALSE) &lt;= P1959)
            ),
                "Exceeded",
                "OK"
            ),
            "No Regulation defined"
        )
    ),
    ""
)</f>
        <v/>
      </c>
      <c r="AB1959" s="62" t="str">
        <f t="shared" si="30"/>
        <v/>
      </c>
    </row>
    <row r="1960" spans="19:28" x14ac:dyDescent="0.2">
      <c r="S1960" s="34"/>
      <c r="T1960" s="60" t="str">
        <f>IF(P1960&lt;&gt;"",
    IF(OR(O1960="", Q1960="", R1960=""),
        "Fill all the required columns",
        IFERROR(
            IF(OR(
                AND(R1960="Marine Protected", VLOOKUP(O1960, Reference!$A$2:$D$34, 4, FALSE) &lt;= P1960),
                AND(R1960="General Use", VLOOKUP(O1960, Reference!$A$2:$D$34, 3, FALSE) &lt;= P1960)
            ),
                "Exceeded",
                "OK"
            ),
            "No Regulation defined"
        )
    ),
    ""
)</f>
        <v/>
      </c>
      <c r="AB1960" s="62" t="str">
        <f t="shared" si="30"/>
        <v/>
      </c>
    </row>
    <row r="1961" spans="19:28" x14ac:dyDescent="0.2">
      <c r="S1961" s="34"/>
      <c r="T1961" s="60" t="str">
        <f>IF(P1961&lt;&gt;"",
    IF(OR(O1961="", Q1961="", R1961=""),
        "Fill all the required columns",
        IFERROR(
            IF(OR(
                AND(R1961="Marine Protected", VLOOKUP(O1961, Reference!$A$2:$D$34, 4, FALSE) &lt;= P1961),
                AND(R1961="General Use", VLOOKUP(O1961, Reference!$A$2:$D$34, 3, FALSE) &lt;= P1961)
            ),
                "Exceeded",
                "OK"
            ),
            "No Regulation defined"
        )
    ),
    ""
)</f>
        <v/>
      </c>
      <c r="AB1961" s="62" t="str">
        <f t="shared" si="30"/>
        <v/>
      </c>
    </row>
    <row r="1962" spans="19:28" x14ac:dyDescent="0.2">
      <c r="S1962" s="34"/>
      <c r="T1962" s="60" t="str">
        <f>IF(P1962&lt;&gt;"",
    IF(OR(O1962="", Q1962="", R1962=""),
        "Fill all the required columns",
        IFERROR(
            IF(OR(
                AND(R1962="Marine Protected", VLOOKUP(O1962, Reference!$A$2:$D$34, 4, FALSE) &lt;= P1962),
                AND(R1962="General Use", VLOOKUP(O1962, Reference!$A$2:$D$34, 3, FALSE) &lt;= P1962)
            ),
                "Exceeded",
                "OK"
            ),
            "No Regulation defined"
        )
    ),
    ""
)</f>
        <v/>
      </c>
      <c r="AB1962" s="62" t="str">
        <f t="shared" si="30"/>
        <v/>
      </c>
    </row>
    <row r="1963" spans="19:28" x14ac:dyDescent="0.2">
      <c r="S1963" s="34"/>
      <c r="T1963" s="60" t="str">
        <f>IF(P1963&lt;&gt;"",
    IF(OR(O1963="", Q1963="", R1963=""),
        "Fill all the required columns",
        IFERROR(
            IF(OR(
                AND(R1963="Marine Protected", VLOOKUP(O1963, Reference!$A$2:$D$34, 4, FALSE) &lt;= P1963),
                AND(R1963="General Use", VLOOKUP(O1963, Reference!$A$2:$D$34, 3, FALSE) &lt;= P1963)
            ),
                "Exceeded",
                "OK"
            ),
            "No Regulation defined"
        )
    ),
    ""
)</f>
        <v/>
      </c>
      <c r="AB1963" s="62" t="str">
        <f t="shared" si="30"/>
        <v/>
      </c>
    </row>
    <row r="1964" spans="19:28" x14ac:dyDescent="0.2">
      <c r="S1964" s="34"/>
      <c r="T1964" s="60" t="str">
        <f>IF(P1964&lt;&gt;"",
    IF(OR(O1964="", Q1964="", R1964=""),
        "Fill all the required columns",
        IFERROR(
            IF(OR(
                AND(R1964="Marine Protected", VLOOKUP(O1964, Reference!$A$2:$D$34, 4, FALSE) &lt;= P1964),
                AND(R1964="General Use", VLOOKUP(O1964, Reference!$A$2:$D$34, 3, FALSE) &lt;= P1964)
            ),
                "Exceeded",
                "OK"
            ),
            "No Regulation defined"
        )
    ),
    ""
)</f>
        <v/>
      </c>
      <c r="AB1964" s="62" t="str">
        <f t="shared" si="30"/>
        <v/>
      </c>
    </row>
    <row r="1965" spans="19:28" x14ac:dyDescent="0.2">
      <c r="S1965" s="34"/>
      <c r="T1965" s="60" t="str">
        <f>IF(P1965&lt;&gt;"",
    IF(OR(O1965="", Q1965="", R1965=""),
        "Fill all the required columns",
        IFERROR(
            IF(OR(
                AND(R1965="Marine Protected", VLOOKUP(O1965, Reference!$A$2:$D$34, 4, FALSE) &lt;= P1965),
                AND(R1965="General Use", VLOOKUP(O1965, Reference!$A$2:$D$34, 3, FALSE) &lt;= P1965)
            ),
                "Exceeded",
                "OK"
            ),
            "No Regulation defined"
        )
    ),
    ""
)</f>
        <v/>
      </c>
      <c r="AB1965" s="62" t="str">
        <f t="shared" si="30"/>
        <v/>
      </c>
    </row>
    <row r="1966" spans="19:28" x14ac:dyDescent="0.2">
      <c r="S1966" s="34"/>
      <c r="T1966" s="60" t="str">
        <f>IF(P1966&lt;&gt;"",
    IF(OR(O1966="", Q1966="", R1966=""),
        "Fill all the required columns",
        IFERROR(
            IF(OR(
                AND(R1966="Marine Protected", VLOOKUP(O1966, Reference!$A$2:$D$34, 4, FALSE) &lt;= P1966),
                AND(R1966="General Use", VLOOKUP(O1966, Reference!$A$2:$D$34, 3, FALSE) &lt;= P1966)
            ),
                "Exceeded",
                "OK"
            ),
            "No Regulation defined"
        )
    ),
    ""
)</f>
        <v/>
      </c>
      <c r="AB1966" s="62" t="str">
        <f t="shared" si="30"/>
        <v/>
      </c>
    </row>
    <row r="1967" spans="19:28" x14ac:dyDescent="0.2">
      <c r="S1967" s="34"/>
      <c r="T1967" s="60" t="str">
        <f>IF(P1967&lt;&gt;"",
    IF(OR(O1967="", Q1967="", R1967=""),
        "Fill all the required columns",
        IFERROR(
            IF(OR(
                AND(R1967="Marine Protected", VLOOKUP(O1967, Reference!$A$2:$D$34, 4, FALSE) &lt;= P1967),
                AND(R1967="General Use", VLOOKUP(O1967, Reference!$A$2:$D$34, 3, FALSE) &lt;= P1967)
            ),
                "Exceeded",
                "OK"
            ),
            "No Regulation defined"
        )
    ),
    ""
)</f>
        <v/>
      </c>
      <c r="AB1967" s="62" t="str">
        <f t="shared" si="30"/>
        <v/>
      </c>
    </row>
    <row r="1968" spans="19:28" x14ac:dyDescent="0.2">
      <c r="S1968" s="34"/>
      <c r="T1968" s="60" t="str">
        <f>IF(P1968&lt;&gt;"",
    IF(OR(O1968="", Q1968="", R1968=""),
        "Fill all the required columns",
        IFERROR(
            IF(OR(
                AND(R1968="Marine Protected", VLOOKUP(O1968, Reference!$A$2:$D$34, 4, FALSE) &lt;= P1968),
                AND(R1968="General Use", VLOOKUP(O1968, Reference!$A$2:$D$34, 3, FALSE) &lt;= P1968)
            ),
                "Exceeded",
                "OK"
            ),
            "No Regulation defined"
        )
    ),
    ""
)</f>
        <v/>
      </c>
      <c r="AB1968" s="62" t="str">
        <f t="shared" si="30"/>
        <v/>
      </c>
    </row>
    <row r="1969" spans="19:28" x14ac:dyDescent="0.2">
      <c r="S1969" s="34"/>
      <c r="T1969" s="60" t="str">
        <f>IF(P1969&lt;&gt;"",
    IF(OR(O1969="", Q1969="", R1969=""),
        "Fill all the required columns",
        IFERROR(
            IF(OR(
                AND(R1969="Marine Protected", VLOOKUP(O1969, Reference!$A$2:$D$34, 4, FALSE) &lt;= P1969),
                AND(R1969="General Use", VLOOKUP(O1969, Reference!$A$2:$D$34, 3, FALSE) &lt;= P1969)
            ),
                "Exceeded",
                "OK"
            ),
            "No Regulation defined"
        )
    ),
    ""
)</f>
        <v/>
      </c>
      <c r="AB1969" s="62" t="str">
        <f t="shared" si="30"/>
        <v/>
      </c>
    </row>
    <row r="1970" spans="19:28" x14ac:dyDescent="0.2">
      <c r="S1970" s="34"/>
      <c r="T1970" s="60" t="str">
        <f>IF(P1970&lt;&gt;"",
    IF(OR(O1970="", Q1970="", R1970=""),
        "Fill all the required columns",
        IFERROR(
            IF(OR(
                AND(R1970="Marine Protected", VLOOKUP(O1970, Reference!$A$2:$D$34, 4, FALSE) &lt;= P1970),
                AND(R1970="General Use", VLOOKUP(O1970, Reference!$A$2:$D$34, 3, FALSE) &lt;= P1970)
            ),
                "Exceeded",
                "OK"
            ),
            "No Regulation defined"
        )
    ),
    ""
)</f>
        <v/>
      </c>
      <c r="AB1970" s="62" t="str">
        <f t="shared" si="30"/>
        <v/>
      </c>
    </row>
    <row r="1971" spans="19:28" x14ac:dyDescent="0.2">
      <c r="S1971" s="34"/>
      <c r="T1971" s="60" t="str">
        <f>IF(P1971&lt;&gt;"",
    IF(OR(O1971="", Q1971="", R1971=""),
        "Fill all the required columns",
        IFERROR(
            IF(OR(
                AND(R1971="Marine Protected", VLOOKUP(O1971, Reference!$A$2:$D$34, 4, FALSE) &lt;= P1971),
                AND(R1971="General Use", VLOOKUP(O1971, Reference!$A$2:$D$34, 3, FALSE) &lt;= P1971)
            ),
                "Exceeded",
                "OK"
            ),
            "No Regulation defined"
        )
    ),
    ""
)</f>
        <v/>
      </c>
      <c r="AB1971" s="62" t="str">
        <f t="shared" si="30"/>
        <v/>
      </c>
    </row>
    <row r="1972" spans="19:28" x14ac:dyDescent="0.2">
      <c r="S1972" s="34"/>
      <c r="T1972" s="60" t="str">
        <f>IF(P1972&lt;&gt;"",
    IF(OR(O1972="", Q1972="", R1972=""),
        "Fill all the required columns",
        IFERROR(
            IF(OR(
                AND(R1972="Marine Protected", VLOOKUP(O1972, Reference!$A$2:$D$34, 4, FALSE) &lt;= P1972),
                AND(R1972="General Use", VLOOKUP(O1972, Reference!$A$2:$D$34, 3, FALSE) &lt;= P1972)
            ),
                "Exceeded",
                "OK"
            ),
            "No Regulation defined"
        )
    ),
    ""
)</f>
        <v/>
      </c>
      <c r="AB1972" s="62" t="str">
        <f t="shared" si="30"/>
        <v/>
      </c>
    </row>
    <row r="1973" spans="19:28" x14ac:dyDescent="0.2">
      <c r="S1973" s="34"/>
      <c r="T1973" s="60" t="str">
        <f>IF(P1973&lt;&gt;"",
    IF(OR(O1973="", Q1973="", R1973=""),
        "Fill all the required columns",
        IFERROR(
            IF(OR(
                AND(R1973="Marine Protected", VLOOKUP(O1973, Reference!$A$2:$D$34, 4, FALSE) &lt;= P1973),
                AND(R1973="General Use", VLOOKUP(O1973, Reference!$A$2:$D$34, 3, FALSE) &lt;= P1973)
            ),
                "Exceeded",
                "OK"
            ),
            "No Regulation defined"
        )
    ),
    ""
)</f>
        <v/>
      </c>
      <c r="AB1973" s="62" t="str">
        <f t="shared" si="30"/>
        <v/>
      </c>
    </row>
    <row r="1974" spans="19:28" x14ac:dyDescent="0.2">
      <c r="S1974" s="34"/>
      <c r="T1974" s="60" t="str">
        <f>IF(P1974&lt;&gt;"",
    IF(OR(O1974="", Q1974="", R1974=""),
        "Fill all the required columns",
        IFERROR(
            IF(OR(
                AND(R1974="Marine Protected", VLOOKUP(O1974, Reference!$A$2:$D$34, 4, FALSE) &lt;= P1974),
                AND(R1974="General Use", VLOOKUP(O1974, Reference!$A$2:$D$34, 3, FALSE) &lt;= P1974)
            ),
                "Exceeded",
                "OK"
            ),
            "No Regulation defined"
        )
    ),
    ""
)</f>
        <v/>
      </c>
      <c r="AB1974" s="62" t="str">
        <f t="shared" si="30"/>
        <v/>
      </c>
    </row>
    <row r="1975" spans="19:28" x14ac:dyDescent="0.2">
      <c r="S1975" s="34"/>
      <c r="T1975" s="60" t="str">
        <f>IF(P1975&lt;&gt;"",
    IF(OR(O1975="", Q1975="", R1975=""),
        "Fill all the required columns",
        IFERROR(
            IF(OR(
                AND(R1975="Marine Protected", VLOOKUP(O1975, Reference!$A$2:$D$34, 4, FALSE) &lt;= P1975),
                AND(R1975="General Use", VLOOKUP(O1975, Reference!$A$2:$D$34, 3, FALSE) &lt;= P1975)
            ),
                "Exceeded",
                "OK"
            ),
            "No Regulation defined"
        )
    ),
    ""
)</f>
        <v/>
      </c>
      <c r="AB1975" s="62" t="str">
        <f t="shared" si="30"/>
        <v/>
      </c>
    </row>
    <row r="1976" spans="19:28" x14ac:dyDescent="0.2">
      <c r="S1976" s="34"/>
      <c r="T1976" s="60" t="str">
        <f>IF(P1976&lt;&gt;"",
    IF(OR(O1976="", Q1976="", R1976=""),
        "Fill all the required columns",
        IFERROR(
            IF(OR(
                AND(R1976="Marine Protected", VLOOKUP(O1976, Reference!$A$2:$D$34, 4, FALSE) &lt;= P1976),
                AND(R1976="General Use", VLOOKUP(O1976, Reference!$A$2:$D$34, 3, FALSE) &lt;= P1976)
            ),
                "Exceeded",
                "OK"
            ),
            "No Regulation defined"
        )
    ),
    ""
)</f>
        <v/>
      </c>
      <c r="AB1976" s="62" t="str">
        <f t="shared" si="30"/>
        <v/>
      </c>
    </row>
    <row r="1977" spans="19:28" x14ac:dyDescent="0.2">
      <c r="S1977" s="34"/>
      <c r="T1977" s="60" t="str">
        <f>IF(P1977&lt;&gt;"",
    IF(OR(O1977="", Q1977="", R1977=""),
        "Fill all the required columns",
        IFERROR(
            IF(OR(
                AND(R1977="Marine Protected", VLOOKUP(O1977, Reference!$A$2:$D$34, 4, FALSE) &lt;= P1977),
                AND(R1977="General Use", VLOOKUP(O1977, Reference!$A$2:$D$34, 3, FALSE) &lt;= P1977)
            ),
                "Exceeded",
                "OK"
            ),
            "No Regulation defined"
        )
    ),
    ""
)</f>
        <v/>
      </c>
      <c r="AB1977" s="62" t="str">
        <f t="shared" si="30"/>
        <v/>
      </c>
    </row>
    <row r="1978" spans="19:28" x14ac:dyDescent="0.2">
      <c r="S1978" s="34"/>
      <c r="T1978" s="60" t="str">
        <f>IF(P1978&lt;&gt;"",
    IF(OR(O1978="", Q1978="", R1978=""),
        "Fill all the required columns",
        IFERROR(
            IF(OR(
                AND(R1978="Marine Protected", VLOOKUP(O1978, Reference!$A$2:$D$34, 4, FALSE) &lt;= P1978),
                AND(R1978="General Use", VLOOKUP(O1978, Reference!$A$2:$D$34, 3, FALSE) &lt;= P1978)
            ),
                "Exceeded",
                "OK"
            ),
            "No Regulation defined"
        )
    ),
    ""
)</f>
        <v/>
      </c>
      <c r="AB1978" s="62" t="str">
        <f t="shared" si="30"/>
        <v/>
      </c>
    </row>
    <row r="1979" spans="19:28" x14ac:dyDescent="0.2">
      <c r="S1979" s="34"/>
      <c r="T1979" s="60" t="str">
        <f>IF(P1979&lt;&gt;"",
    IF(OR(O1979="", Q1979="", R1979=""),
        "Fill all the required columns",
        IFERROR(
            IF(OR(
                AND(R1979="Marine Protected", VLOOKUP(O1979, Reference!$A$2:$D$34, 4, FALSE) &lt;= P1979),
                AND(R1979="General Use", VLOOKUP(O1979, Reference!$A$2:$D$34, 3, FALSE) &lt;= P1979)
            ),
                "Exceeded",
                "OK"
            ),
            "No Regulation defined"
        )
    ),
    ""
)</f>
        <v/>
      </c>
      <c r="AB1979" s="62" t="str">
        <f t="shared" si="30"/>
        <v/>
      </c>
    </row>
    <row r="1980" spans="19:28" x14ac:dyDescent="0.2">
      <c r="S1980" s="34"/>
      <c r="T1980" s="60" t="str">
        <f>IF(P1980&lt;&gt;"",
    IF(OR(O1980="", Q1980="", R1980=""),
        "Fill all the required columns",
        IFERROR(
            IF(OR(
                AND(R1980="Marine Protected", VLOOKUP(O1980, Reference!$A$2:$D$34, 4, FALSE) &lt;= P1980),
                AND(R1980="General Use", VLOOKUP(O1980, Reference!$A$2:$D$34, 3, FALSE) &lt;= P1980)
            ),
                "Exceeded",
                "OK"
            ),
            "No Regulation defined"
        )
    ),
    ""
)</f>
        <v/>
      </c>
      <c r="AB1980" s="62" t="str">
        <f t="shared" si="30"/>
        <v/>
      </c>
    </row>
    <row r="1981" spans="19:28" x14ac:dyDescent="0.2">
      <c r="S1981" s="34"/>
      <c r="T1981" s="60" t="str">
        <f>IF(P1981&lt;&gt;"",
    IF(OR(O1981="", Q1981="", R1981=""),
        "Fill all the required columns",
        IFERROR(
            IF(OR(
                AND(R1981="Marine Protected", VLOOKUP(O1981, Reference!$A$2:$D$34, 4, FALSE) &lt;= P1981),
                AND(R1981="General Use", VLOOKUP(O1981, Reference!$A$2:$D$34, 3, FALSE) &lt;= P1981)
            ),
                "Exceeded",
                "OK"
            ),
            "No Regulation defined"
        )
    ),
    ""
)</f>
        <v/>
      </c>
      <c r="AB1981" s="62" t="str">
        <f t="shared" si="30"/>
        <v/>
      </c>
    </row>
    <row r="1982" spans="19:28" x14ac:dyDescent="0.2">
      <c r="S1982" s="34"/>
      <c r="T1982" s="60" t="str">
        <f>IF(P1982&lt;&gt;"",
    IF(OR(O1982="", Q1982="", R1982=""),
        "Fill all the required columns",
        IFERROR(
            IF(OR(
                AND(R1982="Marine Protected", VLOOKUP(O1982, Reference!$A$2:$D$34, 4, FALSE) &lt;= P1982),
                AND(R1982="General Use", VLOOKUP(O1982, Reference!$A$2:$D$34, 3, FALSE) &lt;= P1982)
            ),
                "Exceeded",
                "OK"
            ),
            "No Regulation defined"
        )
    ),
    ""
)</f>
        <v/>
      </c>
      <c r="AB1982" s="62" t="str">
        <f t="shared" si="30"/>
        <v/>
      </c>
    </row>
    <row r="1983" spans="19:28" x14ac:dyDescent="0.2">
      <c r="S1983" s="34"/>
      <c r="T1983" s="60" t="str">
        <f>IF(P1983&lt;&gt;"",
    IF(OR(O1983="", Q1983="", R1983=""),
        "Fill all the required columns",
        IFERROR(
            IF(OR(
                AND(R1983="Marine Protected", VLOOKUP(O1983, Reference!$A$2:$D$34, 4, FALSE) &lt;= P1983),
                AND(R1983="General Use", VLOOKUP(O1983, Reference!$A$2:$D$34, 3, FALSE) &lt;= P1983)
            ),
                "Exceeded",
                "OK"
            ),
            "No Regulation defined"
        )
    ),
    ""
)</f>
        <v/>
      </c>
      <c r="AB1983" s="62" t="str">
        <f t="shared" si="30"/>
        <v/>
      </c>
    </row>
    <row r="1984" spans="19:28" x14ac:dyDescent="0.2">
      <c r="S1984" s="34"/>
      <c r="T1984" s="60" t="str">
        <f>IF(P1984&lt;&gt;"",
    IF(OR(O1984="", Q1984="", R1984=""),
        "Fill all the required columns",
        IFERROR(
            IF(OR(
                AND(R1984="Marine Protected", VLOOKUP(O1984, Reference!$A$2:$D$34, 4, FALSE) &lt;= P1984),
                AND(R1984="General Use", VLOOKUP(O1984, Reference!$A$2:$D$34, 3, FALSE) &lt;= P1984)
            ),
                "Exceeded",
                "OK"
            ),
            "No Regulation defined"
        )
    ),
    ""
)</f>
        <v/>
      </c>
      <c r="AB1984" s="62" t="str">
        <f t="shared" si="30"/>
        <v/>
      </c>
    </row>
    <row r="1985" spans="19:28" x14ac:dyDescent="0.2">
      <c r="S1985" s="34"/>
      <c r="T1985" s="60" t="str">
        <f>IF(P1985&lt;&gt;"",
    IF(OR(O1985="", Q1985="", R1985=""),
        "Fill all the required columns",
        IFERROR(
            IF(OR(
                AND(R1985="Marine Protected", VLOOKUP(O1985, Reference!$A$2:$D$34, 4, FALSE) &lt;= P1985),
                AND(R1985="General Use", VLOOKUP(O1985, Reference!$A$2:$D$34, 3, FALSE) &lt;= P1985)
            ),
                "Exceeded",
                "OK"
            ),
            "No Regulation defined"
        )
    ),
    ""
)</f>
        <v/>
      </c>
      <c r="AB1985" s="62" t="str">
        <f t="shared" si="30"/>
        <v/>
      </c>
    </row>
    <row r="1986" spans="19:28" x14ac:dyDescent="0.2">
      <c r="S1986" s="34"/>
      <c r="T1986" s="60" t="str">
        <f>IF(P1986&lt;&gt;"",
    IF(OR(O1986="", Q1986="", R1986=""),
        "Fill all the required columns",
        IFERROR(
            IF(OR(
                AND(R1986="Marine Protected", VLOOKUP(O1986, Reference!$A$2:$D$34, 4, FALSE) &lt;= P1986),
                AND(R1986="General Use", VLOOKUP(O1986, Reference!$A$2:$D$34, 3, FALSE) &lt;= P1986)
            ),
                "Exceeded",
                "OK"
            ),
            "No Regulation defined"
        )
    ),
    ""
)</f>
        <v/>
      </c>
      <c r="AB1986" s="62" t="str">
        <f t="shared" si="30"/>
        <v/>
      </c>
    </row>
    <row r="1987" spans="19:28" x14ac:dyDescent="0.2">
      <c r="S1987" s="34"/>
      <c r="T1987" s="60" t="str">
        <f>IF(P1987&lt;&gt;"",
    IF(OR(O1987="", Q1987="", R1987=""),
        "Fill all the required columns",
        IFERROR(
            IF(OR(
                AND(R1987="Marine Protected", VLOOKUP(O1987, Reference!$A$2:$D$34, 4, FALSE) &lt;= P1987),
                AND(R1987="General Use", VLOOKUP(O1987, Reference!$A$2:$D$34, 3, FALSE) &lt;= P1987)
            ),
                "Exceeded",
                "OK"
            ),
            "No Regulation defined"
        )
    ),
    ""
)</f>
        <v/>
      </c>
      <c r="AB1987" s="62" t="str">
        <f t="shared" ref="AB1987:AB2050" si="31">IF(COUNTA(A1987, E1987, F1987, H1987, I1987, O1987, P1987, Q1987, R1987,S1987) = 0, "", IF(COUNTA(A1987, E1987, F1987, H1987, I1987, O1987, P1987, Q1987, R1987,S1987) = 10, "OK", "Incomplete"))</f>
        <v/>
      </c>
    </row>
    <row r="1988" spans="19:28" x14ac:dyDescent="0.2">
      <c r="S1988" s="34"/>
      <c r="T1988" s="60" t="str">
        <f>IF(P1988&lt;&gt;"",
    IF(OR(O1988="", Q1988="", R1988=""),
        "Fill all the required columns",
        IFERROR(
            IF(OR(
                AND(R1988="Marine Protected", VLOOKUP(O1988, Reference!$A$2:$D$34, 4, FALSE) &lt;= P1988),
                AND(R1988="General Use", VLOOKUP(O1988, Reference!$A$2:$D$34, 3, FALSE) &lt;= P1988)
            ),
                "Exceeded",
                "OK"
            ),
            "No Regulation defined"
        )
    ),
    ""
)</f>
        <v/>
      </c>
      <c r="AB1988" s="62" t="str">
        <f t="shared" si="31"/>
        <v/>
      </c>
    </row>
    <row r="1989" spans="19:28" x14ac:dyDescent="0.2">
      <c r="S1989" s="34"/>
      <c r="T1989" s="60" t="str">
        <f>IF(P1989&lt;&gt;"",
    IF(OR(O1989="", Q1989="", R1989=""),
        "Fill all the required columns",
        IFERROR(
            IF(OR(
                AND(R1989="Marine Protected", VLOOKUP(O1989, Reference!$A$2:$D$34, 4, FALSE) &lt;= P1989),
                AND(R1989="General Use", VLOOKUP(O1989, Reference!$A$2:$D$34, 3, FALSE) &lt;= P1989)
            ),
                "Exceeded",
                "OK"
            ),
            "No Regulation defined"
        )
    ),
    ""
)</f>
        <v/>
      </c>
      <c r="AB1989" s="62" t="str">
        <f t="shared" si="31"/>
        <v/>
      </c>
    </row>
    <row r="1990" spans="19:28" x14ac:dyDescent="0.2">
      <c r="S1990" s="34"/>
      <c r="T1990" s="60" t="str">
        <f>IF(P1990&lt;&gt;"",
    IF(OR(O1990="", Q1990="", R1990=""),
        "Fill all the required columns",
        IFERROR(
            IF(OR(
                AND(R1990="Marine Protected", VLOOKUP(O1990, Reference!$A$2:$D$34, 4, FALSE) &lt;= P1990),
                AND(R1990="General Use", VLOOKUP(O1990, Reference!$A$2:$D$34, 3, FALSE) &lt;= P1990)
            ),
                "Exceeded",
                "OK"
            ),
            "No Regulation defined"
        )
    ),
    ""
)</f>
        <v/>
      </c>
      <c r="AB1990" s="62" t="str">
        <f t="shared" si="31"/>
        <v/>
      </c>
    </row>
    <row r="1991" spans="19:28" x14ac:dyDescent="0.2">
      <c r="S1991" s="34"/>
      <c r="T1991" s="60" t="str">
        <f>IF(P1991&lt;&gt;"",
    IF(OR(O1991="", Q1991="", R1991=""),
        "Fill all the required columns",
        IFERROR(
            IF(OR(
                AND(R1991="Marine Protected", VLOOKUP(O1991, Reference!$A$2:$D$34, 4, FALSE) &lt;= P1991),
                AND(R1991="General Use", VLOOKUP(O1991, Reference!$A$2:$D$34, 3, FALSE) &lt;= P1991)
            ),
                "Exceeded",
                "OK"
            ),
            "No Regulation defined"
        )
    ),
    ""
)</f>
        <v/>
      </c>
      <c r="AB1991" s="62" t="str">
        <f t="shared" si="31"/>
        <v/>
      </c>
    </row>
    <row r="1992" spans="19:28" x14ac:dyDescent="0.2">
      <c r="S1992" s="34"/>
      <c r="T1992" s="60" t="str">
        <f>IF(P1992&lt;&gt;"",
    IF(OR(O1992="", Q1992="", R1992=""),
        "Fill all the required columns",
        IFERROR(
            IF(OR(
                AND(R1992="Marine Protected", VLOOKUP(O1992, Reference!$A$2:$D$34, 4, FALSE) &lt;= P1992),
                AND(R1992="General Use", VLOOKUP(O1992, Reference!$A$2:$D$34, 3, FALSE) &lt;= P1992)
            ),
                "Exceeded",
                "OK"
            ),
            "No Regulation defined"
        )
    ),
    ""
)</f>
        <v/>
      </c>
      <c r="AB1992" s="62" t="str">
        <f t="shared" si="31"/>
        <v/>
      </c>
    </row>
    <row r="1993" spans="19:28" x14ac:dyDescent="0.2">
      <c r="S1993" s="34"/>
      <c r="T1993" s="60" t="str">
        <f>IF(P1993&lt;&gt;"",
    IF(OR(O1993="", Q1993="", R1993=""),
        "Fill all the required columns",
        IFERROR(
            IF(OR(
                AND(R1993="Marine Protected", VLOOKUP(O1993, Reference!$A$2:$D$34, 4, FALSE) &lt;= P1993),
                AND(R1993="General Use", VLOOKUP(O1993, Reference!$A$2:$D$34, 3, FALSE) &lt;= P1993)
            ),
                "Exceeded",
                "OK"
            ),
            "No Regulation defined"
        )
    ),
    ""
)</f>
        <v/>
      </c>
      <c r="AB1993" s="62" t="str">
        <f t="shared" si="31"/>
        <v/>
      </c>
    </row>
    <row r="1994" spans="19:28" x14ac:dyDescent="0.2">
      <c r="S1994" s="34"/>
      <c r="T1994" s="60" t="str">
        <f>IF(P1994&lt;&gt;"",
    IF(OR(O1994="", Q1994="", R1994=""),
        "Fill all the required columns",
        IFERROR(
            IF(OR(
                AND(R1994="Marine Protected", VLOOKUP(O1994, Reference!$A$2:$D$34, 4, FALSE) &lt;= P1994),
                AND(R1994="General Use", VLOOKUP(O1994, Reference!$A$2:$D$34, 3, FALSE) &lt;= P1994)
            ),
                "Exceeded",
                "OK"
            ),
            "No Regulation defined"
        )
    ),
    ""
)</f>
        <v/>
      </c>
      <c r="AB1994" s="62" t="str">
        <f t="shared" si="31"/>
        <v/>
      </c>
    </row>
    <row r="1995" spans="19:28" x14ac:dyDescent="0.2">
      <c r="S1995" s="34"/>
      <c r="T1995" s="60" t="str">
        <f>IF(P1995&lt;&gt;"",
    IF(OR(O1995="", Q1995="", R1995=""),
        "Fill all the required columns",
        IFERROR(
            IF(OR(
                AND(R1995="Marine Protected", VLOOKUP(O1995, Reference!$A$2:$D$34, 4, FALSE) &lt;= P1995),
                AND(R1995="General Use", VLOOKUP(O1995, Reference!$A$2:$D$34, 3, FALSE) &lt;= P1995)
            ),
                "Exceeded",
                "OK"
            ),
            "No Regulation defined"
        )
    ),
    ""
)</f>
        <v/>
      </c>
      <c r="AB1995" s="62" t="str">
        <f t="shared" si="31"/>
        <v/>
      </c>
    </row>
    <row r="1996" spans="19:28" x14ac:dyDescent="0.2">
      <c r="S1996" s="34"/>
      <c r="T1996" s="60" t="str">
        <f>IF(P1996&lt;&gt;"",
    IF(OR(O1996="", Q1996="", R1996=""),
        "Fill all the required columns",
        IFERROR(
            IF(OR(
                AND(R1996="Marine Protected", VLOOKUP(O1996, Reference!$A$2:$D$34, 4, FALSE) &lt;= P1996),
                AND(R1996="General Use", VLOOKUP(O1996, Reference!$A$2:$D$34, 3, FALSE) &lt;= P1996)
            ),
                "Exceeded",
                "OK"
            ),
            "No Regulation defined"
        )
    ),
    ""
)</f>
        <v/>
      </c>
      <c r="AB1996" s="62" t="str">
        <f t="shared" si="31"/>
        <v/>
      </c>
    </row>
    <row r="1997" spans="19:28" x14ac:dyDescent="0.2">
      <c r="S1997" s="34"/>
      <c r="T1997" s="60" t="str">
        <f>IF(P1997&lt;&gt;"",
    IF(OR(O1997="", Q1997="", R1997=""),
        "Fill all the required columns",
        IFERROR(
            IF(OR(
                AND(R1997="Marine Protected", VLOOKUP(O1997, Reference!$A$2:$D$34, 4, FALSE) &lt;= P1997),
                AND(R1997="General Use", VLOOKUP(O1997, Reference!$A$2:$D$34, 3, FALSE) &lt;= P1997)
            ),
                "Exceeded",
                "OK"
            ),
            "No Regulation defined"
        )
    ),
    ""
)</f>
        <v/>
      </c>
      <c r="AB1997" s="62" t="str">
        <f t="shared" si="31"/>
        <v/>
      </c>
    </row>
    <row r="1998" spans="19:28" x14ac:dyDescent="0.2">
      <c r="S1998" s="34"/>
      <c r="T1998" s="60" t="str">
        <f>IF(P1998&lt;&gt;"",
    IF(OR(O1998="", Q1998="", R1998=""),
        "Fill all the required columns",
        IFERROR(
            IF(OR(
                AND(R1998="Marine Protected", VLOOKUP(O1998, Reference!$A$2:$D$34, 4, FALSE) &lt;= P1998),
                AND(R1998="General Use", VLOOKUP(O1998, Reference!$A$2:$D$34, 3, FALSE) &lt;= P1998)
            ),
                "Exceeded",
                "OK"
            ),
            "No Regulation defined"
        )
    ),
    ""
)</f>
        <v/>
      </c>
      <c r="AB1998" s="62" t="str">
        <f t="shared" si="31"/>
        <v/>
      </c>
    </row>
    <row r="1999" spans="19:28" x14ac:dyDescent="0.2">
      <c r="S1999" s="34"/>
      <c r="T1999" s="60" t="str">
        <f>IF(P1999&lt;&gt;"",
    IF(OR(O1999="", Q1999="", R1999=""),
        "Fill all the required columns",
        IFERROR(
            IF(OR(
                AND(R1999="Marine Protected", VLOOKUP(O1999, Reference!$A$2:$D$34, 4, FALSE) &lt;= P1999),
                AND(R1999="General Use", VLOOKUP(O1999, Reference!$A$2:$D$34, 3, FALSE) &lt;= P1999)
            ),
                "Exceeded",
                "OK"
            ),
            "No Regulation defined"
        )
    ),
    ""
)</f>
        <v/>
      </c>
      <c r="AB1999" s="62" t="str">
        <f t="shared" si="31"/>
        <v/>
      </c>
    </row>
    <row r="2000" spans="19:28" x14ac:dyDescent="0.2">
      <c r="S2000" s="34"/>
      <c r="T2000" s="60" t="str">
        <f>IF(P2000&lt;&gt;"",
    IF(OR(O2000="", Q2000="", R2000=""),
        "Fill all the required columns",
        IFERROR(
            IF(OR(
                AND(R2000="Marine Protected", VLOOKUP(O2000, Reference!$A$2:$D$34, 4, FALSE) &lt;= P2000),
                AND(R2000="General Use", VLOOKUP(O2000, Reference!$A$2:$D$34, 3, FALSE) &lt;= P2000)
            ),
                "Exceeded",
                "OK"
            ),
            "No Regulation defined"
        )
    ),
    ""
)</f>
        <v/>
      </c>
      <c r="AB2000" s="62" t="str">
        <f t="shared" si="31"/>
        <v/>
      </c>
    </row>
    <row r="2001" spans="19:28" x14ac:dyDescent="0.2">
      <c r="S2001" s="34"/>
      <c r="T2001" s="60" t="str">
        <f>IF(P2001&lt;&gt;"",
    IF(OR(O2001="", Q2001="", R2001=""),
        "Fill all the required columns",
        IFERROR(
            IF(OR(
                AND(R2001="Marine Protected", VLOOKUP(O2001, Reference!$A$2:$D$34, 4, FALSE) &lt;= P2001),
                AND(R2001="General Use", VLOOKUP(O2001, Reference!$A$2:$D$34, 3, FALSE) &lt;= P2001)
            ),
                "Exceeded",
                "OK"
            ),
            "No Regulation defined"
        )
    ),
    ""
)</f>
        <v/>
      </c>
      <c r="AB2001" s="62" t="str">
        <f t="shared" si="31"/>
        <v/>
      </c>
    </row>
    <row r="2002" spans="19:28" x14ac:dyDescent="0.2">
      <c r="S2002" s="34"/>
      <c r="T2002" s="60" t="str">
        <f>IF(P2002&lt;&gt;"",
    IF(OR(O2002="", Q2002="", R2002=""),
        "Fill all the required columns",
        IFERROR(
            IF(OR(
                AND(R2002="Marine Protected", VLOOKUP(O2002, Reference!$A$2:$D$34, 4, FALSE) &lt;= P2002),
                AND(R2002="General Use", VLOOKUP(O2002, Reference!$A$2:$D$34, 3, FALSE) &lt;= P2002)
            ),
                "Exceeded",
                "OK"
            ),
            "No Regulation defined"
        )
    ),
    ""
)</f>
        <v/>
      </c>
      <c r="AB2002" s="62" t="str">
        <f t="shared" si="31"/>
        <v/>
      </c>
    </row>
    <row r="2003" spans="19:28" x14ac:dyDescent="0.2">
      <c r="S2003" s="34"/>
      <c r="T2003" s="60" t="str">
        <f>IF(P2003&lt;&gt;"",
    IF(OR(O2003="", Q2003="", R2003=""),
        "Fill all the required columns",
        IFERROR(
            IF(OR(
                AND(R2003="Marine Protected", VLOOKUP(O2003, Reference!$A$2:$D$34, 4, FALSE) &lt;= P2003),
                AND(R2003="General Use", VLOOKUP(O2003, Reference!$A$2:$D$34, 3, FALSE) &lt;= P2003)
            ),
                "Exceeded",
                "OK"
            ),
            "No Regulation defined"
        )
    ),
    ""
)</f>
        <v/>
      </c>
      <c r="AB2003" s="62" t="str">
        <f t="shared" si="31"/>
        <v/>
      </c>
    </row>
    <row r="2004" spans="19:28" x14ac:dyDescent="0.2">
      <c r="S2004" s="34"/>
      <c r="T2004" s="60" t="str">
        <f>IF(P2004&lt;&gt;"",
    IF(OR(O2004="", Q2004="", R2004=""),
        "Fill all the required columns",
        IFERROR(
            IF(OR(
                AND(R2004="Marine Protected", VLOOKUP(O2004, Reference!$A$2:$D$34, 4, FALSE) &lt;= P2004),
                AND(R2004="General Use", VLOOKUP(O2004, Reference!$A$2:$D$34, 3, FALSE) &lt;= P2004)
            ),
                "Exceeded",
                "OK"
            ),
            "No Regulation defined"
        )
    ),
    ""
)</f>
        <v/>
      </c>
      <c r="AB2004" s="62" t="str">
        <f t="shared" si="31"/>
        <v/>
      </c>
    </row>
    <row r="2005" spans="19:28" x14ac:dyDescent="0.2">
      <c r="S2005" s="34"/>
      <c r="T2005" s="60" t="str">
        <f>IF(P2005&lt;&gt;"",
    IF(OR(O2005="", Q2005="", R2005=""),
        "Fill all the required columns",
        IFERROR(
            IF(OR(
                AND(R2005="Marine Protected", VLOOKUP(O2005, Reference!$A$2:$D$34, 4, FALSE) &lt;= P2005),
                AND(R2005="General Use", VLOOKUP(O2005, Reference!$A$2:$D$34, 3, FALSE) &lt;= P2005)
            ),
                "Exceeded",
                "OK"
            ),
            "No Regulation defined"
        )
    ),
    ""
)</f>
        <v/>
      </c>
      <c r="AB2005" s="62" t="str">
        <f t="shared" si="31"/>
        <v/>
      </c>
    </row>
    <row r="2006" spans="19:28" x14ac:dyDescent="0.2">
      <c r="S2006" s="34"/>
      <c r="T2006" s="60" t="str">
        <f>IF(P2006&lt;&gt;"",
    IF(OR(O2006="", Q2006="", R2006=""),
        "Fill all the required columns",
        IFERROR(
            IF(OR(
                AND(R2006="Marine Protected", VLOOKUP(O2006, Reference!$A$2:$D$34, 4, FALSE) &lt;= P2006),
                AND(R2006="General Use", VLOOKUP(O2006, Reference!$A$2:$D$34, 3, FALSE) &lt;= P2006)
            ),
                "Exceeded",
                "OK"
            ),
            "No Regulation defined"
        )
    ),
    ""
)</f>
        <v/>
      </c>
      <c r="AB2006" s="62" t="str">
        <f t="shared" si="31"/>
        <v/>
      </c>
    </row>
    <row r="2007" spans="19:28" x14ac:dyDescent="0.2">
      <c r="S2007" s="34"/>
      <c r="T2007" s="60" t="str">
        <f>IF(P2007&lt;&gt;"",
    IF(OR(O2007="", Q2007="", R2007=""),
        "Fill all the required columns",
        IFERROR(
            IF(OR(
                AND(R2007="Marine Protected", VLOOKUP(O2007, Reference!$A$2:$D$34, 4, FALSE) &lt;= P2007),
                AND(R2007="General Use", VLOOKUP(O2007, Reference!$A$2:$D$34, 3, FALSE) &lt;= P2007)
            ),
                "Exceeded",
                "OK"
            ),
            "No Regulation defined"
        )
    ),
    ""
)</f>
        <v/>
      </c>
      <c r="AB2007" s="62" t="str">
        <f t="shared" si="31"/>
        <v/>
      </c>
    </row>
    <row r="2008" spans="19:28" x14ac:dyDescent="0.2">
      <c r="S2008" s="34"/>
      <c r="T2008" s="60" t="str">
        <f>IF(P2008&lt;&gt;"",
    IF(OR(O2008="", Q2008="", R2008=""),
        "Fill all the required columns",
        IFERROR(
            IF(OR(
                AND(R2008="Marine Protected", VLOOKUP(O2008, Reference!$A$2:$D$34, 4, FALSE) &lt;= P2008),
                AND(R2008="General Use", VLOOKUP(O2008, Reference!$A$2:$D$34, 3, FALSE) &lt;= P2008)
            ),
                "Exceeded",
                "OK"
            ),
            "No Regulation defined"
        )
    ),
    ""
)</f>
        <v/>
      </c>
      <c r="AB2008" s="62" t="str">
        <f t="shared" si="31"/>
        <v/>
      </c>
    </row>
    <row r="2009" spans="19:28" x14ac:dyDescent="0.2">
      <c r="S2009" s="34"/>
      <c r="T2009" s="60" t="str">
        <f>IF(P2009&lt;&gt;"",
    IF(OR(O2009="", Q2009="", R2009=""),
        "Fill all the required columns",
        IFERROR(
            IF(OR(
                AND(R2009="Marine Protected", VLOOKUP(O2009, Reference!$A$2:$D$34, 4, FALSE) &lt;= P2009),
                AND(R2009="General Use", VLOOKUP(O2009, Reference!$A$2:$D$34, 3, FALSE) &lt;= P2009)
            ),
                "Exceeded",
                "OK"
            ),
            "No Regulation defined"
        )
    ),
    ""
)</f>
        <v/>
      </c>
      <c r="AB2009" s="62" t="str">
        <f t="shared" si="31"/>
        <v/>
      </c>
    </row>
    <row r="2010" spans="19:28" x14ac:dyDescent="0.2">
      <c r="S2010" s="34"/>
      <c r="T2010" s="60" t="str">
        <f>IF(P2010&lt;&gt;"",
    IF(OR(O2010="", Q2010="", R2010=""),
        "Fill all the required columns",
        IFERROR(
            IF(OR(
                AND(R2010="Marine Protected", VLOOKUP(O2010, Reference!$A$2:$D$34, 4, FALSE) &lt;= P2010),
                AND(R2010="General Use", VLOOKUP(O2010, Reference!$A$2:$D$34, 3, FALSE) &lt;= P2010)
            ),
                "Exceeded",
                "OK"
            ),
            "No Regulation defined"
        )
    ),
    ""
)</f>
        <v/>
      </c>
      <c r="AB2010" s="62" t="str">
        <f t="shared" si="31"/>
        <v/>
      </c>
    </row>
    <row r="2011" spans="19:28" x14ac:dyDescent="0.2">
      <c r="S2011" s="34"/>
      <c r="T2011" s="60" t="str">
        <f>IF(P2011&lt;&gt;"",
    IF(OR(O2011="", Q2011="", R2011=""),
        "Fill all the required columns",
        IFERROR(
            IF(OR(
                AND(R2011="Marine Protected", VLOOKUP(O2011, Reference!$A$2:$D$34, 4, FALSE) &lt;= P2011),
                AND(R2011="General Use", VLOOKUP(O2011, Reference!$A$2:$D$34, 3, FALSE) &lt;= P2011)
            ),
                "Exceeded",
                "OK"
            ),
            "No Regulation defined"
        )
    ),
    ""
)</f>
        <v/>
      </c>
      <c r="AB2011" s="62" t="str">
        <f t="shared" si="31"/>
        <v/>
      </c>
    </row>
    <row r="2012" spans="19:28" x14ac:dyDescent="0.2">
      <c r="S2012" s="34"/>
      <c r="T2012" s="60" t="str">
        <f>IF(P2012&lt;&gt;"",
    IF(OR(O2012="", Q2012="", R2012=""),
        "Fill all the required columns",
        IFERROR(
            IF(OR(
                AND(R2012="Marine Protected", VLOOKUP(O2012, Reference!$A$2:$D$34, 4, FALSE) &lt;= P2012),
                AND(R2012="General Use", VLOOKUP(O2012, Reference!$A$2:$D$34, 3, FALSE) &lt;= P2012)
            ),
                "Exceeded",
                "OK"
            ),
            "No Regulation defined"
        )
    ),
    ""
)</f>
        <v/>
      </c>
      <c r="AB2012" s="62" t="str">
        <f t="shared" si="31"/>
        <v/>
      </c>
    </row>
    <row r="2013" spans="19:28" x14ac:dyDescent="0.2">
      <c r="S2013" s="34"/>
      <c r="T2013" s="60" t="str">
        <f>IF(P2013&lt;&gt;"",
    IF(OR(O2013="", Q2013="", R2013=""),
        "Fill all the required columns",
        IFERROR(
            IF(OR(
                AND(R2013="Marine Protected", VLOOKUP(O2013, Reference!$A$2:$D$34, 4, FALSE) &lt;= P2013),
                AND(R2013="General Use", VLOOKUP(O2013, Reference!$A$2:$D$34, 3, FALSE) &lt;= P2013)
            ),
                "Exceeded",
                "OK"
            ),
            "No Regulation defined"
        )
    ),
    ""
)</f>
        <v/>
      </c>
      <c r="AB2013" s="62" t="str">
        <f t="shared" si="31"/>
        <v/>
      </c>
    </row>
    <row r="2014" spans="19:28" x14ac:dyDescent="0.2">
      <c r="S2014" s="34"/>
      <c r="T2014" s="60" t="str">
        <f>IF(P2014&lt;&gt;"",
    IF(OR(O2014="", Q2014="", R2014=""),
        "Fill all the required columns",
        IFERROR(
            IF(OR(
                AND(R2014="Marine Protected", VLOOKUP(O2014, Reference!$A$2:$D$34, 4, FALSE) &lt;= P2014),
                AND(R2014="General Use", VLOOKUP(O2014, Reference!$A$2:$D$34, 3, FALSE) &lt;= P2014)
            ),
                "Exceeded",
                "OK"
            ),
            "No Regulation defined"
        )
    ),
    ""
)</f>
        <v/>
      </c>
      <c r="AB2014" s="62" t="str">
        <f t="shared" si="31"/>
        <v/>
      </c>
    </row>
    <row r="2015" spans="19:28" x14ac:dyDescent="0.2">
      <c r="S2015" s="34"/>
      <c r="T2015" s="60" t="str">
        <f>IF(P2015&lt;&gt;"",
    IF(OR(O2015="", Q2015="", R2015=""),
        "Fill all the required columns",
        IFERROR(
            IF(OR(
                AND(R2015="Marine Protected", VLOOKUP(O2015, Reference!$A$2:$D$34, 4, FALSE) &lt;= P2015),
                AND(R2015="General Use", VLOOKUP(O2015, Reference!$A$2:$D$34, 3, FALSE) &lt;= P2015)
            ),
                "Exceeded",
                "OK"
            ),
            "No Regulation defined"
        )
    ),
    ""
)</f>
        <v/>
      </c>
      <c r="AB2015" s="62" t="str">
        <f t="shared" si="31"/>
        <v/>
      </c>
    </row>
    <row r="2016" spans="19:28" x14ac:dyDescent="0.2">
      <c r="S2016" s="34"/>
      <c r="T2016" s="60" t="str">
        <f>IF(P2016&lt;&gt;"",
    IF(OR(O2016="", Q2016="", R2016=""),
        "Fill all the required columns",
        IFERROR(
            IF(OR(
                AND(R2016="Marine Protected", VLOOKUP(O2016, Reference!$A$2:$D$34, 4, FALSE) &lt;= P2016),
                AND(R2016="General Use", VLOOKUP(O2016, Reference!$A$2:$D$34, 3, FALSE) &lt;= P2016)
            ),
                "Exceeded",
                "OK"
            ),
            "No Regulation defined"
        )
    ),
    ""
)</f>
        <v/>
      </c>
      <c r="AB2016" s="62" t="str">
        <f t="shared" si="31"/>
        <v/>
      </c>
    </row>
    <row r="2017" spans="19:28" x14ac:dyDescent="0.2">
      <c r="S2017" s="34"/>
      <c r="T2017" s="60" t="str">
        <f>IF(P2017&lt;&gt;"",
    IF(OR(O2017="", Q2017="", R2017=""),
        "Fill all the required columns",
        IFERROR(
            IF(OR(
                AND(R2017="Marine Protected", VLOOKUP(O2017, Reference!$A$2:$D$34, 4, FALSE) &lt;= P2017),
                AND(R2017="General Use", VLOOKUP(O2017, Reference!$A$2:$D$34, 3, FALSE) &lt;= P2017)
            ),
                "Exceeded",
                "OK"
            ),
            "No Regulation defined"
        )
    ),
    ""
)</f>
        <v/>
      </c>
      <c r="AB2017" s="62" t="str">
        <f t="shared" si="31"/>
        <v/>
      </c>
    </row>
    <row r="2018" spans="19:28" x14ac:dyDescent="0.2">
      <c r="S2018" s="34"/>
      <c r="T2018" s="60" t="str">
        <f>IF(P2018&lt;&gt;"",
    IF(OR(O2018="", Q2018="", R2018=""),
        "Fill all the required columns",
        IFERROR(
            IF(OR(
                AND(R2018="Marine Protected", VLOOKUP(O2018, Reference!$A$2:$D$34, 4, FALSE) &lt;= P2018),
                AND(R2018="General Use", VLOOKUP(O2018, Reference!$A$2:$D$34, 3, FALSE) &lt;= P2018)
            ),
                "Exceeded",
                "OK"
            ),
            "No Regulation defined"
        )
    ),
    ""
)</f>
        <v/>
      </c>
      <c r="AB2018" s="62" t="str">
        <f t="shared" si="31"/>
        <v/>
      </c>
    </row>
    <row r="2019" spans="19:28" x14ac:dyDescent="0.2">
      <c r="S2019" s="34"/>
      <c r="T2019" s="60" t="str">
        <f>IF(P2019&lt;&gt;"",
    IF(OR(O2019="", Q2019="", R2019=""),
        "Fill all the required columns",
        IFERROR(
            IF(OR(
                AND(R2019="Marine Protected", VLOOKUP(O2019, Reference!$A$2:$D$34, 4, FALSE) &lt;= P2019),
                AND(R2019="General Use", VLOOKUP(O2019, Reference!$A$2:$D$34, 3, FALSE) &lt;= P2019)
            ),
                "Exceeded",
                "OK"
            ),
            "No Regulation defined"
        )
    ),
    ""
)</f>
        <v/>
      </c>
      <c r="AB2019" s="62" t="str">
        <f t="shared" si="31"/>
        <v/>
      </c>
    </row>
    <row r="2020" spans="19:28" x14ac:dyDescent="0.2">
      <c r="S2020" s="34"/>
      <c r="T2020" s="60" t="str">
        <f>IF(P2020&lt;&gt;"",
    IF(OR(O2020="", Q2020="", R2020=""),
        "Fill all the required columns",
        IFERROR(
            IF(OR(
                AND(R2020="Marine Protected", VLOOKUP(O2020, Reference!$A$2:$D$34, 4, FALSE) &lt;= P2020),
                AND(R2020="General Use", VLOOKUP(O2020, Reference!$A$2:$D$34, 3, FALSE) &lt;= P2020)
            ),
                "Exceeded",
                "OK"
            ),
            "No Regulation defined"
        )
    ),
    ""
)</f>
        <v/>
      </c>
      <c r="AB2020" s="62" t="str">
        <f t="shared" si="31"/>
        <v/>
      </c>
    </row>
    <row r="2021" spans="19:28" x14ac:dyDescent="0.2">
      <c r="S2021" s="34"/>
      <c r="T2021" s="60" t="str">
        <f>IF(P2021&lt;&gt;"",
    IF(OR(O2021="", Q2021="", R2021=""),
        "Fill all the required columns",
        IFERROR(
            IF(OR(
                AND(R2021="Marine Protected", VLOOKUP(O2021, Reference!$A$2:$D$34, 4, FALSE) &lt;= P2021),
                AND(R2021="General Use", VLOOKUP(O2021, Reference!$A$2:$D$34, 3, FALSE) &lt;= P2021)
            ),
                "Exceeded",
                "OK"
            ),
            "No Regulation defined"
        )
    ),
    ""
)</f>
        <v/>
      </c>
      <c r="AB2021" s="62" t="str">
        <f t="shared" si="31"/>
        <v/>
      </c>
    </row>
    <row r="2022" spans="19:28" x14ac:dyDescent="0.2">
      <c r="S2022" s="34"/>
      <c r="T2022" s="60" t="str">
        <f>IF(P2022&lt;&gt;"",
    IF(OR(O2022="", Q2022="", R2022=""),
        "Fill all the required columns",
        IFERROR(
            IF(OR(
                AND(R2022="Marine Protected", VLOOKUP(O2022, Reference!$A$2:$D$34, 4, FALSE) &lt;= P2022),
                AND(R2022="General Use", VLOOKUP(O2022, Reference!$A$2:$D$34, 3, FALSE) &lt;= P2022)
            ),
                "Exceeded",
                "OK"
            ),
            "No Regulation defined"
        )
    ),
    ""
)</f>
        <v/>
      </c>
      <c r="AB2022" s="62" t="str">
        <f t="shared" si="31"/>
        <v/>
      </c>
    </row>
    <row r="2023" spans="19:28" x14ac:dyDescent="0.2">
      <c r="S2023" s="34"/>
      <c r="T2023" s="60" t="str">
        <f>IF(P2023&lt;&gt;"",
    IF(OR(O2023="", Q2023="", R2023=""),
        "Fill all the required columns",
        IFERROR(
            IF(OR(
                AND(R2023="Marine Protected", VLOOKUP(O2023, Reference!$A$2:$D$34, 4, FALSE) &lt;= P2023),
                AND(R2023="General Use", VLOOKUP(O2023, Reference!$A$2:$D$34, 3, FALSE) &lt;= P2023)
            ),
                "Exceeded",
                "OK"
            ),
            "No Regulation defined"
        )
    ),
    ""
)</f>
        <v/>
      </c>
      <c r="AB2023" s="62" t="str">
        <f t="shared" si="31"/>
        <v/>
      </c>
    </row>
    <row r="2024" spans="19:28" x14ac:dyDescent="0.2">
      <c r="S2024" s="34"/>
      <c r="T2024" s="60" t="str">
        <f>IF(P2024&lt;&gt;"",
    IF(OR(O2024="", Q2024="", R2024=""),
        "Fill all the required columns",
        IFERROR(
            IF(OR(
                AND(R2024="Marine Protected", VLOOKUP(O2024, Reference!$A$2:$D$34, 4, FALSE) &lt;= P2024),
                AND(R2024="General Use", VLOOKUP(O2024, Reference!$A$2:$D$34, 3, FALSE) &lt;= P2024)
            ),
                "Exceeded",
                "OK"
            ),
            "No Regulation defined"
        )
    ),
    ""
)</f>
        <v/>
      </c>
      <c r="AB2024" s="62" t="str">
        <f t="shared" si="31"/>
        <v/>
      </c>
    </row>
    <row r="2025" spans="19:28" x14ac:dyDescent="0.2">
      <c r="S2025" s="34"/>
      <c r="T2025" s="60" t="str">
        <f>IF(P2025&lt;&gt;"",
    IF(OR(O2025="", Q2025="", R2025=""),
        "Fill all the required columns",
        IFERROR(
            IF(OR(
                AND(R2025="Marine Protected", VLOOKUP(O2025, Reference!$A$2:$D$34, 4, FALSE) &lt;= P2025),
                AND(R2025="General Use", VLOOKUP(O2025, Reference!$A$2:$D$34, 3, FALSE) &lt;= P2025)
            ),
                "Exceeded",
                "OK"
            ),
            "No Regulation defined"
        )
    ),
    ""
)</f>
        <v/>
      </c>
      <c r="AB2025" s="62" t="str">
        <f t="shared" si="31"/>
        <v/>
      </c>
    </row>
    <row r="2026" spans="19:28" x14ac:dyDescent="0.2">
      <c r="S2026" s="34"/>
      <c r="T2026" s="60" t="str">
        <f>IF(P2026&lt;&gt;"",
    IF(OR(O2026="", Q2026="", R2026=""),
        "Fill all the required columns",
        IFERROR(
            IF(OR(
                AND(R2026="Marine Protected", VLOOKUP(O2026, Reference!$A$2:$D$34, 4, FALSE) &lt;= P2026),
                AND(R2026="General Use", VLOOKUP(O2026, Reference!$A$2:$D$34, 3, FALSE) &lt;= P2026)
            ),
                "Exceeded",
                "OK"
            ),
            "No Regulation defined"
        )
    ),
    ""
)</f>
        <v/>
      </c>
      <c r="AB2026" s="62" t="str">
        <f t="shared" si="31"/>
        <v/>
      </c>
    </row>
    <row r="2027" spans="19:28" x14ac:dyDescent="0.2">
      <c r="S2027" s="34"/>
      <c r="T2027" s="60" t="str">
        <f>IF(P2027&lt;&gt;"",
    IF(OR(O2027="", Q2027="", R2027=""),
        "Fill all the required columns",
        IFERROR(
            IF(OR(
                AND(R2027="Marine Protected", VLOOKUP(O2027, Reference!$A$2:$D$34, 4, FALSE) &lt;= P2027),
                AND(R2027="General Use", VLOOKUP(O2027, Reference!$A$2:$D$34, 3, FALSE) &lt;= P2027)
            ),
                "Exceeded",
                "OK"
            ),
            "No Regulation defined"
        )
    ),
    ""
)</f>
        <v/>
      </c>
      <c r="AB2027" s="62" t="str">
        <f t="shared" si="31"/>
        <v/>
      </c>
    </row>
    <row r="2028" spans="19:28" x14ac:dyDescent="0.2">
      <c r="S2028" s="34"/>
      <c r="T2028" s="60" t="str">
        <f>IF(P2028&lt;&gt;"",
    IF(OR(O2028="", Q2028="", R2028=""),
        "Fill all the required columns",
        IFERROR(
            IF(OR(
                AND(R2028="Marine Protected", VLOOKUP(O2028, Reference!$A$2:$D$34, 4, FALSE) &lt;= P2028),
                AND(R2028="General Use", VLOOKUP(O2028, Reference!$A$2:$D$34, 3, FALSE) &lt;= P2028)
            ),
                "Exceeded",
                "OK"
            ),
            "No Regulation defined"
        )
    ),
    ""
)</f>
        <v/>
      </c>
      <c r="AB2028" s="62" t="str">
        <f t="shared" si="31"/>
        <v/>
      </c>
    </row>
    <row r="2029" spans="19:28" x14ac:dyDescent="0.2">
      <c r="S2029" s="34"/>
      <c r="T2029" s="60" t="str">
        <f>IF(P2029&lt;&gt;"",
    IF(OR(O2029="", Q2029="", R2029=""),
        "Fill all the required columns",
        IFERROR(
            IF(OR(
                AND(R2029="Marine Protected", VLOOKUP(O2029, Reference!$A$2:$D$34, 4, FALSE) &lt;= P2029),
                AND(R2029="General Use", VLOOKUP(O2029, Reference!$A$2:$D$34, 3, FALSE) &lt;= P2029)
            ),
                "Exceeded",
                "OK"
            ),
            "No Regulation defined"
        )
    ),
    ""
)</f>
        <v/>
      </c>
      <c r="AB2029" s="62" t="str">
        <f t="shared" si="31"/>
        <v/>
      </c>
    </row>
    <row r="2030" spans="19:28" x14ac:dyDescent="0.2">
      <c r="S2030" s="34"/>
      <c r="T2030" s="60" t="str">
        <f>IF(P2030&lt;&gt;"",
    IF(OR(O2030="", Q2030="", R2030=""),
        "Fill all the required columns",
        IFERROR(
            IF(OR(
                AND(R2030="Marine Protected", VLOOKUP(O2030, Reference!$A$2:$D$34, 4, FALSE) &lt;= P2030),
                AND(R2030="General Use", VLOOKUP(O2030, Reference!$A$2:$D$34, 3, FALSE) &lt;= P2030)
            ),
                "Exceeded",
                "OK"
            ),
            "No Regulation defined"
        )
    ),
    ""
)</f>
        <v/>
      </c>
      <c r="AB2030" s="62" t="str">
        <f t="shared" si="31"/>
        <v/>
      </c>
    </row>
    <row r="2031" spans="19:28" x14ac:dyDescent="0.2">
      <c r="S2031" s="34"/>
      <c r="T2031" s="60" t="str">
        <f>IF(P2031&lt;&gt;"",
    IF(OR(O2031="", Q2031="", R2031=""),
        "Fill all the required columns",
        IFERROR(
            IF(OR(
                AND(R2031="Marine Protected", VLOOKUP(O2031, Reference!$A$2:$D$34, 4, FALSE) &lt;= P2031),
                AND(R2031="General Use", VLOOKUP(O2031, Reference!$A$2:$D$34, 3, FALSE) &lt;= P2031)
            ),
                "Exceeded",
                "OK"
            ),
            "No Regulation defined"
        )
    ),
    ""
)</f>
        <v/>
      </c>
      <c r="AB2031" s="62" t="str">
        <f t="shared" si="31"/>
        <v/>
      </c>
    </row>
    <row r="2032" spans="19:28" x14ac:dyDescent="0.2">
      <c r="S2032" s="34"/>
      <c r="T2032" s="60" t="str">
        <f>IF(P2032&lt;&gt;"",
    IF(OR(O2032="", Q2032="", R2032=""),
        "Fill all the required columns",
        IFERROR(
            IF(OR(
                AND(R2032="Marine Protected", VLOOKUP(O2032, Reference!$A$2:$D$34, 4, FALSE) &lt;= P2032),
                AND(R2032="General Use", VLOOKUP(O2032, Reference!$A$2:$D$34, 3, FALSE) &lt;= P2032)
            ),
                "Exceeded",
                "OK"
            ),
            "No Regulation defined"
        )
    ),
    ""
)</f>
        <v/>
      </c>
      <c r="AB2032" s="62" t="str">
        <f t="shared" si="31"/>
        <v/>
      </c>
    </row>
    <row r="2033" spans="19:28" x14ac:dyDescent="0.2">
      <c r="S2033" s="34"/>
      <c r="T2033" s="60" t="str">
        <f>IF(P2033&lt;&gt;"",
    IF(OR(O2033="", Q2033="", R2033=""),
        "Fill all the required columns",
        IFERROR(
            IF(OR(
                AND(R2033="Marine Protected", VLOOKUP(O2033, Reference!$A$2:$D$34, 4, FALSE) &lt;= P2033),
                AND(R2033="General Use", VLOOKUP(O2033, Reference!$A$2:$D$34, 3, FALSE) &lt;= P2033)
            ),
                "Exceeded",
                "OK"
            ),
            "No Regulation defined"
        )
    ),
    ""
)</f>
        <v/>
      </c>
      <c r="AB2033" s="62" t="str">
        <f t="shared" si="31"/>
        <v/>
      </c>
    </row>
    <row r="2034" spans="19:28" x14ac:dyDescent="0.2">
      <c r="S2034" s="34"/>
      <c r="T2034" s="60" t="str">
        <f>IF(P2034&lt;&gt;"",
    IF(OR(O2034="", Q2034="", R2034=""),
        "Fill all the required columns",
        IFERROR(
            IF(OR(
                AND(R2034="Marine Protected", VLOOKUP(O2034, Reference!$A$2:$D$34, 4, FALSE) &lt;= P2034),
                AND(R2034="General Use", VLOOKUP(O2034, Reference!$A$2:$D$34, 3, FALSE) &lt;= P2034)
            ),
                "Exceeded",
                "OK"
            ),
            "No Regulation defined"
        )
    ),
    ""
)</f>
        <v/>
      </c>
      <c r="AB2034" s="62" t="str">
        <f t="shared" si="31"/>
        <v/>
      </c>
    </row>
    <row r="2035" spans="19:28" x14ac:dyDescent="0.2">
      <c r="S2035" s="34"/>
      <c r="T2035" s="60" t="str">
        <f>IF(P2035&lt;&gt;"",
    IF(OR(O2035="", Q2035="", R2035=""),
        "Fill all the required columns",
        IFERROR(
            IF(OR(
                AND(R2035="Marine Protected", VLOOKUP(O2035, Reference!$A$2:$D$34, 4, FALSE) &lt;= P2035),
                AND(R2035="General Use", VLOOKUP(O2035, Reference!$A$2:$D$34, 3, FALSE) &lt;= P2035)
            ),
                "Exceeded",
                "OK"
            ),
            "No Regulation defined"
        )
    ),
    ""
)</f>
        <v/>
      </c>
      <c r="AB2035" s="62" t="str">
        <f t="shared" si="31"/>
        <v/>
      </c>
    </row>
    <row r="2036" spans="19:28" x14ac:dyDescent="0.2">
      <c r="S2036" s="34"/>
      <c r="T2036" s="60" t="str">
        <f>IF(P2036&lt;&gt;"",
    IF(OR(O2036="", Q2036="", R2036=""),
        "Fill all the required columns",
        IFERROR(
            IF(OR(
                AND(R2036="Marine Protected", VLOOKUP(O2036, Reference!$A$2:$D$34, 4, FALSE) &lt;= P2036),
                AND(R2036="General Use", VLOOKUP(O2036, Reference!$A$2:$D$34, 3, FALSE) &lt;= P2036)
            ),
                "Exceeded",
                "OK"
            ),
            "No Regulation defined"
        )
    ),
    ""
)</f>
        <v/>
      </c>
      <c r="AB2036" s="62" t="str">
        <f t="shared" si="31"/>
        <v/>
      </c>
    </row>
    <row r="2037" spans="19:28" x14ac:dyDescent="0.2">
      <c r="S2037" s="34"/>
      <c r="T2037" s="60" t="str">
        <f>IF(P2037&lt;&gt;"",
    IF(OR(O2037="", Q2037="", R2037=""),
        "Fill all the required columns",
        IFERROR(
            IF(OR(
                AND(R2037="Marine Protected", VLOOKUP(O2037, Reference!$A$2:$D$34, 4, FALSE) &lt;= P2037),
                AND(R2037="General Use", VLOOKUP(O2037, Reference!$A$2:$D$34, 3, FALSE) &lt;= P2037)
            ),
                "Exceeded",
                "OK"
            ),
            "No Regulation defined"
        )
    ),
    ""
)</f>
        <v/>
      </c>
      <c r="AB2037" s="62" t="str">
        <f t="shared" si="31"/>
        <v/>
      </c>
    </row>
    <row r="2038" spans="19:28" x14ac:dyDescent="0.2">
      <c r="S2038" s="34"/>
      <c r="T2038" s="60" t="str">
        <f>IF(P2038&lt;&gt;"",
    IF(OR(O2038="", Q2038="", R2038=""),
        "Fill all the required columns",
        IFERROR(
            IF(OR(
                AND(R2038="Marine Protected", VLOOKUP(O2038, Reference!$A$2:$D$34, 4, FALSE) &lt;= P2038),
                AND(R2038="General Use", VLOOKUP(O2038, Reference!$A$2:$D$34, 3, FALSE) &lt;= P2038)
            ),
                "Exceeded",
                "OK"
            ),
            "No Regulation defined"
        )
    ),
    ""
)</f>
        <v/>
      </c>
      <c r="AB2038" s="62" t="str">
        <f t="shared" si="31"/>
        <v/>
      </c>
    </row>
    <row r="2039" spans="19:28" x14ac:dyDescent="0.2">
      <c r="S2039" s="34"/>
      <c r="T2039" s="60" t="str">
        <f>IF(P2039&lt;&gt;"",
    IF(OR(O2039="", Q2039="", R2039=""),
        "Fill all the required columns",
        IFERROR(
            IF(OR(
                AND(R2039="Marine Protected", VLOOKUP(O2039, Reference!$A$2:$D$34, 4, FALSE) &lt;= P2039),
                AND(R2039="General Use", VLOOKUP(O2039, Reference!$A$2:$D$34, 3, FALSE) &lt;= P2039)
            ),
                "Exceeded",
                "OK"
            ),
            "No Regulation defined"
        )
    ),
    ""
)</f>
        <v/>
      </c>
      <c r="AB2039" s="62" t="str">
        <f t="shared" si="31"/>
        <v/>
      </c>
    </row>
    <row r="2040" spans="19:28" x14ac:dyDescent="0.2">
      <c r="S2040" s="34"/>
      <c r="T2040" s="60" t="str">
        <f>IF(P2040&lt;&gt;"",
    IF(OR(O2040="", Q2040="", R2040=""),
        "Fill all the required columns",
        IFERROR(
            IF(OR(
                AND(R2040="Marine Protected", VLOOKUP(O2040, Reference!$A$2:$D$34, 4, FALSE) &lt;= P2040),
                AND(R2040="General Use", VLOOKUP(O2040, Reference!$A$2:$D$34, 3, FALSE) &lt;= P2040)
            ),
                "Exceeded",
                "OK"
            ),
            "No Regulation defined"
        )
    ),
    ""
)</f>
        <v/>
      </c>
      <c r="AB2040" s="62" t="str">
        <f t="shared" si="31"/>
        <v/>
      </c>
    </row>
    <row r="2041" spans="19:28" x14ac:dyDescent="0.2">
      <c r="S2041" s="34"/>
      <c r="T2041" s="60" t="str">
        <f>IF(P2041&lt;&gt;"",
    IF(OR(O2041="", Q2041="", R2041=""),
        "Fill all the required columns",
        IFERROR(
            IF(OR(
                AND(R2041="Marine Protected", VLOOKUP(O2041, Reference!$A$2:$D$34, 4, FALSE) &lt;= P2041),
                AND(R2041="General Use", VLOOKUP(O2041, Reference!$A$2:$D$34, 3, FALSE) &lt;= P2041)
            ),
                "Exceeded",
                "OK"
            ),
            "No Regulation defined"
        )
    ),
    ""
)</f>
        <v/>
      </c>
      <c r="AB2041" s="62" t="str">
        <f t="shared" si="31"/>
        <v/>
      </c>
    </row>
    <row r="2042" spans="19:28" x14ac:dyDescent="0.2">
      <c r="S2042" s="34"/>
      <c r="T2042" s="60" t="str">
        <f>IF(P2042&lt;&gt;"",
    IF(OR(O2042="", Q2042="", R2042=""),
        "Fill all the required columns",
        IFERROR(
            IF(OR(
                AND(R2042="Marine Protected", VLOOKUP(O2042, Reference!$A$2:$D$34, 4, FALSE) &lt;= P2042),
                AND(R2042="General Use", VLOOKUP(O2042, Reference!$A$2:$D$34, 3, FALSE) &lt;= P2042)
            ),
                "Exceeded",
                "OK"
            ),
            "No Regulation defined"
        )
    ),
    ""
)</f>
        <v/>
      </c>
      <c r="AB2042" s="62" t="str">
        <f t="shared" si="31"/>
        <v/>
      </c>
    </row>
    <row r="2043" spans="19:28" x14ac:dyDescent="0.2">
      <c r="S2043" s="34"/>
      <c r="T2043" s="60" t="str">
        <f>IF(P2043&lt;&gt;"",
    IF(OR(O2043="", Q2043="", R2043=""),
        "Fill all the required columns",
        IFERROR(
            IF(OR(
                AND(R2043="Marine Protected", VLOOKUP(O2043, Reference!$A$2:$D$34, 4, FALSE) &lt;= P2043),
                AND(R2043="General Use", VLOOKUP(O2043, Reference!$A$2:$D$34, 3, FALSE) &lt;= P2043)
            ),
                "Exceeded",
                "OK"
            ),
            "No Regulation defined"
        )
    ),
    ""
)</f>
        <v/>
      </c>
      <c r="AB2043" s="62" t="str">
        <f t="shared" si="31"/>
        <v/>
      </c>
    </row>
    <row r="2044" spans="19:28" x14ac:dyDescent="0.2">
      <c r="S2044" s="34"/>
      <c r="T2044" s="60" t="str">
        <f>IF(P2044&lt;&gt;"",
    IF(OR(O2044="", Q2044="", R2044=""),
        "Fill all the required columns",
        IFERROR(
            IF(OR(
                AND(R2044="Marine Protected", VLOOKUP(O2044, Reference!$A$2:$D$34, 4, FALSE) &lt;= P2044),
                AND(R2044="General Use", VLOOKUP(O2044, Reference!$A$2:$D$34, 3, FALSE) &lt;= P2044)
            ),
                "Exceeded",
                "OK"
            ),
            "No Regulation defined"
        )
    ),
    ""
)</f>
        <v/>
      </c>
      <c r="AB2044" s="62" t="str">
        <f t="shared" si="31"/>
        <v/>
      </c>
    </row>
    <row r="2045" spans="19:28" x14ac:dyDescent="0.2">
      <c r="S2045" s="34"/>
      <c r="T2045" s="60" t="str">
        <f>IF(P2045&lt;&gt;"",
    IF(OR(O2045="", Q2045="", R2045=""),
        "Fill all the required columns",
        IFERROR(
            IF(OR(
                AND(R2045="Marine Protected", VLOOKUP(O2045, Reference!$A$2:$D$34, 4, FALSE) &lt;= P2045),
                AND(R2045="General Use", VLOOKUP(O2045, Reference!$A$2:$D$34, 3, FALSE) &lt;= P2045)
            ),
                "Exceeded",
                "OK"
            ),
            "No Regulation defined"
        )
    ),
    ""
)</f>
        <v/>
      </c>
      <c r="AB2045" s="62" t="str">
        <f t="shared" si="31"/>
        <v/>
      </c>
    </row>
    <row r="2046" spans="19:28" x14ac:dyDescent="0.2">
      <c r="S2046" s="34"/>
      <c r="T2046" s="60" t="str">
        <f>IF(P2046&lt;&gt;"",
    IF(OR(O2046="", Q2046="", R2046=""),
        "Fill all the required columns",
        IFERROR(
            IF(OR(
                AND(R2046="Marine Protected", VLOOKUP(O2046, Reference!$A$2:$D$34, 4, FALSE) &lt;= P2046),
                AND(R2046="General Use", VLOOKUP(O2046, Reference!$A$2:$D$34, 3, FALSE) &lt;= P2046)
            ),
                "Exceeded",
                "OK"
            ),
            "No Regulation defined"
        )
    ),
    ""
)</f>
        <v/>
      </c>
      <c r="AB2046" s="62" t="str">
        <f t="shared" si="31"/>
        <v/>
      </c>
    </row>
    <row r="2047" spans="19:28" x14ac:dyDescent="0.2">
      <c r="S2047" s="34"/>
      <c r="T2047" s="60" t="str">
        <f>IF(P2047&lt;&gt;"",
    IF(OR(O2047="", Q2047="", R2047=""),
        "Fill all the required columns",
        IFERROR(
            IF(OR(
                AND(R2047="Marine Protected", VLOOKUP(O2047, Reference!$A$2:$D$34, 4, FALSE) &lt;= P2047),
                AND(R2047="General Use", VLOOKUP(O2047, Reference!$A$2:$D$34, 3, FALSE) &lt;= P2047)
            ),
                "Exceeded",
                "OK"
            ),
            "No Regulation defined"
        )
    ),
    ""
)</f>
        <v/>
      </c>
      <c r="AB2047" s="62" t="str">
        <f t="shared" si="31"/>
        <v/>
      </c>
    </row>
    <row r="2048" spans="19:28" x14ac:dyDescent="0.2">
      <c r="S2048" s="34"/>
      <c r="T2048" s="60" t="str">
        <f>IF(P2048&lt;&gt;"",
    IF(OR(O2048="", Q2048="", R2048=""),
        "Fill all the required columns",
        IFERROR(
            IF(OR(
                AND(R2048="Marine Protected", VLOOKUP(O2048, Reference!$A$2:$D$34, 4, FALSE) &lt;= P2048),
                AND(R2048="General Use", VLOOKUP(O2048, Reference!$A$2:$D$34, 3, FALSE) &lt;= P2048)
            ),
                "Exceeded",
                "OK"
            ),
            "No Regulation defined"
        )
    ),
    ""
)</f>
        <v/>
      </c>
      <c r="AB2048" s="62" t="str">
        <f t="shared" si="31"/>
        <v/>
      </c>
    </row>
    <row r="2049" spans="19:28" x14ac:dyDescent="0.2">
      <c r="S2049" s="34"/>
      <c r="T2049" s="60" t="str">
        <f>IF(P2049&lt;&gt;"",
    IF(OR(O2049="", Q2049="", R2049=""),
        "Fill all the required columns",
        IFERROR(
            IF(OR(
                AND(R2049="Marine Protected", VLOOKUP(O2049, Reference!$A$2:$D$34, 4, FALSE) &lt;= P2049),
                AND(R2049="General Use", VLOOKUP(O2049, Reference!$A$2:$D$34, 3, FALSE) &lt;= P2049)
            ),
                "Exceeded",
                "OK"
            ),
            "No Regulation defined"
        )
    ),
    ""
)</f>
        <v/>
      </c>
      <c r="AB2049" s="62" t="str">
        <f t="shared" si="31"/>
        <v/>
      </c>
    </row>
    <row r="2050" spans="19:28" x14ac:dyDescent="0.2">
      <c r="S2050" s="34"/>
      <c r="T2050" s="60" t="str">
        <f>IF(P2050&lt;&gt;"",
    IF(OR(O2050="", Q2050="", R2050=""),
        "Fill all the required columns",
        IFERROR(
            IF(OR(
                AND(R2050="Marine Protected", VLOOKUP(O2050, Reference!$A$2:$D$34, 4, FALSE) &lt;= P2050),
                AND(R2050="General Use", VLOOKUP(O2050, Reference!$A$2:$D$34, 3, FALSE) &lt;= P2050)
            ),
                "Exceeded",
                "OK"
            ),
            "No Regulation defined"
        )
    ),
    ""
)</f>
        <v/>
      </c>
      <c r="AB2050" s="62" t="str">
        <f t="shared" si="31"/>
        <v/>
      </c>
    </row>
    <row r="2051" spans="19:28" x14ac:dyDescent="0.2">
      <c r="S2051" s="34"/>
      <c r="T2051" s="60" t="str">
        <f>IF(P2051&lt;&gt;"",
    IF(OR(O2051="", Q2051="", R2051=""),
        "Fill all the required columns",
        IFERROR(
            IF(OR(
                AND(R2051="Marine Protected", VLOOKUP(O2051, Reference!$A$2:$D$34, 4, FALSE) &lt;= P2051),
                AND(R2051="General Use", VLOOKUP(O2051, Reference!$A$2:$D$34, 3, FALSE) &lt;= P2051)
            ),
                "Exceeded",
                "OK"
            ),
            "No Regulation defined"
        )
    ),
    ""
)</f>
        <v/>
      </c>
      <c r="AB2051" s="62" t="str">
        <f t="shared" ref="AB2051:AB2114" si="32">IF(COUNTA(A2051, E2051, F2051, H2051, I2051, O2051, P2051, Q2051, R2051,S2051) = 0, "", IF(COUNTA(A2051, E2051, F2051, H2051, I2051, O2051, P2051, Q2051, R2051,S2051) = 10, "OK", "Incomplete"))</f>
        <v/>
      </c>
    </row>
    <row r="2052" spans="19:28" x14ac:dyDescent="0.2">
      <c r="S2052" s="34"/>
      <c r="T2052" s="60" t="str">
        <f>IF(P2052&lt;&gt;"",
    IF(OR(O2052="", Q2052="", R2052=""),
        "Fill all the required columns",
        IFERROR(
            IF(OR(
                AND(R2052="Marine Protected", VLOOKUP(O2052, Reference!$A$2:$D$34, 4, FALSE) &lt;= P2052),
                AND(R2052="General Use", VLOOKUP(O2052, Reference!$A$2:$D$34, 3, FALSE) &lt;= P2052)
            ),
                "Exceeded",
                "OK"
            ),
            "No Regulation defined"
        )
    ),
    ""
)</f>
        <v/>
      </c>
      <c r="AB2052" s="62" t="str">
        <f t="shared" si="32"/>
        <v/>
      </c>
    </row>
    <row r="2053" spans="19:28" x14ac:dyDescent="0.2">
      <c r="S2053" s="34"/>
      <c r="T2053" s="60" t="str">
        <f>IF(P2053&lt;&gt;"",
    IF(OR(O2053="", Q2053="", R2053=""),
        "Fill all the required columns",
        IFERROR(
            IF(OR(
                AND(R2053="Marine Protected", VLOOKUP(O2053, Reference!$A$2:$D$34, 4, FALSE) &lt;= P2053),
                AND(R2053="General Use", VLOOKUP(O2053, Reference!$A$2:$D$34, 3, FALSE) &lt;= P2053)
            ),
                "Exceeded",
                "OK"
            ),
            "No Regulation defined"
        )
    ),
    ""
)</f>
        <v/>
      </c>
      <c r="AB2053" s="62" t="str">
        <f t="shared" si="32"/>
        <v/>
      </c>
    </row>
    <row r="2054" spans="19:28" x14ac:dyDescent="0.2">
      <c r="S2054" s="34"/>
      <c r="T2054" s="60" t="str">
        <f>IF(P2054&lt;&gt;"",
    IF(OR(O2054="", Q2054="", R2054=""),
        "Fill all the required columns",
        IFERROR(
            IF(OR(
                AND(R2054="Marine Protected", VLOOKUP(O2054, Reference!$A$2:$D$34, 4, FALSE) &lt;= P2054),
                AND(R2054="General Use", VLOOKUP(O2054, Reference!$A$2:$D$34, 3, FALSE) &lt;= P2054)
            ),
                "Exceeded",
                "OK"
            ),
            "No Regulation defined"
        )
    ),
    ""
)</f>
        <v/>
      </c>
      <c r="AB2054" s="62" t="str">
        <f t="shared" si="32"/>
        <v/>
      </c>
    </row>
    <row r="2055" spans="19:28" x14ac:dyDescent="0.2">
      <c r="S2055" s="34"/>
      <c r="T2055" s="60" t="str">
        <f>IF(P2055&lt;&gt;"",
    IF(OR(O2055="", Q2055="", R2055=""),
        "Fill all the required columns",
        IFERROR(
            IF(OR(
                AND(R2055="Marine Protected", VLOOKUP(O2055, Reference!$A$2:$D$34, 4, FALSE) &lt;= P2055),
                AND(R2055="General Use", VLOOKUP(O2055, Reference!$A$2:$D$34, 3, FALSE) &lt;= P2055)
            ),
                "Exceeded",
                "OK"
            ),
            "No Regulation defined"
        )
    ),
    ""
)</f>
        <v/>
      </c>
      <c r="AB2055" s="62" t="str">
        <f t="shared" si="32"/>
        <v/>
      </c>
    </row>
    <row r="2056" spans="19:28" x14ac:dyDescent="0.2">
      <c r="S2056" s="34"/>
      <c r="T2056" s="60" t="str">
        <f>IF(P2056&lt;&gt;"",
    IF(OR(O2056="", Q2056="", R2056=""),
        "Fill all the required columns",
        IFERROR(
            IF(OR(
                AND(R2056="Marine Protected", VLOOKUP(O2056, Reference!$A$2:$D$34, 4, FALSE) &lt;= P2056),
                AND(R2056="General Use", VLOOKUP(O2056, Reference!$A$2:$D$34, 3, FALSE) &lt;= P2056)
            ),
                "Exceeded",
                "OK"
            ),
            "No Regulation defined"
        )
    ),
    ""
)</f>
        <v/>
      </c>
      <c r="AB2056" s="62" t="str">
        <f t="shared" si="32"/>
        <v/>
      </c>
    </row>
    <row r="2057" spans="19:28" x14ac:dyDescent="0.2">
      <c r="S2057" s="34"/>
      <c r="T2057" s="60" t="str">
        <f>IF(P2057&lt;&gt;"",
    IF(OR(O2057="", Q2057="", R2057=""),
        "Fill all the required columns",
        IFERROR(
            IF(OR(
                AND(R2057="Marine Protected", VLOOKUP(O2057, Reference!$A$2:$D$34, 4, FALSE) &lt;= P2057),
                AND(R2057="General Use", VLOOKUP(O2057, Reference!$A$2:$D$34, 3, FALSE) &lt;= P2057)
            ),
                "Exceeded",
                "OK"
            ),
            "No Regulation defined"
        )
    ),
    ""
)</f>
        <v/>
      </c>
      <c r="AB2057" s="62" t="str">
        <f t="shared" si="32"/>
        <v/>
      </c>
    </row>
    <row r="2058" spans="19:28" x14ac:dyDescent="0.2">
      <c r="S2058" s="34"/>
      <c r="T2058" s="60" t="str">
        <f>IF(P2058&lt;&gt;"",
    IF(OR(O2058="", Q2058="", R2058=""),
        "Fill all the required columns",
        IFERROR(
            IF(OR(
                AND(R2058="Marine Protected", VLOOKUP(O2058, Reference!$A$2:$D$34, 4, FALSE) &lt;= P2058),
                AND(R2058="General Use", VLOOKUP(O2058, Reference!$A$2:$D$34, 3, FALSE) &lt;= P2058)
            ),
                "Exceeded",
                "OK"
            ),
            "No Regulation defined"
        )
    ),
    ""
)</f>
        <v/>
      </c>
      <c r="AB2058" s="62" t="str">
        <f t="shared" si="32"/>
        <v/>
      </c>
    </row>
    <row r="2059" spans="19:28" x14ac:dyDescent="0.2">
      <c r="S2059" s="34"/>
      <c r="T2059" s="60" t="str">
        <f>IF(P2059&lt;&gt;"",
    IF(OR(O2059="", Q2059="", R2059=""),
        "Fill all the required columns",
        IFERROR(
            IF(OR(
                AND(R2059="Marine Protected", VLOOKUP(O2059, Reference!$A$2:$D$34, 4, FALSE) &lt;= P2059),
                AND(R2059="General Use", VLOOKUP(O2059, Reference!$A$2:$D$34, 3, FALSE) &lt;= P2059)
            ),
                "Exceeded",
                "OK"
            ),
            "No Regulation defined"
        )
    ),
    ""
)</f>
        <v/>
      </c>
      <c r="AB2059" s="62" t="str">
        <f t="shared" si="32"/>
        <v/>
      </c>
    </row>
    <row r="2060" spans="19:28" x14ac:dyDescent="0.2">
      <c r="S2060" s="34"/>
      <c r="T2060" s="60" t="str">
        <f>IF(P2060&lt;&gt;"",
    IF(OR(O2060="", Q2060="", R2060=""),
        "Fill all the required columns",
        IFERROR(
            IF(OR(
                AND(R2060="Marine Protected", VLOOKUP(O2060, Reference!$A$2:$D$34, 4, FALSE) &lt;= P2060),
                AND(R2060="General Use", VLOOKUP(O2060, Reference!$A$2:$D$34, 3, FALSE) &lt;= P2060)
            ),
                "Exceeded",
                "OK"
            ),
            "No Regulation defined"
        )
    ),
    ""
)</f>
        <v/>
      </c>
      <c r="AB2060" s="62" t="str">
        <f t="shared" si="32"/>
        <v/>
      </c>
    </row>
    <row r="2061" spans="19:28" x14ac:dyDescent="0.2">
      <c r="S2061" s="34"/>
      <c r="T2061" s="60" t="str">
        <f>IF(P2061&lt;&gt;"",
    IF(OR(O2061="", Q2061="", R2061=""),
        "Fill all the required columns",
        IFERROR(
            IF(OR(
                AND(R2061="Marine Protected", VLOOKUP(O2061, Reference!$A$2:$D$34, 4, FALSE) &lt;= P2061),
                AND(R2061="General Use", VLOOKUP(O2061, Reference!$A$2:$D$34, 3, FALSE) &lt;= P2061)
            ),
                "Exceeded",
                "OK"
            ),
            "No Regulation defined"
        )
    ),
    ""
)</f>
        <v/>
      </c>
      <c r="AB2061" s="62" t="str">
        <f t="shared" si="32"/>
        <v/>
      </c>
    </row>
    <row r="2062" spans="19:28" x14ac:dyDescent="0.2">
      <c r="S2062" s="34"/>
      <c r="T2062" s="60" t="str">
        <f>IF(P2062&lt;&gt;"",
    IF(OR(O2062="", Q2062="", R2062=""),
        "Fill all the required columns",
        IFERROR(
            IF(OR(
                AND(R2062="Marine Protected", VLOOKUP(O2062, Reference!$A$2:$D$34, 4, FALSE) &lt;= P2062),
                AND(R2062="General Use", VLOOKUP(O2062, Reference!$A$2:$D$34, 3, FALSE) &lt;= P2062)
            ),
                "Exceeded",
                "OK"
            ),
            "No Regulation defined"
        )
    ),
    ""
)</f>
        <v/>
      </c>
      <c r="AB2062" s="62" t="str">
        <f t="shared" si="32"/>
        <v/>
      </c>
    </row>
    <row r="2063" spans="19:28" x14ac:dyDescent="0.2">
      <c r="S2063" s="34"/>
      <c r="T2063" s="60" t="str">
        <f>IF(P2063&lt;&gt;"",
    IF(OR(O2063="", Q2063="", R2063=""),
        "Fill all the required columns",
        IFERROR(
            IF(OR(
                AND(R2063="Marine Protected", VLOOKUP(O2063, Reference!$A$2:$D$34, 4, FALSE) &lt;= P2063),
                AND(R2063="General Use", VLOOKUP(O2063, Reference!$A$2:$D$34, 3, FALSE) &lt;= P2063)
            ),
                "Exceeded",
                "OK"
            ),
            "No Regulation defined"
        )
    ),
    ""
)</f>
        <v/>
      </c>
      <c r="AB2063" s="62" t="str">
        <f t="shared" si="32"/>
        <v/>
      </c>
    </row>
    <row r="2064" spans="19:28" x14ac:dyDescent="0.2">
      <c r="S2064" s="34"/>
      <c r="T2064" s="60" t="str">
        <f>IF(P2064&lt;&gt;"",
    IF(OR(O2064="", Q2064="", R2064=""),
        "Fill all the required columns",
        IFERROR(
            IF(OR(
                AND(R2064="Marine Protected", VLOOKUP(O2064, Reference!$A$2:$D$34, 4, FALSE) &lt;= P2064),
                AND(R2064="General Use", VLOOKUP(O2064, Reference!$A$2:$D$34, 3, FALSE) &lt;= P2064)
            ),
                "Exceeded",
                "OK"
            ),
            "No Regulation defined"
        )
    ),
    ""
)</f>
        <v/>
      </c>
      <c r="AB2064" s="62" t="str">
        <f t="shared" si="32"/>
        <v/>
      </c>
    </row>
    <row r="2065" spans="19:28" x14ac:dyDescent="0.2">
      <c r="S2065" s="34"/>
      <c r="T2065" s="60" t="str">
        <f>IF(P2065&lt;&gt;"",
    IF(OR(O2065="", Q2065="", R2065=""),
        "Fill all the required columns",
        IFERROR(
            IF(OR(
                AND(R2065="Marine Protected", VLOOKUP(O2065, Reference!$A$2:$D$34, 4, FALSE) &lt;= P2065),
                AND(R2065="General Use", VLOOKUP(O2065, Reference!$A$2:$D$34, 3, FALSE) &lt;= P2065)
            ),
                "Exceeded",
                "OK"
            ),
            "No Regulation defined"
        )
    ),
    ""
)</f>
        <v/>
      </c>
      <c r="AB2065" s="62" t="str">
        <f t="shared" si="32"/>
        <v/>
      </c>
    </row>
    <row r="2066" spans="19:28" x14ac:dyDescent="0.2">
      <c r="S2066" s="34"/>
      <c r="T2066" s="60" t="str">
        <f>IF(P2066&lt;&gt;"",
    IF(OR(O2066="", Q2066="", R2066=""),
        "Fill all the required columns",
        IFERROR(
            IF(OR(
                AND(R2066="Marine Protected", VLOOKUP(O2066, Reference!$A$2:$D$34, 4, FALSE) &lt;= P2066),
                AND(R2066="General Use", VLOOKUP(O2066, Reference!$A$2:$D$34, 3, FALSE) &lt;= P2066)
            ),
                "Exceeded",
                "OK"
            ),
            "No Regulation defined"
        )
    ),
    ""
)</f>
        <v/>
      </c>
      <c r="AB2066" s="62" t="str">
        <f t="shared" si="32"/>
        <v/>
      </c>
    </row>
    <row r="2067" spans="19:28" x14ac:dyDescent="0.2">
      <c r="S2067" s="34"/>
      <c r="T2067" s="60" t="str">
        <f>IF(P2067&lt;&gt;"",
    IF(OR(O2067="", Q2067="", R2067=""),
        "Fill all the required columns",
        IFERROR(
            IF(OR(
                AND(R2067="Marine Protected", VLOOKUP(O2067, Reference!$A$2:$D$34, 4, FALSE) &lt;= P2067),
                AND(R2067="General Use", VLOOKUP(O2067, Reference!$A$2:$D$34, 3, FALSE) &lt;= P2067)
            ),
                "Exceeded",
                "OK"
            ),
            "No Regulation defined"
        )
    ),
    ""
)</f>
        <v/>
      </c>
      <c r="AB2067" s="62" t="str">
        <f t="shared" si="32"/>
        <v/>
      </c>
    </row>
    <row r="2068" spans="19:28" x14ac:dyDescent="0.2">
      <c r="S2068" s="34"/>
      <c r="T2068" s="60" t="str">
        <f>IF(P2068&lt;&gt;"",
    IF(OR(O2068="", Q2068="", R2068=""),
        "Fill all the required columns",
        IFERROR(
            IF(OR(
                AND(R2068="Marine Protected", VLOOKUP(O2068, Reference!$A$2:$D$34, 4, FALSE) &lt;= P2068),
                AND(R2068="General Use", VLOOKUP(O2068, Reference!$A$2:$D$34, 3, FALSE) &lt;= P2068)
            ),
                "Exceeded",
                "OK"
            ),
            "No Regulation defined"
        )
    ),
    ""
)</f>
        <v/>
      </c>
      <c r="AB2068" s="62" t="str">
        <f t="shared" si="32"/>
        <v/>
      </c>
    </row>
    <row r="2069" spans="19:28" x14ac:dyDescent="0.2">
      <c r="S2069" s="34"/>
      <c r="T2069" s="60" t="str">
        <f>IF(P2069&lt;&gt;"",
    IF(OR(O2069="", Q2069="", R2069=""),
        "Fill all the required columns",
        IFERROR(
            IF(OR(
                AND(R2069="Marine Protected", VLOOKUP(O2069, Reference!$A$2:$D$34, 4, FALSE) &lt;= P2069),
                AND(R2069="General Use", VLOOKUP(O2069, Reference!$A$2:$D$34, 3, FALSE) &lt;= P2069)
            ),
                "Exceeded",
                "OK"
            ),
            "No Regulation defined"
        )
    ),
    ""
)</f>
        <v/>
      </c>
      <c r="AB2069" s="62" t="str">
        <f t="shared" si="32"/>
        <v/>
      </c>
    </row>
    <row r="2070" spans="19:28" x14ac:dyDescent="0.2">
      <c r="S2070" s="34"/>
      <c r="T2070" s="60" t="str">
        <f>IF(P2070&lt;&gt;"",
    IF(OR(O2070="", Q2070="", R2070=""),
        "Fill all the required columns",
        IFERROR(
            IF(OR(
                AND(R2070="Marine Protected", VLOOKUP(O2070, Reference!$A$2:$D$34, 4, FALSE) &lt;= P2070),
                AND(R2070="General Use", VLOOKUP(O2070, Reference!$A$2:$D$34, 3, FALSE) &lt;= P2070)
            ),
                "Exceeded",
                "OK"
            ),
            "No Regulation defined"
        )
    ),
    ""
)</f>
        <v/>
      </c>
      <c r="AB2070" s="62" t="str">
        <f t="shared" si="32"/>
        <v/>
      </c>
    </row>
    <row r="2071" spans="19:28" x14ac:dyDescent="0.2">
      <c r="S2071" s="34"/>
      <c r="T2071" s="60" t="str">
        <f>IF(P2071&lt;&gt;"",
    IF(OR(O2071="", Q2071="", R2071=""),
        "Fill all the required columns",
        IFERROR(
            IF(OR(
                AND(R2071="Marine Protected", VLOOKUP(O2071, Reference!$A$2:$D$34, 4, FALSE) &lt;= P2071),
                AND(R2071="General Use", VLOOKUP(O2071, Reference!$A$2:$D$34, 3, FALSE) &lt;= P2071)
            ),
                "Exceeded",
                "OK"
            ),
            "No Regulation defined"
        )
    ),
    ""
)</f>
        <v/>
      </c>
      <c r="AB2071" s="62" t="str">
        <f t="shared" si="32"/>
        <v/>
      </c>
    </row>
    <row r="2072" spans="19:28" x14ac:dyDescent="0.2">
      <c r="S2072" s="34"/>
      <c r="T2072" s="60" t="str">
        <f>IF(P2072&lt;&gt;"",
    IF(OR(O2072="", Q2072="", R2072=""),
        "Fill all the required columns",
        IFERROR(
            IF(OR(
                AND(R2072="Marine Protected", VLOOKUP(O2072, Reference!$A$2:$D$34, 4, FALSE) &lt;= P2072),
                AND(R2072="General Use", VLOOKUP(O2072, Reference!$A$2:$D$34, 3, FALSE) &lt;= P2072)
            ),
                "Exceeded",
                "OK"
            ),
            "No Regulation defined"
        )
    ),
    ""
)</f>
        <v/>
      </c>
      <c r="AB2072" s="62" t="str">
        <f t="shared" si="32"/>
        <v/>
      </c>
    </row>
    <row r="2073" spans="19:28" x14ac:dyDescent="0.2">
      <c r="S2073" s="34"/>
      <c r="T2073" s="60" t="str">
        <f>IF(P2073&lt;&gt;"",
    IF(OR(O2073="", Q2073="", R2073=""),
        "Fill all the required columns",
        IFERROR(
            IF(OR(
                AND(R2073="Marine Protected", VLOOKUP(O2073, Reference!$A$2:$D$34, 4, FALSE) &lt;= P2073),
                AND(R2073="General Use", VLOOKUP(O2073, Reference!$A$2:$D$34, 3, FALSE) &lt;= P2073)
            ),
                "Exceeded",
                "OK"
            ),
            "No Regulation defined"
        )
    ),
    ""
)</f>
        <v/>
      </c>
      <c r="AB2073" s="62" t="str">
        <f t="shared" si="32"/>
        <v/>
      </c>
    </row>
    <row r="2074" spans="19:28" x14ac:dyDescent="0.2">
      <c r="S2074" s="34"/>
      <c r="T2074" s="60" t="str">
        <f>IF(P2074&lt;&gt;"",
    IF(OR(O2074="", Q2074="", R2074=""),
        "Fill all the required columns",
        IFERROR(
            IF(OR(
                AND(R2074="Marine Protected", VLOOKUP(O2074, Reference!$A$2:$D$34, 4, FALSE) &lt;= P2074),
                AND(R2074="General Use", VLOOKUP(O2074, Reference!$A$2:$D$34, 3, FALSE) &lt;= P2074)
            ),
                "Exceeded",
                "OK"
            ),
            "No Regulation defined"
        )
    ),
    ""
)</f>
        <v/>
      </c>
      <c r="AB2074" s="62" t="str">
        <f t="shared" si="32"/>
        <v/>
      </c>
    </row>
    <row r="2075" spans="19:28" x14ac:dyDescent="0.2">
      <c r="S2075" s="34"/>
      <c r="T2075" s="60" t="str">
        <f>IF(P2075&lt;&gt;"",
    IF(OR(O2075="", Q2075="", R2075=""),
        "Fill all the required columns",
        IFERROR(
            IF(OR(
                AND(R2075="Marine Protected", VLOOKUP(O2075, Reference!$A$2:$D$34, 4, FALSE) &lt;= P2075),
                AND(R2075="General Use", VLOOKUP(O2075, Reference!$A$2:$D$34, 3, FALSE) &lt;= P2075)
            ),
                "Exceeded",
                "OK"
            ),
            "No Regulation defined"
        )
    ),
    ""
)</f>
        <v/>
      </c>
      <c r="AB2075" s="62" t="str">
        <f t="shared" si="32"/>
        <v/>
      </c>
    </row>
    <row r="2076" spans="19:28" x14ac:dyDescent="0.2">
      <c r="S2076" s="34"/>
      <c r="T2076" s="60" t="str">
        <f>IF(P2076&lt;&gt;"",
    IF(OR(O2076="", Q2076="", R2076=""),
        "Fill all the required columns",
        IFERROR(
            IF(OR(
                AND(R2076="Marine Protected", VLOOKUP(O2076, Reference!$A$2:$D$34, 4, FALSE) &lt;= P2076),
                AND(R2076="General Use", VLOOKUP(O2076, Reference!$A$2:$D$34, 3, FALSE) &lt;= P2076)
            ),
                "Exceeded",
                "OK"
            ),
            "No Regulation defined"
        )
    ),
    ""
)</f>
        <v/>
      </c>
      <c r="AB2076" s="62" t="str">
        <f t="shared" si="32"/>
        <v/>
      </c>
    </row>
    <row r="2077" spans="19:28" x14ac:dyDescent="0.2">
      <c r="S2077" s="34"/>
      <c r="T2077" s="60" t="str">
        <f>IF(P2077&lt;&gt;"",
    IF(OR(O2077="", Q2077="", R2077=""),
        "Fill all the required columns",
        IFERROR(
            IF(OR(
                AND(R2077="Marine Protected", VLOOKUP(O2077, Reference!$A$2:$D$34, 4, FALSE) &lt;= P2077),
                AND(R2077="General Use", VLOOKUP(O2077, Reference!$A$2:$D$34, 3, FALSE) &lt;= P2077)
            ),
                "Exceeded",
                "OK"
            ),
            "No Regulation defined"
        )
    ),
    ""
)</f>
        <v/>
      </c>
      <c r="AB2077" s="62" t="str">
        <f t="shared" si="32"/>
        <v/>
      </c>
    </row>
    <row r="2078" spans="19:28" x14ac:dyDescent="0.2">
      <c r="S2078" s="34"/>
      <c r="T2078" s="60" t="str">
        <f>IF(P2078&lt;&gt;"",
    IF(OR(O2078="", Q2078="", R2078=""),
        "Fill all the required columns",
        IFERROR(
            IF(OR(
                AND(R2078="Marine Protected", VLOOKUP(O2078, Reference!$A$2:$D$34, 4, FALSE) &lt;= P2078),
                AND(R2078="General Use", VLOOKUP(O2078, Reference!$A$2:$D$34, 3, FALSE) &lt;= P2078)
            ),
                "Exceeded",
                "OK"
            ),
            "No Regulation defined"
        )
    ),
    ""
)</f>
        <v/>
      </c>
      <c r="AB2078" s="62" t="str">
        <f t="shared" si="32"/>
        <v/>
      </c>
    </row>
    <row r="2079" spans="19:28" x14ac:dyDescent="0.2">
      <c r="S2079" s="34"/>
      <c r="T2079" s="60" t="str">
        <f>IF(P2079&lt;&gt;"",
    IF(OR(O2079="", Q2079="", R2079=""),
        "Fill all the required columns",
        IFERROR(
            IF(OR(
                AND(R2079="Marine Protected", VLOOKUP(O2079, Reference!$A$2:$D$34, 4, FALSE) &lt;= P2079),
                AND(R2079="General Use", VLOOKUP(O2079, Reference!$A$2:$D$34, 3, FALSE) &lt;= P2079)
            ),
                "Exceeded",
                "OK"
            ),
            "No Regulation defined"
        )
    ),
    ""
)</f>
        <v/>
      </c>
      <c r="AB2079" s="62" t="str">
        <f t="shared" si="32"/>
        <v/>
      </c>
    </row>
    <row r="2080" spans="19:28" x14ac:dyDescent="0.2">
      <c r="S2080" s="34"/>
      <c r="T2080" s="60" t="str">
        <f>IF(P2080&lt;&gt;"",
    IF(OR(O2080="", Q2080="", R2080=""),
        "Fill all the required columns",
        IFERROR(
            IF(OR(
                AND(R2080="Marine Protected", VLOOKUP(O2080, Reference!$A$2:$D$34, 4, FALSE) &lt;= P2080),
                AND(R2080="General Use", VLOOKUP(O2080, Reference!$A$2:$D$34, 3, FALSE) &lt;= P2080)
            ),
                "Exceeded",
                "OK"
            ),
            "No Regulation defined"
        )
    ),
    ""
)</f>
        <v/>
      </c>
      <c r="AB2080" s="62" t="str">
        <f t="shared" si="32"/>
        <v/>
      </c>
    </row>
    <row r="2081" spans="19:28" x14ac:dyDescent="0.2">
      <c r="S2081" s="34"/>
      <c r="T2081" s="60" t="str">
        <f>IF(P2081&lt;&gt;"",
    IF(OR(O2081="", Q2081="", R2081=""),
        "Fill all the required columns",
        IFERROR(
            IF(OR(
                AND(R2081="Marine Protected", VLOOKUP(O2081, Reference!$A$2:$D$34, 4, FALSE) &lt;= P2081),
                AND(R2081="General Use", VLOOKUP(O2081, Reference!$A$2:$D$34, 3, FALSE) &lt;= P2081)
            ),
                "Exceeded",
                "OK"
            ),
            "No Regulation defined"
        )
    ),
    ""
)</f>
        <v/>
      </c>
      <c r="AB2081" s="62" t="str">
        <f t="shared" si="32"/>
        <v/>
      </c>
    </row>
    <row r="2082" spans="19:28" x14ac:dyDescent="0.2">
      <c r="S2082" s="34"/>
      <c r="T2082" s="60" t="str">
        <f>IF(P2082&lt;&gt;"",
    IF(OR(O2082="", Q2082="", R2082=""),
        "Fill all the required columns",
        IFERROR(
            IF(OR(
                AND(R2082="Marine Protected", VLOOKUP(O2082, Reference!$A$2:$D$34, 4, FALSE) &lt;= P2082),
                AND(R2082="General Use", VLOOKUP(O2082, Reference!$A$2:$D$34, 3, FALSE) &lt;= P2082)
            ),
                "Exceeded",
                "OK"
            ),
            "No Regulation defined"
        )
    ),
    ""
)</f>
        <v/>
      </c>
      <c r="AB2082" s="62" t="str">
        <f t="shared" si="32"/>
        <v/>
      </c>
    </row>
    <row r="2083" spans="19:28" x14ac:dyDescent="0.2">
      <c r="S2083" s="34"/>
      <c r="T2083" s="60" t="str">
        <f>IF(P2083&lt;&gt;"",
    IF(OR(O2083="", Q2083="", R2083=""),
        "Fill all the required columns",
        IFERROR(
            IF(OR(
                AND(R2083="Marine Protected", VLOOKUP(O2083, Reference!$A$2:$D$34, 4, FALSE) &lt;= P2083),
                AND(R2083="General Use", VLOOKUP(O2083, Reference!$A$2:$D$34, 3, FALSE) &lt;= P2083)
            ),
                "Exceeded",
                "OK"
            ),
            "No Regulation defined"
        )
    ),
    ""
)</f>
        <v/>
      </c>
      <c r="AB2083" s="62" t="str">
        <f t="shared" si="32"/>
        <v/>
      </c>
    </row>
    <row r="2084" spans="19:28" x14ac:dyDescent="0.2">
      <c r="S2084" s="34"/>
      <c r="T2084" s="60" t="str">
        <f>IF(P2084&lt;&gt;"",
    IF(OR(O2084="", Q2084="", R2084=""),
        "Fill all the required columns",
        IFERROR(
            IF(OR(
                AND(R2084="Marine Protected", VLOOKUP(O2084, Reference!$A$2:$D$34, 4, FALSE) &lt;= P2084),
                AND(R2084="General Use", VLOOKUP(O2084, Reference!$A$2:$D$34, 3, FALSE) &lt;= P2084)
            ),
                "Exceeded",
                "OK"
            ),
            "No Regulation defined"
        )
    ),
    ""
)</f>
        <v/>
      </c>
      <c r="AB2084" s="62" t="str">
        <f t="shared" si="32"/>
        <v/>
      </c>
    </row>
    <row r="2085" spans="19:28" x14ac:dyDescent="0.2">
      <c r="S2085" s="34"/>
      <c r="T2085" s="60" t="str">
        <f>IF(P2085&lt;&gt;"",
    IF(OR(O2085="", Q2085="", R2085=""),
        "Fill all the required columns",
        IFERROR(
            IF(OR(
                AND(R2085="Marine Protected", VLOOKUP(O2085, Reference!$A$2:$D$34, 4, FALSE) &lt;= P2085),
                AND(R2085="General Use", VLOOKUP(O2085, Reference!$A$2:$D$34, 3, FALSE) &lt;= P2085)
            ),
                "Exceeded",
                "OK"
            ),
            "No Regulation defined"
        )
    ),
    ""
)</f>
        <v/>
      </c>
      <c r="AB2085" s="62" t="str">
        <f t="shared" si="32"/>
        <v/>
      </c>
    </row>
    <row r="2086" spans="19:28" x14ac:dyDescent="0.2">
      <c r="S2086" s="34"/>
      <c r="T2086" s="60" t="str">
        <f>IF(P2086&lt;&gt;"",
    IF(OR(O2086="", Q2086="", R2086=""),
        "Fill all the required columns",
        IFERROR(
            IF(OR(
                AND(R2086="Marine Protected", VLOOKUP(O2086, Reference!$A$2:$D$34, 4, FALSE) &lt;= P2086),
                AND(R2086="General Use", VLOOKUP(O2086, Reference!$A$2:$D$34, 3, FALSE) &lt;= P2086)
            ),
                "Exceeded",
                "OK"
            ),
            "No Regulation defined"
        )
    ),
    ""
)</f>
        <v/>
      </c>
      <c r="AB2086" s="62" t="str">
        <f t="shared" si="32"/>
        <v/>
      </c>
    </row>
    <row r="2087" spans="19:28" x14ac:dyDescent="0.2">
      <c r="S2087" s="34"/>
      <c r="T2087" s="60" t="str">
        <f>IF(P2087&lt;&gt;"",
    IF(OR(O2087="", Q2087="", R2087=""),
        "Fill all the required columns",
        IFERROR(
            IF(OR(
                AND(R2087="Marine Protected", VLOOKUP(O2087, Reference!$A$2:$D$34, 4, FALSE) &lt;= P2087),
                AND(R2087="General Use", VLOOKUP(O2087, Reference!$A$2:$D$34, 3, FALSE) &lt;= P2087)
            ),
                "Exceeded",
                "OK"
            ),
            "No Regulation defined"
        )
    ),
    ""
)</f>
        <v/>
      </c>
      <c r="AB2087" s="62" t="str">
        <f t="shared" si="32"/>
        <v/>
      </c>
    </row>
    <row r="2088" spans="19:28" x14ac:dyDescent="0.2">
      <c r="S2088" s="34"/>
      <c r="T2088" s="60" t="str">
        <f>IF(P2088&lt;&gt;"",
    IF(OR(O2088="", Q2088="", R2088=""),
        "Fill all the required columns",
        IFERROR(
            IF(OR(
                AND(R2088="Marine Protected", VLOOKUP(O2088, Reference!$A$2:$D$34, 4, FALSE) &lt;= P2088),
                AND(R2088="General Use", VLOOKUP(O2088, Reference!$A$2:$D$34, 3, FALSE) &lt;= P2088)
            ),
                "Exceeded",
                "OK"
            ),
            "No Regulation defined"
        )
    ),
    ""
)</f>
        <v/>
      </c>
      <c r="AB2088" s="62" t="str">
        <f t="shared" si="32"/>
        <v/>
      </c>
    </row>
    <row r="2089" spans="19:28" x14ac:dyDescent="0.2">
      <c r="S2089" s="34"/>
      <c r="T2089" s="60" t="str">
        <f>IF(P2089&lt;&gt;"",
    IF(OR(O2089="", Q2089="", R2089=""),
        "Fill all the required columns",
        IFERROR(
            IF(OR(
                AND(R2089="Marine Protected", VLOOKUP(O2089, Reference!$A$2:$D$34, 4, FALSE) &lt;= P2089),
                AND(R2089="General Use", VLOOKUP(O2089, Reference!$A$2:$D$34, 3, FALSE) &lt;= P2089)
            ),
                "Exceeded",
                "OK"
            ),
            "No Regulation defined"
        )
    ),
    ""
)</f>
        <v/>
      </c>
      <c r="AB2089" s="62" t="str">
        <f t="shared" si="32"/>
        <v/>
      </c>
    </row>
    <row r="2090" spans="19:28" x14ac:dyDescent="0.2">
      <c r="S2090" s="34"/>
      <c r="T2090" s="60" t="str">
        <f>IF(P2090&lt;&gt;"",
    IF(OR(O2090="", Q2090="", R2090=""),
        "Fill all the required columns",
        IFERROR(
            IF(OR(
                AND(R2090="Marine Protected", VLOOKUP(O2090, Reference!$A$2:$D$34, 4, FALSE) &lt;= P2090),
                AND(R2090="General Use", VLOOKUP(O2090, Reference!$A$2:$D$34, 3, FALSE) &lt;= P2090)
            ),
                "Exceeded",
                "OK"
            ),
            "No Regulation defined"
        )
    ),
    ""
)</f>
        <v/>
      </c>
      <c r="AB2090" s="62" t="str">
        <f t="shared" si="32"/>
        <v/>
      </c>
    </row>
    <row r="2091" spans="19:28" x14ac:dyDescent="0.2">
      <c r="S2091" s="34"/>
      <c r="T2091" s="60" t="str">
        <f>IF(P2091&lt;&gt;"",
    IF(OR(O2091="", Q2091="", R2091=""),
        "Fill all the required columns",
        IFERROR(
            IF(OR(
                AND(R2091="Marine Protected", VLOOKUP(O2091, Reference!$A$2:$D$34, 4, FALSE) &lt;= P2091),
                AND(R2091="General Use", VLOOKUP(O2091, Reference!$A$2:$D$34, 3, FALSE) &lt;= P2091)
            ),
                "Exceeded",
                "OK"
            ),
            "No Regulation defined"
        )
    ),
    ""
)</f>
        <v/>
      </c>
      <c r="AB2091" s="62" t="str">
        <f t="shared" si="32"/>
        <v/>
      </c>
    </row>
    <row r="2092" spans="19:28" x14ac:dyDescent="0.2">
      <c r="S2092" s="34"/>
      <c r="T2092" s="60" t="str">
        <f>IF(P2092&lt;&gt;"",
    IF(OR(O2092="", Q2092="", R2092=""),
        "Fill all the required columns",
        IFERROR(
            IF(OR(
                AND(R2092="Marine Protected", VLOOKUP(O2092, Reference!$A$2:$D$34, 4, FALSE) &lt;= P2092),
                AND(R2092="General Use", VLOOKUP(O2092, Reference!$A$2:$D$34, 3, FALSE) &lt;= P2092)
            ),
                "Exceeded",
                "OK"
            ),
            "No Regulation defined"
        )
    ),
    ""
)</f>
        <v/>
      </c>
      <c r="AB2092" s="62" t="str">
        <f t="shared" si="32"/>
        <v/>
      </c>
    </row>
    <row r="2093" spans="19:28" x14ac:dyDescent="0.2">
      <c r="S2093" s="34"/>
      <c r="T2093" s="60" t="str">
        <f>IF(P2093&lt;&gt;"",
    IF(OR(O2093="", Q2093="", R2093=""),
        "Fill all the required columns",
        IFERROR(
            IF(OR(
                AND(R2093="Marine Protected", VLOOKUP(O2093, Reference!$A$2:$D$34, 4, FALSE) &lt;= P2093),
                AND(R2093="General Use", VLOOKUP(O2093, Reference!$A$2:$D$34, 3, FALSE) &lt;= P2093)
            ),
                "Exceeded",
                "OK"
            ),
            "No Regulation defined"
        )
    ),
    ""
)</f>
        <v/>
      </c>
      <c r="AB2093" s="62" t="str">
        <f t="shared" si="32"/>
        <v/>
      </c>
    </row>
    <row r="2094" spans="19:28" x14ac:dyDescent="0.2">
      <c r="S2094" s="34"/>
      <c r="T2094" s="60" t="str">
        <f>IF(P2094&lt;&gt;"",
    IF(OR(O2094="", Q2094="", R2094=""),
        "Fill all the required columns",
        IFERROR(
            IF(OR(
                AND(R2094="Marine Protected", VLOOKUP(O2094, Reference!$A$2:$D$34, 4, FALSE) &lt;= P2094),
                AND(R2094="General Use", VLOOKUP(O2094, Reference!$A$2:$D$34, 3, FALSE) &lt;= P2094)
            ),
                "Exceeded",
                "OK"
            ),
            "No Regulation defined"
        )
    ),
    ""
)</f>
        <v/>
      </c>
      <c r="AB2094" s="62" t="str">
        <f t="shared" si="32"/>
        <v/>
      </c>
    </row>
    <row r="2095" spans="19:28" x14ac:dyDescent="0.2">
      <c r="S2095" s="34"/>
      <c r="T2095" s="60" t="str">
        <f>IF(P2095&lt;&gt;"",
    IF(OR(O2095="", Q2095="", R2095=""),
        "Fill all the required columns",
        IFERROR(
            IF(OR(
                AND(R2095="Marine Protected", VLOOKUP(O2095, Reference!$A$2:$D$34, 4, FALSE) &lt;= P2095),
                AND(R2095="General Use", VLOOKUP(O2095, Reference!$A$2:$D$34, 3, FALSE) &lt;= P2095)
            ),
                "Exceeded",
                "OK"
            ),
            "No Regulation defined"
        )
    ),
    ""
)</f>
        <v/>
      </c>
      <c r="AB2095" s="62" t="str">
        <f t="shared" si="32"/>
        <v/>
      </c>
    </row>
    <row r="2096" spans="19:28" x14ac:dyDescent="0.2">
      <c r="S2096" s="34"/>
      <c r="T2096" s="60" t="str">
        <f>IF(P2096&lt;&gt;"",
    IF(OR(O2096="", Q2096="", R2096=""),
        "Fill all the required columns",
        IFERROR(
            IF(OR(
                AND(R2096="Marine Protected", VLOOKUP(O2096, Reference!$A$2:$D$34, 4, FALSE) &lt;= P2096),
                AND(R2096="General Use", VLOOKUP(O2096, Reference!$A$2:$D$34, 3, FALSE) &lt;= P2096)
            ),
                "Exceeded",
                "OK"
            ),
            "No Regulation defined"
        )
    ),
    ""
)</f>
        <v/>
      </c>
      <c r="AB2096" s="62" t="str">
        <f t="shared" si="32"/>
        <v/>
      </c>
    </row>
    <row r="2097" spans="19:28" x14ac:dyDescent="0.2">
      <c r="S2097" s="34"/>
      <c r="T2097" s="60" t="str">
        <f>IF(P2097&lt;&gt;"",
    IF(OR(O2097="", Q2097="", R2097=""),
        "Fill all the required columns",
        IFERROR(
            IF(OR(
                AND(R2097="Marine Protected", VLOOKUP(O2097, Reference!$A$2:$D$34, 4, FALSE) &lt;= P2097),
                AND(R2097="General Use", VLOOKUP(O2097, Reference!$A$2:$D$34, 3, FALSE) &lt;= P2097)
            ),
                "Exceeded",
                "OK"
            ),
            "No Regulation defined"
        )
    ),
    ""
)</f>
        <v/>
      </c>
      <c r="AB2097" s="62" t="str">
        <f t="shared" si="32"/>
        <v/>
      </c>
    </row>
    <row r="2098" spans="19:28" x14ac:dyDescent="0.2">
      <c r="S2098" s="34"/>
      <c r="T2098" s="60" t="str">
        <f>IF(P2098&lt;&gt;"",
    IF(OR(O2098="", Q2098="", R2098=""),
        "Fill all the required columns",
        IFERROR(
            IF(OR(
                AND(R2098="Marine Protected", VLOOKUP(O2098, Reference!$A$2:$D$34, 4, FALSE) &lt;= P2098),
                AND(R2098="General Use", VLOOKUP(O2098, Reference!$A$2:$D$34, 3, FALSE) &lt;= P2098)
            ),
                "Exceeded",
                "OK"
            ),
            "No Regulation defined"
        )
    ),
    ""
)</f>
        <v/>
      </c>
      <c r="AB2098" s="62" t="str">
        <f t="shared" si="32"/>
        <v/>
      </c>
    </row>
    <row r="2099" spans="19:28" x14ac:dyDescent="0.2">
      <c r="S2099" s="34"/>
      <c r="T2099" s="60" t="str">
        <f>IF(P2099&lt;&gt;"",
    IF(OR(O2099="", Q2099="", R2099=""),
        "Fill all the required columns",
        IFERROR(
            IF(OR(
                AND(R2099="Marine Protected", VLOOKUP(O2099, Reference!$A$2:$D$34, 4, FALSE) &lt;= P2099),
                AND(R2099="General Use", VLOOKUP(O2099, Reference!$A$2:$D$34, 3, FALSE) &lt;= P2099)
            ),
                "Exceeded",
                "OK"
            ),
            "No Regulation defined"
        )
    ),
    ""
)</f>
        <v/>
      </c>
      <c r="AB2099" s="62" t="str">
        <f t="shared" si="32"/>
        <v/>
      </c>
    </row>
    <row r="2100" spans="19:28" x14ac:dyDescent="0.2">
      <c r="S2100" s="34"/>
      <c r="T2100" s="60" t="str">
        <f>IF(P2100&lt;&gt;"",
    IF(OR(O2100="", Q2100="", R2100=""),
        "Fill all the required columns",
        IFERROR(
            IF(OR(
                AND(R2100="Marine Protected", VLOOKUP(O2100, Reference!$A$2:$D$34, 4, FALSE) &lt;= P2100),
                AND(R2100="General Use", VLOOKUP(O2100, Reference!$A$2:$D$34, 3, FALSE) &lt;= P2100)
            ),
                "Exceeded",
                "OK"
            ),
            "No Regulation defined"
        )
    ),
    ""
)</f>
        <v/>
      </c>
      <c r="AB2100" s="62" t="str">
        <f t="shared" si="32"/>
        <v/>
      </c>
    </row>
    <row r="2101" spans="19:28" x14ac:dyDescent="0.2">
      <c r="S2101" s="34"/>
      <c r="T2101" s="60" t="str">
        <f>IF(P2101&lt;&gt;"",
    IF(OR(O2101="", Q2101="", R2101=""),
        "Fill all the required columns",
        IFERROR(
            IF(OR(
                AND(R2101="Marine Protected", VLOOKUP(O2101, Reference!$A$2:$D$34, 4, FALSE) &lt;= P2101),
                AND(R2101="General Use", VLOOKUP(O2101, Reference!$A$2:$D$34, 3, FALSE) &lt;= P2101)
            ),
                "Exceeded",
                "OK"
            ),
            "No Regulation defined"
        )
    ),
    ""
)</f>
        <v/>
      </c>
      <c r="AB2101" s="62" t="str">
        <f t="shared" si="32"/>
        <v/>
      </c>
    </row>
    <row r="2102" spans="19:28" x14ac:dyDescent="0.2">
      <c r="S2102" s="34"/>
      <c r="T2102" s="60" t="str">
        <f>IF(P2102&lt;&gt;"",
    IF(OR(O2102="", Q2102="", R2102=""),
        "Fill all the required columns",
        IFERROR(
            IF(OR(
                AND(R2102="Marine Protected", VLOOKUP(O2102, Reference!$A$2:$D$34, 4, FALSE) &lt;= P2102),
                AND(R2102="General Use", VLOOKUP(O2102, Reference!$A$2:$D$34, 3, FALSE) &lt;= P2102)
            ),
                "Exceeded",
                "OK"
            ),
            "No Regulation defined"
        )
    ),
    ""
)</f>
        <v/>
      </c>
      <c r="AB2102" s="62" t="str">
        <f t="shared" si="32"/>
        <v/>
      </c>
    </row>
    <row r="2103" spans="19:28" x14ac:dyDescent="0.2">
      <c r="S2103" s="34"/>
      <c r="T2103" s="60" t="str">
        <f>IF(P2103&lt;&gt;"",
    IF(OR(O2103="", Q2103="", R2103=""),
        "Fill all the required columns",
        IFERROR(
            IF(OR(
                AND(R2103="Marine Protected", VLOOKUP(O2103, Reference!$A$2:$D$34, 4, FALSE) &lt;= P2103),
                AND(R2103="General Use", VLOOKUP(O2103, Reference!$A$2:$D$34, 3, FALSE) &lt;= P2103)
            ),
                "Exceeded",
                "OK"
            ),
            "No Regulation defined"
        )
    ),
    ""
)</f>
        <v/>
      </c>
      <c r="AB2103" s="62" t="str">
        <f t="shared" si="32"/>
        <v/>
      </c>
    </row>
    <row r="2104" spans="19:28" x14ac:dyDescent="0.2">
      <c r="S2104" s="34"/>
      <c r="T2104" s="60" t="str">
        <f>IF(P2104&lt;&gt;"",
    IF(OR(O2104="", Q2104="", R2104=""),
        "Fill all the required columns",
        IFERROR(
            IF(OR(
                AND(R2104="Marine Protected", VLOOKUP(O2104, Reference!$A$2:$D$34, 4, FALSE) &lt;= P2104),
                AND(R2104="General Use", VLOOKUP(O2104, Reference!$A$2:$D$34, 3, FALSE) &lt;= P2104)
            ),
                "Exceeded",
                "OK"
            ),
            "No Regulation defined"
        )
    ),
    ""
)</f>
        <v/>
      </c>
      <c r="AB2104" s="62" t="str">
        <f t="shared" si="32"/>
        <v/>
      </c>
    </row>
    <row r="2105" spans="19:28" x14ac:dyDescent="0.2">
      <c r="S2105" s="34"/>
      <c r="T2105" s="60" t="str">
        <f>IF(P2105&lt;&gt;"",
    IF(OR(O2105="", Q2105="", R2105=""),
        "Fill all the required columns",
        IFERROR(
            IF(OR(
                AND(R2105="Marine Protected", VLOOKUP(O2105, Reference!$A$2:$D$34, 4, FALSE) &lt;= P2105),
                AND(R2105="General Use", VLOOKUP(O2105, Reference!$A$2:$D$34, 3, FALSE) &lt;= P2105)
            ),
                "Exceeded",
                "OK"
            ),
            "No Regulation defined"
        )
    ),
    ""
)</f>
        <v/>
      </c>
      <c r="AB2105" s="62" t="str">
        <f t="shared" si="32"/>
        <v/>
      </c>
    </row>
    <row r="2106" spans="19:28" x14ac:dyDescent="0.2">
      <c r="S2106" s="34"/>
      <c r="T2106" s="60" t="str">
        <f>IF(P2106&lt;&gt;"",
    IF(OR(O2106="", Q2106="", R2106=""),
        "Fill all the required columns",
        IFERROR(
            IF(OR(
                AND(R2106="Marine Protected", VLOOKUP(O2106, Reference!$A$2:$D$34, 4, FALSE) &lt;= P2106),
                AND(R2106="General Use", VLOOKUP(O2106, Reference!$A$2:$D$34, 3, FALSE) &lt;= P2106)
            ),
                "Exceeded",
                "OK"
            ),
            "No Regulation defined"
        )
    ),
    ""
)</f>
        <v/>
      </c>
      <c r="AB2106" s="62" t="str">
        <f t="shared" si="32"/>
        <v/>
      </c>
    </row>
    <row r="2107" spans="19:28" x14ac:dyDescent="0.2">
      <c r="S2107" s="34"/>
      <c r="T2107" s="60" t="str">
        <f>IF(P2107&lt;&gt;"",
    IF(OR(O2107="", Q2107="", R2107=""),
        "Fill all the required columns",
        IFERROR(
            IF(OR(
                AND(R2107="Marine Protected", VLOOKUP(O2107, Reference!$A$2:$D$34, 4, FALSE) &lt;= P2107),
                AND(R2107="General Use", VLOOKUP(O2107, Reference!$A$2:$D$34, 3, FALSE) &lt;= P2107)
            ),
                "Exceeded",
                "OK"
            ),
            "No Regulation defined"
        )
    ),
    ""
)</f>
        <v/>
      </c>
      <c r="AB2107" s="62" t="str">
        <f t="shared" si="32"/>
        <v/>
      </c>
    </row>
    <row r="2108" spans="19:28" x14ac:dyDescent="0.2">
      <c r="S2108" s="34"/>
      <c r="T2108" s="60" t="str">
        <f>IF(P2108&lt;&gt;"",
    IF(OR(O2108="", Q2108="", R2108=""),
        "Fill all the required columns",
        IFERROR(
            IF(OR(
                AND(R2108="Marine Protected", VLOOKUP(O2108, Reference!$A$2:$D$34, 4, FALSE) &lt;= P2108),
                AND(R2108="General Use", VLOOKUP(O2108, Reference!$A$2:$D$34, 3, FALSE) &lt;= P2108)
            ),
                "Exceeded",
                "OK"
            ),
            "No Regulation defined"
        )
    ),
    ""
)</f>
        <v/>
      </c>
      <c r="AB2108" s="62" t="str">
        <f t="shared" si="32"/>
        <v/>
      </c>
    </row>
    <row r="2109" spans="19:28" x14ac:dyDescent="0.2">
      <c r="S2109" s="34"/>
      <c r="T2109" s="60" t="str">
        <f>IF(P2109&lt;&gt;"",
    IF(OR(O2109="", Q2109="", R2109=""),
        "Fill all the required columns",
        IFERROR(
            IF(OR(
                AND(R2109="Marine Protected", VLOOKUP(O2109, Reference!$A$2:$D$34, 4, FALSE) &lt;= P2109),
                AND(R2109="General Use", VLOOKUP(O2109, Reference!$A$2:$D$34, 3, FALSE) &lt;= P2109)
            ),
                "Exceeded",
                "OK"
            ),
            "No Regulation defined"
        )
    ),
    ""
)</f>
        <v/>
      </c>
      <c r="AB2109" s="62" t="str">
        <f t="shared" si="32"/>
        <v/>
      </c>
    </row>
    <row r="2110" spans="19:28" x14ac:dyDescent="0.2">
      <c r="S2110" s="34"/>
      <c r="T2110" s="60" t="str">
        <f>IF(P2110&lt;&gt;"",
    IF(OR(O2110="", Q2110="", R2110=""),
        "Fill all the required columns",
        IFERROR(
            IF(OR(
                AND(R2110="Marine Protected", VLOOKUP(O2110, Reference!$A$2:$D$34, 4, FALSE) &lt;= P2110),
                AND(R2110="General Use", VLOOKUP(O2110, Reference!$A$2:$D$34, 3, FALSE) &lt;= P2110)
            ),
                "Exceeded",
                "OK"
            ),
            "No Regulation defined"
        )
    ),
    ""
)</f>
        <v/>
      </c>
      <c r="AB2110" s="62" t="str">
        <f t="shared" si="32"/>
        <v/>
      </c>
    </row>
    <row r="2111" spans="19:28" x14ac:dyDescent="0.2">
      <c r="S2111" s="34"/>
      <c r="T2111" s="60" t="str">
        <f>IF(P2111&lt;&gt;"",
    IF(OR(O2111="", Q2111="", R2111=""),
        "Fill all the required columns",
        IFERROR(
            IF(OR(
                AND(R2111="Marine Protected", VLOOKUP(O2111, Reference!$A$2:$D$34, 4, FALSE) &lt;= P2111),
                AND(R2111="General Use", VLOOKUP(O2111, Reference!$A$2:$D$34, 3, FALSE) &lt;= P2111)
            ),
                "Exceeded",
                "OK"
            ),
            "No Regulation defined"
        )
    ),
    ""
)</f>
        <v/>
      </c>
      <c r="AB2111" s="62" t="str">
        <f t="shared" si="32"/>
        <v/>
      </c>
    </row>
    <row r="2112" spans="19:28" x14ac:dyDescent="0.2">
      <c r="S2112" s="34"/>
      <c r="T2112" s="60" t="str">
        <f>IF(P2112&lt;&gt;"",
    IF(OR(O2112="", Q2112="", R2112=""),
        "Fill all the required columns",
        IFERROR(
            IF(OR(
                AND(R2112="Marine Protected", VLOOKUP(O2112, Reference!$A$2:$D$34, 4, FALSE) &lt;= P2112),
                AND(R2112="General Use", VLOOKUP(O2112, Reference!$A$2:$D$34, 3, FALSE) &lt;= P2112)
            ),
                "Exceeded",
                "OK"
            ),
            "No Regulation defined"
        )
    ),
    ""
)</f>
        <v/>
      </c>
      <c r="AB2112" s="62" t="str">
        <f t="shared" si="32"/>
        <v/>
      </c>
    </row>
    <row r="2113" spans="19:28" x14ac:dyDescent="0.2">
      <c r="S2113" s="34"/>
      <c r="T2113" s="60" t="str">
        <f>IF(P2113&lt;&gt;"",
    IF(OR(O2113="", Q2113="", R2113=""),
        "Fill all the required columns",
        IFERROR(
            IF(OR(
                AND(R2113="Marine Protected", VLOOKUP(O2113, Reference!$A$2:$D$34, 4, FALSE) &lt;= P2113),
                AND(R2113="General Use", VLOOKUP(O2113, Reference!$A$2:$D$34, 3, FALSE) &lt;= P2113)
            ),
                "Exceeded",
                "OK"
            ),
            "No Regulation defined"
        )
    ),
    ""
)</f>
        <v/>
      </c>
      <c r="AB2113" s="62" t="str">
        <f t="shared" si="32"/>
        <v/>
      </c>
    </row>
    <row r="2114" spans="19:28" x14ac:dyDescent="0.2">
      <c r="S2114" s="34"/>
      <c r="T2114" s="60" t="str">
        <f>IF(P2114&lt;&gt;"",
    IF(OR(O2114="", Q2114="", R2114=""),
        "Fill all the required columns",
        IFERROR(
            IF(OR(
                AND(R2114="Marine Protected", VLOOKUP(O2114, Reference!$A$2:$D$34, 4, FALSE) &lt;= P2114),
                AND(R2114="General Use", VLOOKUP(O2114, Reference!$A$2:$D$34, 3, FALSE) &lt;= P2114)
            ),
                "Exceeded",
                "OK"
            ),
            "No Regulation defined"
        )
    ),
    ""
)</f>
        <v/>
      </c>
      <c r="AB2114" s="62" t="str">
        <f t="shared" si="32"/>
        <v/>
      </c>
    </row>
    <row r="2115" spans="19:28" x14ac:dyDescent="0.2">
      <c r="S2115" s="34"/>
      <c r="T2115" s="60" t="str">
        <f>IF(P2115&lt;&gt;"",
    IF(OR(O2115="", Q2115="", R2115=""),
        "Fill all the required columns",
        IFERROR(
            IF(OR(
                AND(R2115="Marine Protected", VLOOKUP(O2115, Reference!$A$2:$D$34, 4, FALSE) &lt;= P2115),
                AND(R2115="General Use", VLOOKUP(O2115, Reference!$A$2:$D$34, 3, FALSE) &lt;= P2115)
            ),
                "Exceeded",
                "OK"
            ),
            "No Regulation defined"
        )
    ),
    ""
)</f>
        <v/>
      </c>
      <c r="AB2115" s="62" t="str">
        <f t="shared" ref="AB2115:AB2178" si="33">IF(COUNTA(A2115, E2115, F2115, H2115, I2115, O2115, P2115, Q2115, R2115,S2115) = 0, "", IF(COUNTA(A2115, E2115, F2115, H2115, I2115, O2115, P2115, Q2115, R2115,S2115) = 10, "OK", "Incomplete"))</f>
        <v/>
      </c>
    </row>
    <row r="2116" spans="19:28" x14ac:dyDescent="0.2">
      <c r="S2116" s="34"/>
      <c r="T2116" s="60" t="str">
        <f>IF(P2116&lt;&gt;"",
    IF(OR(O2116="", Q2116="", R2116=""),
        "Fill all the required columns",
        IFERROR(
            IF(OR(
                AND(R2116="Marine Protected", VLOOKUP(O2116, Reference!$A$2:$D$34, 4, FALSE) &lt;= P2116),
                AND(R2116="General Use", VLOOKUP(O2116, Reference!$A$2:$D$34, 3, FALSE) &lt;= P2116)
            ),
                "Exceeded",
                "OK"
            ),
            "No Regulation defined"
        )
    ),
    ""
)</f>
        <v/>
      </c>
      <c r="AB2116" s="62" t="str">
        <f t="shared" si="33"/>
        <v/>
      </c>
    </row>
    <row r="2117" spans="19:28" x14ac:dyDescent="0.2">
      <c r="S2117" s="34"/>
      <c r="T2117" s="60" t="str">
        <f>IF(P2117&lt;&gt;"",
    IF(OR(O2117="", Q2117="", R2117=""),
        "Fill all the required columns",
        IFERROR(
            IF(OR(
                AND(R2117="Marine Protected", VLOOKUP(O2117, Reference!$A$2:$D$34, 4, FALSE) &lt;= P2117),
                AND(R2117="General Use", VLOOKUP(O2117, Reference!$A$2:$D$34, 3, FALSE) &lt;= P2117)
            ),
                "Exceeded",
                "OK"
            ),
            "No Regulation defined"
        )
    ),
    ""
)</f>
        <v/>
      </c>
      <c r="AB2117" s="62" t="str">
        <f t="shared" si="33"/>
        <v/>
      </c>
    </row>
    <row r="2118" spans="19:28" x14ac:dyDescent="0.2">
      <c r="S2118" s="34"/>
      <c r="T2118" s="60" t="str">
        <f>IF(P2118&lt;&gt;"",
    IF(OR(O2118="", Q2118="", R2118=""),
        "Fill all the required columns",
        IFERROR(
            IF(OR(
                AND(R2118="Marine Protected", VLOOKUP(O2118, Reference!$A$2:$D$34, 4, FALSE) &lt;= P2118),
                AND(R2118="General Use", VLOOKUP(O2118, Reference!$A$2:$D$34, 3, FALSE) &lt;= P2118)
            ),
                "Exceeded",
                "OK"
            ),
            "No Regulation defined"
        )
    ),
    ""
)</f>
        <v/>
      </c>
      <c r="AB2118" s="62" t="str">
        <f t="shared" si="33"/>
        <v/>
      </c>
    </row>
    <row r="2119" spans="19:28" x14ac:dyDescent="0.2">
      <c r="S2119" s="34"/>
      <c r="T2119" s="60" t="str">
        <f>IF(P2119&lt;&gt;"",
    IF(OR(O2119="", Q2119="", R2119=""),
        "Fill all the required columns",
        IFERROR(
            IF(OR(
                AND(R2119="Marine Protected", VLOOKUP(O2119, Reference!$A$2:$D$34, 4, FALSE) &lt;= P2119),
                AND(R2119="General Use", VLOOKUP(O2119, Reference!$A$2:$D$34, 3, FALSE) &lt;= P2119)
            ),
                "Exceeded",
                "OK"
            ),
            "No Regulation defined"
        )
    ),
    ""
)</f>
        <v/>
      </c>
      <c r="AB2119" s="62" t="str">
        <f t="shared" si="33"/>
        <v/>
      </c>
    </row>
    <row r="2120" spans="19:28" x14ac:dyDescent="0.2">
      <c r="S2120" s="34"/>
      <c r="T2120" s="60" t="str">
        <f>IF(P2120&lt;&gt;"",
    IF(OR(O2120="", Q2120="", R2120=""),
        "Fill all the required columns",
        IFERROR(
            IF(OR(
                AND(R2120="Marine Protected", VLOOKUP(O2120, Reference!$A$2:$D$34, 4, FALSE) &lt;= P2120),
                AND(R2120="General Use", VLOOKUP(O2120, Reference!$A$2:$D$34, 3, FALSE) &lt;= P2120)
            ),
                "Exceeded",
                "OK"
            ),
            "No Regulation defined"
        )
    ),
    ""
)</f>
        <v/>
      </c>
      <c r="AB2120" s="62" t="str">
        <f t="shared" si="33"/>
        <v/>
      </c>
    </row>
    <row r="2121" spans="19:28" x14ac:dyDescent="0.2">
      <c r="S2121" s="34"/>
      <c r="T2121" s="60" t="str">
        <f>IF(P2121&lt;&gt;"",
    IF(OR(O2121="", Q2121="", R2121=""),
        "Fill all the required columns",
        IFERROR(
            IF(OR(
                AND(R2121="Marine Protected", VLOOKUP(O2121, Reference!$A$2:$D$34, 4, FALSE) &lt;= P2121),
                AND(R2121="General Use", VLOOKUP(O2121, Reference!$A$2:$D$34, 3, FALSE) &lt;= P2121)
            ),
                "Exceeded",
                "OK"
            ),
            "No Regulation defined"
        )
    ),
    ""
)</f>
        <v/>
      </c>
      <c r="AB2121" s="62" t="str">
        <f t="shared" si="33"/>
        <v/>
      </c>
    </row>
    <row r="2122" spans="19:28" x14ac:dyDescent="0.2">
      <c r="S2122" s="34"/>
      <c r="T2122" s="60" t="str">
        <f>IF(P2122&lt;&gt;"",
    IF(OR(O2122="", Q2122="", R2122=""),
        "Fill all the required columns",
        IFERROR(
            IF(OR(
                AND(R2122="Marine Protected", VLOOKUP(O2122, Reference!$A$2:$D$34, 4, FALSE) &lt;= P2122),
                AND(R2122="General Use", VLOOKUP(O2122, Reference!$A$2:$D$34, 3, FALSE) &lt;= P2122)
            ),
                "Exceeded",
                "OK"
            ),
            "No Regulation defined"
        )
    ),
    ""
)</f>
        <v/>
      </c>
      <c r="AB2122" s="62" t="str">
        <f t="shared" si="33"/>
        <v/>
      </c>
    </row>
    <row r="2123" spans="19:28" x14ac:dyDescent="0.2">
      <c r="S2123" s="34"/>
      <c r="T2123" s="60" t="str">
        <f>IF(P2123&lt;&gt;"",
    IF(OR(O2123="", Q2123="", R2123=""),
        "Fill all the required columns",
        IFERROR(
            IF(OR(
                AND(R2123="Marine Protected", VLOOKUP(O2123, Reference!$A$2:$D$34, 4, FALSE) &lt;= P2123),
                AND(R2123="General Use", VLOOKUP(O2123, Reference!$A$2:$D$34, 3, FALSE) &lt;= P2123)
            ),
                "Exceeded",
                "OK"
            ),
            "No Regulation defined"
        )
    ),
    ""
)</f>
        <v/>
      </c>
      <c r="AB2123" s="62" t="str">
        <f t="shared" si="33"/>
        <v/>
      </c>
    </row>
    <row r="2124" spans="19:28" x14ac:dyDescent="0.2">
      <c r="S2124" s="34"/>
      <c r="T2124" s="60" t="str">
        <f>IF(P2124&lt;&gt;"",
    IF(OR(O2124="", Q2124="", R2124=""),
        "Fill all the required columns",
        IFERROR(
            IF(OR(
                AND(R2124="Marine Protected", VLOOKUP(O2124, Reference!$A$2:$D$34, 4, FALSE) &lt;= P2124),
                AND(R2124="General Use", VLOOKUP(O2124, Reference!$A$2:$D$34, 3, FALSE) &lt;= P2124)
            ),
                "Exceeded",
                "OK"
            ),
            "No Regulation defined"
        )
    ),
    ""
)</f>
        <v/>
      </c>
      <c r="AB2124" s="62" t="str">
        <f t="shared" si="33"/>
        <v/>
      </c>
    </row>
    <row r="2125" spans="19:28" x14ac:dyDescent="0.2">
      <c r="S2125" s="34"/>
      <c r="T2125" s="60" t="str">
        <f>IF(P2125&lt;&gt;"",
    IF(OR(O2125="", Q2125="", R2125=""),
        "Fill all the required columns",
        IFERROR(
            IF(OR(
                AND(R2125="Marine Protected", VLOOKUP(O2125, Reference!$A$2:$D$34, 4, FALSE) &lt;= P2125),
                AND(R2125="General Use", VLOOKUP(O2125, Reference!$A$2:$D$34, 3, FALSE) &lt;= P2125)
            ),
                "Exceeded",
                "OK"
            ),
            "No Regulation defined"
        )
    ),
    ""
)</f>
        <v/>
      </c>
      <c r="AB2125" s="62" t="str">
        <f t="shared" si="33"/>
        <v/>
      </c>
    </row>
    <row r="2126" spans="19:28" x14ac:dyDescent="0.2">
      <c r="S2126" s="34"/>
      <c r="T2126" s="60" t="str">
        <f>IF(P2126&lt;&gt;"",
    IF(OR(O2126="", Q2126="", R2126=""),
        "Fill all the required columns",
        IFERROR(
            IF(OR(
                AND(R2126="Marine Protected", VLOOKUP(O2126, Reference!$A$2:$D$34, 4, FALSE) &lt;= P2126),
                AND(R2126="General Use", VLOOKUP(O2126, Reference!$A$2:$D$34, 3, FALSE) &lt;= P2126)
            ),
                "Exceeded",
                "OK"
            ),
            "No Regulation defined"
        )
    ),
    ""
)</f>
        <v/>
      </c>
      <c r="AB2126" s="62" t="str">
        <f t="shared" si="33"/>
        <v/>
      </c>
    </row>
    <row r="2127" spans="19:28" x14ac:dyDescent="0.2">
      <c r="S2127" s="34"/>
      <c r="T2127" s="60" t="str">
        <f>IF(P2127&lt;&gt;"",
    IF(OR(O2127="", Q2127="", R2127=""),
        "Fill all the required columns",
        IFERROR(
            IF(OR(
                AND(R2127="Marine Protected", VLOOKUP(O2127, Reference!$A$2:$D$34, 4, FALSE) &lt;= P2127),
                AND(R2127="General Use", VLOOKUP(O2127, Reference!$A$2:$D$34, 3, FALSE) &lt;= P2127)
            ),
                "Exceeded",
                "OK"
            ),
            "No Regulation defined"
        )
    ),
    ""
)</f>
        <v/>
      </c>
      <c r="AB2127" s="62" t="str">
        <f t="shared" si="33"/>
        <v/>
      </c>
    </row>
    <row r="2128" spans="19:28" x14ac:dyDescent="0.2">
      <c r="S2128" s="34"/>
      <c r="T2128" s="60" t="str">
        <f>IF(P2128&lt;&gt;"",
    IF(OR(O2128="", Q2128="", R2128=""),
        "Fill all the required columns",
        IFERROR(
            IF(OR(
                AND(R2128="Marine Protected", VLOOKUP(O2128, Reference!$A$2:$D$34, 4, FALSE) &lt;= P2128),
                AND(R2128="General Use", VLOOKUP(O2128, Reference!$A$2:$D$34, 3, FALSE) &lt;= P2128)
            ),
                "Exceeded",
                "OK"
            ),
            "No Regulation defined"
        )
    ),
    ""
)</f>
        <v/>
      </c>
      <c r="AB2128" s="62" t="str">
        <f t="shared" si="33"/>
        <v/>
      </c>
    </row>
    <row r="2129" spans="19:28" x14ac:dyDescent="0.2">
      <c r="S2129" s="34"/>
      <c r="T2129" s="60" t="str">
        <f>IF(P2129&lt;&gt;"",
    IF(OR(O2129="", Q2129="", R2129=""),
        "Fill all the required columns",
        IFERROR(
            IF(OR(
                AND(R2129="Marine Protected", VLOOKUP(O2129, Reference!$A$2:$D$34, 4, FALSE) &lt;= P2129),
                AND(R2129="General Use", VLOOKUP(O2129, Reference!$A$2:$D$34, 3, FALSE) &lt;= P2129)
            ),
                "Exceeded",
                "OK"
            ),
            "No Regulation defined"
        )
    ),
    ""
)</f>
        <v/>
      </c>
      <c r="AB2129" s="62" t="str">
        <f t="shared" si="33"/>
        <v/>
      </c>
    </row>
    <row r="2130" spans="19:28" x14ac:dyDescent="0.2">
      <c r="S2130" s="34"/>
      <c r="T2130" s="60" t="str">
        <f>IF(P2130&lt;&gt;"",
    IF(OR(O2130="", Q2130="", R2130=""),
        "Fill all the required columns",
        IFERROR(
            IF(OR(
                AND(R2130="Marine Protected", VLOOKUP(O2130, Reference!$A$2:$D$34, 4, FALSE) &lt;= P2130),
                AND(R2130="General Use", VLOOKUP(O2130, Reference!$A$2:$D$34, 3, FALSE) &lt;= P2130)
            ),
                "Exceeded",
                "OK"
            ),
            "No Regulation defined"
        )
    ),
    ""
)</f>
        <v/>
      </c>
      <c r="AB2130" s="62" t="str">
        <f t="shared" si="33"/>
        <v/>
      </c>
    </row>
    <row r="2131" spans="19:28" x14ac:dyDescent="0.2">
      <c r="S2131" s="34"/>
      <c r="T2131" s="60" t="str">
        <f>IF(P2131&lt;&gt;"",
    IF(OR(O2131="", Q2131="", R2131=""),
        "Fill all the required columns",
        IFERROR(
            IF(OR(
                AND(R2131="Marine Protected", VLOOKUP(O2131, Reference!$A$2:$D$34, 4, FALSE) &lt;= P2131),
                AND(R2131="General Use", VLOOKUP(O2131, Reference!$A$2:$D$34, 3, FALSE) &lt;= P2131)
            ),
                "Exceeded",
                "OK"
            ),
            "No Regulation defined"
        )
    ),
    ""
)</f>
        <v/>
      </c>
      <c r="AB2131" s="62" t="str">
        <f t="shared" si="33"/>
        <v/>
      </c>
    </row>
    <row r="2132" spans="19:28" x14ac:dyDescent="0.2">
      <c r="S2132" s="34"/>
      <c r="T2132" s="60" t="str">
        <f>IF(P2132&lt;&gt;"",
    IF(OR(O2132="", Q2132="", R2132=""),
        "Fill all the required columns",
        IFERROR(
            IF(OR(
                AND(R2132="Marine Protected", VLOOKUP(O2132, Reference!$A$2:$D$34, 4, FALSE) &lt;= P2132),
                AND(R2132="General Use", VLOOKUP(O2132, Reference!$A$2:$D$34, 3, FALSE) &lt;= P2132)
            ),
                "Exceeded",
                "OK"
            ),
            "No Regulation defined"
        )
    ),
    ""
)</f>
        <v/>
      </c>
      <c r="AB2132" s="62" t="str">
        <f t="shared" si="33"/>
        <v/>
      </c>
    </row>
    <row r="2133" spans="19:28" x14ac:dyDescent="0.2">
      <c r="S2133" s="34"/>
      <c r="T2133" s="60" t="str">
        <f>IF(P2133&lt;&gt;"",
    IF(OR(O2133="", Q2133="", R2133=""),
        "Fill all the required columns",
        IFERROR(
            IF(OR(
                AND(R2133="Marine Protected", VLOOKUP(O2133, Reference!$A$2:$D$34, 4, FALSE) &lt;= P2133),
                AND(R2133="General Use", VLOOKUP(O2133, Reference!$A$2:$D$34, 3, FALSE) &lt;= P2133)
            ),
                "Exceeded",
                "OK"
            ),
            "No Regulation defined"
        )
    ),
    ""
)</f>
        <v/>
      </c>
      <c r="AB2133" s="62" t="str">
        <f t="shared" si="33"/>
        <v/>
      </c>
    </row>
    <row r="2134" spans="19:28" x14ac:dyDescent="0.2">
      <c r="S2134" s="34"/>
      <c r="T2134" s="60" t="str">
        <f>IF(P2134&lt;&gt;"",
    IF(OR(O2134="", Q2134="", R2134=""),
        "Fill all the required columns",
        IFERROR(
            IF(OR(
                AND(R2134="Marine Protected", VLOOKUP(O2134, Reference!$A$2:$D$34, 4, FALSE) &lt;= P2134),
                AND(R2134="General Use", VLOOKUP(O2134, Reference!$A$2:$D$34, 3, FALSE) &lt;= P2134)
            ),
                "Exceeded",
                "OK"
            ),
            "No Regulation defined"
        )
    ),
    ""
)</f>
        <v/>
      </c>
      <c r="AB2134" s="62" t="str">
        <f t="shared" si="33"/>
        <v/>
      </c>
    </row>
    <row r="2135" spans="19:28" x14ac:dyDescent="0.2">
      <c r="S2135" s="34"/>
      <c r="T2135" s="60" t="str">
        <f>IF(P2135&lt;&gt;"",
    IF(OR(O2135="", Q2135="", R2135=""),
        "Fill all the required columns",
        IFERROR(
            IF(OR(
                AND(R2135="Marine Protected", VLOOKUP(O2135, Reference!$A$2:$D$34, 4, FALSE) &lt;= P2135),
                AND(R2135="General Use", VLOOKUP(O2135, Reference!$A$2:$D$34, 3, FALSE) &lt;= P2135)
            ),
                "Exceeded",
                "OK"
            ),
            "No Regulation defined"
        )
    ),
    ""
)</f>
        <v/>
      </c>
      <c r="AB2135" s="62" t="str">
        <f t="shared" si="33"/>
        <v/>
      </c>
    </row>
    <row r="2136" spans="19:28" x14ac:dyDescent="0.2">
      <c r="S2136" s="34"/>
      <c r="T2136" s="60" t="str">
        <f>IF(P2136&lt;&gt;"",
    IF(OR(O2136="", Q2136="", R2136=""),
        "Fill all the required columns",
        IFERROR(
            IF(OR(
                AND(R2136="Marine Protected", VLOOKUP(O2136, Reference!$A$2:$D$34, 4, FALSE) &lt;= P2136),
                AND(R2136="General Use", VLOOKUP(O2136, Reference!$A$2:$D$34, 3, FALSE) &lt;= P2136)
            ),
                "Exceeded",
                "OK"
            ),
            "No Regulation defined"
        )
    ),
    ""
)</f>
        <v/>
      </c>
      <c r="AB2136" s="62" t="str">
        <f t="shared" si="33"/>
        <v/>
      </c>
    </row>
    <row r="2137" spans="19:28" x14ac:dyDescent="0.2">
      <c r="S2137" s="34"/>
      <c r="T2137" s="60" t="str">
        <f>IF(P2137&lt;&gt;"",
    IF(OR(O2137="", Q2137="", R2137=""),
        "Fill all the required columns",
        IFERROR(
            IF(OR(
                AND(R2137="Marine Protected", VLOOKUP(O2137, Reference!$A$2:$D$34, 4, FALSE) &lt;= P2137),
                AND(R2137="General Use", VLOOKUP(O2137, Reference!$A$2:$D$34, 3, FALSE) &lt;= P2137)
            ),
                "Exceeded",
                "OK"
            ),
            "No Regulation defined"
        )
    ),
    ""
)</f>
        <v/>
      </c>
      <c r="AB2137" s="62" t="str">
        <f t="shared" si="33"/>
        <v/>
      </c>
    </row>
    <row r="2138" spans="19:28" x14ac:dyDescent="0.2">
      <c r="S2138" s="34"/>
      <c r="T2138" s="60" t="str">
        <f>IF(P2138&lt;&gt;"",
    IF(OR(O2138="", Q2138="", R2138=""),
        "Fill all the required columns",
        IFERROR(
            IF(OR(
                AND(R2138="Marine Protected", VLOOKUP(O2138, Reference!$A$2:$D$34, 4, FALSE) &lt;= P2138),
                AND(R2138="General Use", VLOOKUP(O2138, Reference!$A$2:$D$34, 3, FALSE) &lt;= P2138)
            ),
                "Exceeded",
                "OK"
            ),
            "No Regulation defined"
        )
    ),
    ""
)</f>
        <v/>
      </c>
      <c r="AB2138" s="62" t="str">
        <f t="shared" si="33"/>
        <v/>
      </c>
    </row>
    <row r="2139" spans="19:28" x14ac:dyDescent="0.2">
      <c r="S2139" s="34"/>
      <c r="T2139" s="60" t="str">
        <f>IF(P2139&lt;&gt;"",
    IF(OR(O2139="", Q2139="", R2139=""),
        "Fill all the required columns",
        IFERROR(
            IF(OR(
                AND(R2139="Marine Protected", VLOOKUP(O2139, Reference!$A$2:$D$34, 4, FALSE) &lt;= P2139),
                AND(R2139="General Use", VLOOKUP(O2139, Reference!$A$2:$D$34, 3, FALSE) &lt;= P2139)
            ),
                "Exceeded",
                "OK"
            ),
            "No Regulation defined"
        )
    ),
    ""
)</f>
        <v/>
      </c>
      <c r="AB2139" s="62" t="str">
        <f t="shared" si="33"/>
        <v/>
      </c>
    </row>
    <row r="2140" spans="19:28" x14ac:dyDescent="0.2">
      <c r="S2140" s="34"/>
      <c r="T2140" s="60" t="str">
        <f>IF(P2140&lt;&gt;"",
    IF(OR(O2140="", Q2140="", R2140=""),
        "Fill all the required columns",
        IFERROR(
            IF(OR(
                AND(R2140="Marine Protected", VLOOKUP(O2140, Reference!$A$2:$D$34, 4, FALSE) &lt;= P2140),
                AND(R2140="General Use", VLOOKUP(O2140, Reference!$A$2:$D$34, 3, FALSE) &lt;= P2140)
            ),
                "Exceeded",
                "OK"
            ),
            "No Regulation defined"
        )
    ),
    ""
)</f>
        <v/>
      </c>
      <c r="AB2140" s="62" t="str">
        <f t="shared" si="33"/>
        <v/>
      </c>
    </row>
    <row r="2141" spans="19:28" x14ac:dyDescent="0.2">
      <c r="S2141" s="34"/>
      <c r="T2141" s="60" t="str">
        <f>IF(P2141&lt;&gt;"",
    IF(OR(O2141="", Q2141="", R2141=""),
        "Fill all the required columns",
        IFERROR(
            IF(OR(
                AND(R2141="Marine Protected", VLOOKUP(O2141, Reference!$A$2:$D$34, 4, FALSE) &lt;= P2141),
                AND(R2141="General Use", VLOOKUP(O2141, Reference!$A$2:$D$34, 3, FALSE) &lt;= P2141)
            ),
                "Exceeded",
                "OK"
            ),
            "No Regulation defined"
        )
    ),
    ""
)</f>
        <v/>
      </c>
      <c r="AB2141" s="62" t="str">
        <f t="shared" si="33"/>
        <v/>
      </c>
    </row>
    <row r="2142" spans="19:28" x14ac:dyDescent="0.2">
      <c r="S2142" s="34"/>
      <c r="T2142" s="60" t="str">
        <f>IF(P2142&lt;&gt;"",
    IF(OR(O2142="", Q2142="", R2142=""),
        "Fill all the required columns",
        IFERROR(
            IF(OR(
                AND(R2142="Marine Protected", VLOOKUP(O2142, Reference!$A$2:$D$34, 4, FALSE) &lt;= P2142),
                AND(R2142="General Use", VLOOKUP(O2142, Reference!$A$2:$D$34, 3, FALSE) &lt;= P2142)
            ),
                "Exceeded",
                "OK"
            ),
            "No Regulation defined"
        )
    ),
    ""
)</f>
        <v/>
      </c>
      <c r="AB2142" s="62" t="str">
        <f t="shared" si="33"/>
        <v/>
      </c>
    </row>
    <row r="2143" spans="19:28" x14ac:dyDescent="0.2">
      <c r="S2143" s="34"/>
      <c r="T2143" s="60" t="str">
        <f>IF(P2143&lt;&gt;"",
    IF(OR(O2143="", Q2143="", R2143=""),
        "Fill all the required columns",
        IFERROR(
            IF(OR(
                AND(R2143="Marine Protected", VLOOKUP(O2143, Reference!$A$2:$D$34, 4, FALSE) &lt;= P2143),
                AND(R2143="General Use", VLOOKUP(O2143, Reference!$A$2:$D$34, 3, FALSE) &lt;= P2143)
            ),
                "Exceeded",
                "OK"
            ),
            "No Regulation defined"
        )
    ),
    ""
)</f>
        <v/>
      </c>
      <c r="AB2143" s="62" t="str">
        <f t="shared" si="33"/>
        <v/>
      </c>
    </row>
    <row r="2144" spans="19:28" x14ac:dyDescent="0.2">
      <c r="S2144" s="34"/>
      <c r="T2144" s="60" t="str">
        <f>IF(P2144&lt;&gt;"",
    IF(OR(O2144="", Q2144="", R2144=""),
        "Fill all the required columns",
        IFERROR(
            IF(OR(
                AND(R2144="Marine Protected", VLOOKUP(O2144, Reference!$A$2:$D$34, 4, FALSE) &lt;= P2144),
                AND(R2144="General Use", VLOOKUP(O2144, Reference!$A$2:$D$34, 3, FALSE) &lt;= P2144)
            ),
                "Exceeded",
                "OK"
            ),
            "No Regulation defined"
        )
    ),
    ""
)</f>
        <v/>
      </c>
      <c r="AB2144" s="62" t="str">
        <f t="shared" si="33"/>
        <v/>
      </c>
    </row>
    <row r="2145" spans="19:28" x14ac:dyDescent="0.2">
      <c r="S2145" s="34"/>
      <c r="T2145" s="60" t="str">
        <f>IF(P2145&lt;&gt;"",
    IF(OR(O2145="", Q2145="", R2145=""),
        "Fill all the required columns",
        IFERROR(
            IF(OR(
                AND(R2145="Marine Protected", VLOOKUP(O2145, Reference!$A$2:$D$34, 4, FALSE) &lt;= P2145),
                AND(R2145="General Use", VLOOKUP(O2145, Reference!$A$2:$D$34, 3, FALSE) &lt;= P2145)
            ),
                "Exceeded",
                "OK"
            ),
            "No Regulation defined"
        )
    ),
    ""
)</f>
        <v/>
      </c>
      <c r="AB2145" s="62" t="str">
        <f t="shared" si="33"/>
        <v/>
      </c>
    </row>
    <row r="2146" spans="19:28" x14ac:dyDescent="0.2">
      <c r="S2146" s="34"/>
      <c r="T2146" s="60" t="str">
        <f>IF(P2146&lt;&gt;"",
    IF(OR(O2146="", Q2146="", R2146=""),
        "Fill all the required columns",
        IFERROR(
            IF(OR(
                AND(R2146="Marine Protected", VLOOKUP(O2146, Reference!$A$2:$D$34, 4, FALSE) &lt;= P2146),
                AND(R2146="General Use", VLOOKUP(O2146, Reference!$A$2:$D$34, 3, FALSE) &lt;= P2146)
            ),
                "Exceeded",
                "OK"
            ),
            "No Regulation defined"
        )
    ),
    ""
)</f>
        <v/>
      </c>
      <c r="AB2146" s="62" t="str">
        <f t="shared" si="33"/>
        <v/>
      </c>
    </row>
    <row r="2147" spans="19:28" x14ac:dyDescent="0.2">
      <c r="S2147" s="34"/>
      <c r="T2147" s="60" t="str">
        <f>IF(P2147&lt;&gt;"",
    IF(OR(O2147="", Q2147="", R2147=""),
        "Fill all the required columns",
        IFERROR(
            IF(OR(
                AND(R2147="Marine Protected", VLOOKUP(O2147, Reference!$A$2:$D$34, 4, FALSE) &lt;= P2147),
                AND(R2147="General Use", VLOOKUP(O2147, Reference!$A$2:$D$34, 3, FALSE) &lt;= P2147)
            ),
                "Exceeded",
                "OK"
            ),
            "No Regulation defined"
        )
    ),
    ""
)</f>
        <v/>
      </c>
      <c r="AB2147" s="62" t="str">
        <f t="shared" si="33"/>
        <v/>
      </c>
    </row>
    <row r="2148" spans="19:28" x14ac:dyDescent="0.2">
      <c r="S2148" s="34"/>
      <c r="T2148" s="60" t="str">
        <f>IF(P2148&lt;&gt;"",
    IF(OR(O2148="", Q2148="", R2148=""),
        "Fill all the required columns",
        IFERROR(
            IF(OR(
                AND(R2148="Marine Protected", VLOOKUP(O2148, Reference!$A$2:$D$34, 4, FALSE) &lt;= P2148),
                AND(R2148="General Use", VLOOKUP(O2148, Reference!$A$2:$D$34, 3, FALSE) &lt;= P2148)
            ),
                "Exceeded",
                "OK"
            ),
            "No Regulation defined"
        )
    ),
    ""
)</f>
        <v/>
      </c>
      <c r="AB2148" s="62" t="str">
        <f t="shared" si="33"/>
        <v/>
      </c>
    </row>
    <row r="2149" spans="19:28" x14ac:dyDescent="0.2">
      <c r="S2149" s="34"/>
      <c r="T2149" s="60" t="str">
        <f>IF(P2149&lt;&gt;"",
    IF(OR(O2149="", Q2149="", R2149=""),
        "Fill all the required columns",
        IFERROR(
            IF(OR(
                AND(R2149="Marine Protected", VLOOKUP(O2149, Reference!$A$2:$D$34, 4, FALSE) &lt;= P2149),
                AND(R2149="General Use", VLOOKUP(O2149, Reference!$A$2:$D$34, 3, FALSE) &lt;= P2149)
            ),
                "Exceeded",
                "OK"
            ),
            "No Regulation defined"
        )
    ),
    ""
)</f>
        <v/>
      </c>
      <c r="AB2149" s="62" t="str">
        <f t="shared" si="33"/>
        <v/>
      </c>
    </row>
    <row r="2150" spans="19:28" x14ac:dyDescent="0.2">
      <c r="S2150" s="34"/>
      <c r="T2150" s="60" t="str">
        <f>IF(P2150&lt;&gt;"",
    IF(OR(O2150="", Q2150="", R2150=""),
        "Fill all the required columns",
        IFERROR(
            IF(OR(
                AND(R2150="Marine Protected", VLOOKUP(O2150, Reference!$A$2:$D$34, 4, FALSE) &lt;= P2150),
                AND(R2150="General Use", VLOOKUP(O2150, Reference!$A$2:$D$34, 3, FALSE) &lt;= P2150)
            ),
                "Exceeded",
                "OK"
            ),
            "No Regulation defined"
        )
    ),
    ""
)</f>
        <v/>
      </c>
      <c r="AB2150" s="62" t="str">
        <f t="shared" si="33"/>
        <v/>
      </c>
    </row>
    <row r="2151" spans="19:28" x14ac:dyDescent="0.2">
      <c r="S2151" s="34"/>
      <c r="T2151" s="60" t="str">
        <f>IF(P2151&lt;&gt;"",
    IF(OR(O2151="", Q2151="", R2151=""),
        "Fill all the required columns",
        IFERROR(
            IF(OR(
                AND(R2151="Marine Protected", VLOOKUP(O2151, Reference!$A$2:$D$34, 4, FALSE) &lt;= P2151),
                AND(R2151="General Use", VLOOKUP(O2151, Reference!$A$2:$D$34, 3, FALSE) &lt;= P2151)
            ),
                "Exceeded",
                "OK"
            ),
            "No Regulation defined"
        )
    ),
    ""
)</f>
        <v/>
      </c>
      <c r="AB2151" s="62" t="str">
        <f t="shared" si="33"/>
        <v/>
      </c>
    </row>
    <row r="2152" spans="19:28" x14ac:dyDescent="0.2">
      <c r="S2152" s="34"/>
      <c r="T2152" s="60" t="str">
        <f>IF(P2152&lt;&gt;"",
    IF(OR(O2152="", Q2152="", R2152=""),
        "Fill all the required columns",
        IFERROR(
            IF(OR(
                AND(R2152="Marine Protected", VLOOKUP(O2152, Reference!$A$2:$D$34, 4, FALSE) &lt;= P2152),
                AND(R2152="General Use", VLOOKUP(O2152, Reference!$A$2:$D$34, 3, FALSE) &lt;= P2152)
            ),
                "Exceeded",
                "OK"
            ),
            "No Regulation defined"
        )
    ),
    ""
)</f>
        <v/>
      </c>
      <c r="AB2152" s="62" t="str">
        <f t="shared" si="33"/>
        <v/>
      </c>
    </row>
    <row r="2153" spans="19:28" x14ac:dyDescent="0.2">
      <c r="S2153" s="34"/>
      <c r="T2153" s="60" t="str">
        <f>IF(P2153&lt;&gt;"",
    IF(OR(O2153="", Q2153="", R2153=""),
        "Fill all the required columns",
        IFERROR(
            IF(OR(
                AND(R2153="Marine Protected", VLOOKUP(O2153, Reference!$A$2:$D$34, 4, FALSE) &lt;= P2153),
                AND(R2153="General Use", VLOOKUP(O2153, Reference!$A$2:$D$34, 3, FALSE) &lt;= P2153)
            ),
                "Exceeded",
                "OK"
            ),
            "No Regulation defined"
        )
    ),
    ""
)</f>
        <v/>
      </c>
      <c r="AB2153" s="62" t="str">
        <f t="shared" si="33"/>
        <v/>
      </c>
    </row>
    <row r="2154" spans="19:28" x14ac:dyDescent="0.2">
      <c r="S2154" s="34"/>
      <c r="T2154" s="60" t="str">
        <f>IF(P2154&lt;&gt;"",
    IF(OR(O2154="", Q2154="", R2154=""),
        "Fill all the required columns",
        IFERROR(
            IF(OR(
                AND(R2154="Marine Protected", VLOOKUP(O2154, Reference!$A$2:$D$34, 4, FALSE) &lt;= P2154),
                AND(R2154="General Use", VLOOKUP(O2154, Reference!$A$2:$D$34, 3, FALSE) &lt;= P2154)
            ),
                "Exceeded",
                "OK"
            ),
            "No Regulation defined"
        )
    ),
    ""
)</f>
        <v/>
      </c>
      <c r="AB2154" s="62" t="str">
        <f t="shared" si="33"/>
        <v/>
      </c>
    </row>
    <row r="2155" spans="19:28" x14ac:dyDescent="0.2">
      <c r="S2155" s="34"/>
      <c r="T2155" s="60" t="str">
        <f>IF(P2155&lt;&gt;"",
    IF(OR(O2155="", Q2155="", R2155=""),
        "Fill all the required columns",
        IFERROR(
            IF(OR(
                AND(R2155="Marine Protected", VLOOKUP(O2155, Reference!$A$2:$D$34, 4, FALSE) &lt;= P2155),
                AND(R2155="General Use", VLOOKUP(O2155, Reference!$A$2:$D$34, 3, FALSE) &lt;= P2155)
            ),
                "Exceeded",
                "OK"
            ),
            "No Regulation defined"
        )
    ),
    ""
)</f>
        <v/>
      </c>
      <c r="AB2155" s="62" t="str">
        <f t="shared" si="33"/>
        <v/>
      </c>
    </row>
    <row r="2156" spans="19:28" x14ac:dyDescent="0.2">
      <c r="S2156" s="34"/>
      <c r="T2156" s="60" t="str">
        <f>IF(P2156&lt;&gt;"",
    IF(OR(O2156="", Q2156="", R2156=""),
        "Fill all the required columns",
        IFERROR(
            IF(OR(
                AND(R2156="Marine Protected", VLOOKUP(O2156, Reference!$A$2:$D$34, 4, FALSE) &lt;= P2156),
                AND(R2156="General Use", VLOOKUP(O2156, Reference!$A$2:$D$34, 3, FALSE) &lt;= P2156)
            ),
                "Exceeded",
                "OK"
            ),
            "No Regulation defined"
        )
    ),
    ""
)</f>
        <v/>
      </c>
      <c r="AB2156" s="62" t="str">
        <f t="shared" si="33"/>
        <v/>
      </c>
    </row>
    <row r="2157" spans="19:28" x14ac:dyDescent="0.2">
      <c r="S2157" s="34"/>
      <c r="T2157" s="60" t="str">
        <f>IF(P2157&lt;&gt;"",
    IF(OR(O2157="", Q2157="", R2157=""),
        "Fill all the required columns",
        IFERROR(
            IF(OR(
                AND(R2157="Marine Protected", VLOOKUP(O2157, Reference!$A$2:$D$34, 4, FALSE) &lt;= P2157),
                AND(R2157="General Use", VLOOKUP(O2157, Reference!$A$2:$D$34, 3, FALSE) &lt;= P2157)
            ),
                "Exceeded",
                "OK"
            ),
            "No Regulation defined"
        )
    ),
    ""
)</f>
        <v/>
      </c>
      <c r="AB2157" s="62" t="str">
        <f t="shared" si="33"/>
        <v/>
      </c>
    </row>
    <row r="2158" spans="19:28" x14ac:dyDescent="0.2">
      <c r="S2158" s="34"/>
      <c r="T2158" s="60" t="str">
        <f>IF(P2158&lt;&gt;"",
    IF(OR(O2158="", Q2158="", R2158=""),
        "Fill all the required columns",
        IFERROR(
            IF(OR(
                AND(R2158="Marine Protected", VLOOKUP(O2158, Reference!$A$2:$D$34, 4, FALSE) &lt;= P2158),
                AND(R2158="General Use", VLOOKUP(O2158, Reference!$A$2:$D$34, 3, FALSE) &lt;= P2158)
            ),
                "Exceeded",
                "OK"
            ),
            "No Regulation defined"
        )
    ),
    ""
)</f>
        <v/>
      </c>
      <c r="AB2158" s="62" t="str">
        <f t="shared" si="33"/>
        <v/>
      </c>
    </row>
    <row r="2159" spans="19:28" x14ac:dyDescent="0.2">
      <c r="S2159" s="34"/>
      <c r="T2159" s="60" t="str">
        <f>IF(P2159&lt;&gt;"",
    IF(OR(O2159="", Q2159="", R2159=""),
        "Fill all the required columns",
        IFERROR(
            IF(OR(
                AND(R2159="Marine Protected", VLOOKUP(O2159, Reference!$A$2:$D$34, 4, FALSE) &lt;= P2159),
                AND(R2159="General Use", VLOOKUP(O2159, Reference!$A$2:$D$34, 3, FALSE) &lt;= P2159)
            ),
                "Exceeded",
                "OK"
            ),
            "No Regulation defined"
        )
    ),
    ""
)</f>
        <v/>
      </c>
      <c r="AB2159" s="62" t="str">
        <f t="shared" si="33"/>
        <v/>
      </c>
    </row>
    <row r="2160" spans="19:28" x14ac:dyDescent="0.2">
      <c r="S2160" s="34"/>
      <c r="T2160" s="60" t="str">
        <f>IF(P2160&lt;&gt;"",
    IF(OR(O2160="", Q2160="", R2160=""),
        "Fill all the required columns",
        IFERROR(
            IF(OR(
                AND(R2160="Marine Protected", VLOOKUP(O2160, Reference!$A$2:$D$34, 4, FALSE) &lt;= P2160),
                AND(R2160="General Use", VLOOKUP(O2160, Reference!$A$2:$D$34, 3, FALSE) &lt;= P2160)
            ),
                "Exceeded",
                "OK"
            ),
            "No Regulation defined"
        )
    ),
    ""
)</f>
        <v/>
      </c>
      <c r="AB2160" s="62" t="str">
        <f t="shared" si="33"/>
        <v/>
      </c>
    </row>
    <row r="2161" spans="19:28" x14ac:dyDescent="0.2">
      <c r="S2161" s="34"/>
      <c r="T2161" s="60" t="str">
        <f>IF(P2161&lt;&gt;"",
    IF(OR(O2161="", Q2161="", R2161=""),
        "Fill all the required columns",
        IFERROR(
            IF(OR(
                AND(R2161="Marine Protected", VLOOKUP(O2161, Reference!$A$2:$D$34, 4, FALSE) &lt;= P2161),
                AND(R2161="General Use", VLOOKUP(O2161, Reference!$A$2:$D$34, 3, FALSE) &lt;= P2161)
            ),
                "Exceeded",
                "OK"
            ),
            "No Regulation defined"
        )
    ),
    ""
)</f>
        <v/>
      </c>
      <c r="AB2161" s="62" t="str">
        <f t="shared" si="33"/>
        <v/>
      </c>
    </row>
    <row r="2162" spans="19:28" x14ac:dyDescent="0.2">
      <c r="S2162" s="34"/>
      <c r="T2162" s="60" t="str">
        <f>IF(P2162&lt;&gt;"",
    IF(OR(O2162="", Q2162="", R2162=""),
        "Fill all the required columns",
        IFERROR(
            IF(OR(
                AND(R2162="Marine Protected", VLOOKUP(O2162, Reference!$A$2:$D$34, 4, FALSE) &lt;= P2162),
                AND(R2162="General Use", VLOOKUP(O2162, Reference!$A$2:$D$34, 3, FALSE) &lt;= P2162)
            ),
                "Exceeded",
                "OK"
            ),
            "No Regulation defined"
        )
    ),
    ""
)</f>
        <v/>
      </c>
      <c r="AB2162" s="62" t="str">
        <f t="shared" si="33"/>
        <v/>
      </c>
    </row>
    <row r="2163" spans="19:28" x14ac:dyDescent="0.2">
      <c r="S2163" s="34"/>
      <c r="T2163" s="60" t="str">
        <f>IF(P2163&lt;&gt;"",
    IF(OR(O2163="", Q2163="", R2163=""),
        "Fill all the required columns",
        IFERROR(
            IF(OR(
                AND(R2163="Marine Protected", VLOOKUP(O2163, Reference!$A$2:$D$34, 4, FALSE) &lt;= P2163),
                AND(R2163="General Use", VLOOKUP(O2163, Reference!$A$2:$D$34, 3, FALSE) &lt;= P2163)
            ),
                "Exceeded",
                "OK"
            ),
            "No Regulation defined"
        )
    ),
    ""
)</f>
        <v/>
      </c>
      <c r="AB2163" s="62" t="str">
        <f t="shared" si="33"/>
        <v/>
      </c>
    </row>
    <row r="2164" spans="19:28" x14ac:dyDescent="0.2">
      <c r="S2164" s="34"/>
      <c r="T2164" s="60" t="str">
        <f>IF(P2164&lt;&gt;"",
    IF(OR(O2164="", Q2164="", R2164=""),
        "Fill all the required columns",
        IFERROR(
            IF(OR(
                AND(R2164="Marine Protected", VLOOKUP(O2164, Reference!$A$2:$D$34, 4, FALSE) &lt;= P2164),
                AND(R2164="General Use", VLOOKUP(O2164, Reference!$A$2:$D$34, 3, FALSE) &lt;= P2164)
            ),
                "Exceeded",
                "OK"
            ),
            "No Regulation defined"
        )
    ),
    ""
)</f>
        <v/>
      </c>
      <c r="AB2164" s="62" t="str">
        <f t="shared" si="33"/>
        <v/>
      </c>
    </row>
    <row r="2165" spans="19:28" x14ac:dyDescent="0.2">
      <c r="S2165" s="34"/>
      <c r="T2165" s="60" t="str">
        <f>IF(P2165&lt;&gt;"",
    IF(OR(O2165="", Q2165="", R2165=""),
        "Fill all the required columns",
        IFERROR(
            IF(OR(
                AND(R2165="Marine Protected", VLOOKUP(O2165, Reference!$A$2:$D$34, 4, FALSE) &lt;= P2165),
                AND(R2165="General Use", VLOOKUP(O2165, Reference!$A$2:$D$34, 3, FALSE) &lt;= P2165)
            ),
                "Exceeded",
                "OK"
            ),
            "No Regulation defined"
        )
    ),
    ""
)</f>
        <v/>
      </c>
      <c r="AB2165" s="62" t="str">
        <f t="shared" si="33"/>
        <v/>
      </c>
    </row>
    <row r="2166" spans="19:28" x14ac:dyDescent="0.2">
      <c r="S2166" s="34"/>
      <c r="T2166" s="60" t="str">
        <f>IF(P2166&lt;&gt;"",
    IF(OR(O2166="", Q2166="", R2166=""),
        "Fill all the required columns",
        IFERROR(
            IF(OR(
                AND(R2166="Marine Protected", VLOOKUP(O2166, Reference!$A$2:$D$34, 4, FALSE) &lt;= P2166),
                AND(R2166="General Use", VLOOKUP(O2166, Reference!$A$2:$D$34, 3, FALSE) &lt;= P2166)
            ),
                "Exceeded",
                "OK"
            ),
            "No Regulation defined"
        )
    ),
    ""
)</f>
        <v/>
      </c>
      <c r="AB2166" s="62" t="str">
        <f t="shared" si="33"/>
        <v/>
      </c>
    </row>
    <row r="2167" spans="19:28" x14ac:dyDescent="0.2">
      <c r="S2167" s="34"/>
      <c r="T2167" s="60" t="str">
        <f>IF(P2167&lt;&gt;"",
    IF(OR(O2167="", Q2167="", R2167=""),
        "Fill all the required columns",
        IFERROR(
            IF(OR(
                AND(R2167="Marine Protected", VLOOKUP(O2167, Reference!$A$2:$D$34, 4, FALSE) &lt;= P2167),
                AND(R2167="General Use", VLOOKUP(O2167, Reference!$A$2:$D$34, 3, FALSE) &lt;= P2167)
            ),
                "Exceeded",
                "OK"
            ),
            "No Regulation defined"
        )
    ),
    ""
)</f>
        <v/>
      </c>
      <c r="AB2167" s="62" t="str">
        <f t="shared" si="33"/>
        <v/>
      </c>
    </row>
    <row r="2168" spans="19:28" x14ac:dyDescent="0.2">
      <c r="S2168" s="34"/>
      <c r="T2168" s="60" t="str">
        <f>IF(P2168&lt;&gt;"",
    IF(OR(O2168="", Q2168="", R2168=""),
        "Fill all the required columns",
        IFERROR(
            IF(OR(
                AND(R2168="Marine Protected", VLOOKUP(O2168, Reference!$A$2:$D$34, 4, FALSE) &lt;= P2168),
                AND(R2168="General Use", VLOOKUP(O2168, Reference!$A$2:$D$34, 3, FALSE) &lt;= P2168)
            ),
                "Exceeded",
                "OK"
            ),
            "No Regulation defined"
        )
    ),
    ""
)</f>
        <v/>
      </c>
      <c r="AB2168" s="62" t="str">
        <f t="shared" si="33"/>
        <v/>
      </c>
    </row>
    <row r="2169" spans="19:28" x14ac:dyDescent="0.2">
      <c r="S2169" s="34"/>
      <c r="T2169" s="60" t="str">
        <f>IF(P2169&lt;&gt;"",
    IF(OR(O2169="", Q2169="", R2169=""),
        "Fill all the required columns",
        IFERROR(
            IF(OR(
                AND(R2169="Marine Protected", VLOOKUP(O2169, Reference!$A$2:$D$34, 4, FALSE) &lt;= P2169),
                AND(R2169="General Use", VLOOKUP(O2169, Reference!$A$2:$D$34, 3, FALSE) &lt;= P2169)
            ),
                "Exceeded",
                "OK"
            ),
            "No Regulation defined"
        )
    ),
    ""
)</f>
        <v/>
      </c>
      <c r="AB2169" s="62" t="str">
        <f t="shared" si="33"/>
        <v/>
      </c>
    </row>
    <row r="2170" spans="19:28" x14ac:dyDescent="0.2">
      <c r="S2170" s="34"/>
      <c r="T2170" s="60" t="str">
        <f>IF(P2170&lt;&gt;"",
    IF(OR(O2170="", Q2170="", R2170=""),
        "Fill all the required columns",
        IFERROR(
            IF(OR(
                AND(R2170="Marine Protected", VLOOKUP(O2170, Reference!$A$2:$D$34, 4, FALSE) &lt;= P2170),
                AND(R2170="General Use", VLOOKUP(O2170, Reference!$A$2:$D$34, 3, FALSE) &lt;= P2170)
            ),
                "Exceeded",
                "OK"
            ),
            "No Regulation defined"
        )
    ),
    ""
)</f>
        <v/>
      </c>
      <c r="AB2170" s="62" t="str">
        <f t="shared" si="33"/>
        <v/>
      </c>
    </row>
    <row r="2171" spans="19:28" x14ac:dyDescent="0.2">
      <c r="S2171" s="34"/>
      <c r="T2171" s="60" t="str">
        <f>IF(P2171&lt;&gt;"",
    IF(OR(O2171="", Q2171="", R2171=""),
        "Fill all the required columns",
        IFERROR(
            IF(OR(
                AND(R2171="Marine Protected", VLOOKUP(O2171, Reference!$A$2:$D$34, 4, FALSE) &lt;= P2171),
                AND(R2171="General Use", VLOOKUP(O2171, Reference!$A$2:$D$34, 3, FALSE) &lt;= P2171)
            ),
                "Exceeded",
                "OK"
            ),
            "No Regulation defined"
        )
    ),
    ""
)</f>
        <v/>
      </c>
      <c r="AB2171" s="62" t="str">
        <f t="shared" si="33"/>
        <v/>
      </c>
    </row>
    <row r="2172" spans="19:28" x14ac:dyDescent="0.2">
      <c r="S2172" s="34"/>
      <c r="T2172" s="60" t="str">
        <f>IF(P2172&lt;&gt;"",
    IF(OR(O2172="", Q2172="", R2172=""),
        "Fill all the required columns",
        IFERROR(
            IF(OR(
                AND(R2172="Marine Protected", VLOOKUP(O2172, Reference!$A$2:$D$34, 4, FALSE) &lt;= P2172),
                AND(R2172="General Use", VLOOKUP(O2172, Reference!$A$2:$D$34, 3, FALSE) &lt;= P2172)
            ),
                "Exceeded",
                "OK"
            ),
            "No Regulation defined"
        )
    ),
    ""
)</f>
        <v/>
      </c>
      <c r="AB2172" s="62" t="str">
        <f t="shared" si="33"/>
        <v/>
      </c>
    </row>
    <row r="2173" spans="19:28" x14ac:dyDescent="0.2">
      <c r="S2173" s="34"/>
      <c r="T2173" s="60" t="str">
        <f>IF(P2173&lt;&gt;"",
    IF(OR(O2173="", Q2173="", R2173=""),
        "Fill all the required columns",
        IFERROR(
            IF(OR(
                AND(R2173="Marine Protected", VLOOKUP(O2173, Reference!$A$2:$D$34, 4, FALSE) &lt;= P2173),
                AND(R2173="General Use", VLOOKUP(O2173, Reference!$A$2:$D$34, 3, FALSE) &lt;= P2173)
            ),
                "Exceeded",
                "OK"
            ),
            "No Regulation defined"
        )
    ),
    ""
)</f>
        <v/>
      </c>
      <c r="AB2173" s="62" t="str">
        <f t="shared" si="33"/>
        <v/>
      </c>
    </row>
    <row r="2174" spans="19:28" x14ac:dyDescent="0.2">
      <c r="S2174" s="34"/>
      <c r="T2174" s="60" t="str">
        <f>IF(P2174&lt;&gt;"",
    IF(OR(O2174="", Q2174="", R2174=""),
        "Fill all the required columns",
        IFERROR(
            IF(OR(
                AND(R2174="Marine Protected", VLOOKUP(O2174, Reference!$A$2:$D$34, 4, FALSE) &lt;= P2174),
                AND(R2174="General Use", VLOOKUP(O2174, Reference!$A$2:$D$34, 3, FALSE) &lt;= P2174)
            ),
                "Exceeded",
                "OK"
            ),
            "No Regulation defined"
        )
    ),
    ""
)</f>
        <v/>
      </c>
      <c r="AB2174" s="62" t="str">
        <f t="shared" si="33"/>
        <v/>
      </c>
    </row>
    <row r="2175" spans="19:28" x14ac:dyDescent="0.2">
      <c r="S2175" s="34"/>
      <c r="T2175" s="60" t="str">
        <f>IF(P2175&lt;&gt;"",
    IF(OR(O2175="", Q2175="", R2175=""),
        "Fill all the required columns",
        IFERROR(
            IF(OR(
                AND(R2175="Marine Protected", VLOOKUP(O2175, Reference!$A$2:$D$34, 4, FALSE) &lt;= P2175),
                AND(R2175="General Use", VLOOKUP(O2175, Reference!$A$2:$D$34, 3, FALSE) &lt;= P2175)
            ),
                "Exceeded",
                "OK"
            ),
            "No Regulation defined"
        )
    ),
    ""
)</f>
        <v/>
      </c>
      <c r="AB2175" s="62" t="str">
        <f t="shared" si="33"/>
        <v/>
      </c>
    </row>
    <row r="2176" spans="19:28" x14ac:dyDescent="0.2">
      <c r="S2176" s="34"/>
      <c r="T2176" s="60" t="str">
        <f>IF(P2176&lt;&gt;"",
    IF(OR(O2176="", Q2176="", R2176=""),
        "Fill all the required columns",
        IFERROR(
            IF(OR(
                AND(R2176="Marine Protected", VLOOKUP(O2176, Reference!$A$2:$D$34, 4, FALSE) &lt;= P2176),
                AND(R2176="General Use", VLOOKUP(O2176, Reference!$A$2:$D$34, 3, FALSE) &lt;= P2176)
            ),
                "Exceeded",
                "OK"
            ),
            "No Regulation defined"
        )
    ),
    ""
)</f>
        <v/>
      </c>
      <c r="AB2176" s="62" t="str">
        <f t="shared" si="33"/>
        <v/>
      </c>
    </row>
    <row r="2177" spans="19:28" x14ac:dyDescent="0.2">
      <c r="S2177" s="34"/>
      <c r="T2177" s="60" t="str">
        <f>IF(P2177&lt;&gt;"",
    IF(OR(O2177="", Q2177="", R2177=""),
        "Fill all the required columns",
        IFERROR(
            IF(OR(
                AND(R2177="Marine Protected", VLOOKUP(O2177, Reference!$A$2:$D$34, 4, FALSE) &lt;= P2177),
                AND(R2177="General Use", VLOOKUP(O2177, Reference!$A$2:$D$34, 3, FALSE) &lt;= P2177)
            ),
                "Exceeded",
                "OK"
            ),
            "No Regulation defined"
        )
    ),
    ""
)</f>
        <v/>
      </c>
      <c r="AB2177" s="62" t="str">
        <f t="shared" si="33"/>
        <v/>
      </c>
    </row>
    <row r="2178" spans="19:28" x14ac:dyDescent="0.2">
      <c r="S2178" s="34"/>
      <c r="T2178" s="60" t="str">
        <f>IF(P2178&lt;&gt;"",
    IF(OR(O2178="", Q2178="", R2178=""),
        "Fill all the required columns",
        IFERROR(
            IF(OR(
                AND(R2178="Marine Protected", VLOOKUP(O2178, Reference!$A$2:$D$34, 4, FALSE) &lt;= P2178),
                AND(R2178="General Use", VLOOKUP(O2178, Reference!$A$2:$D$34, 3, FALSE) &lt;= P2178)
            ),
                "Exceeded",
                "OK"
            ),
            "No Regulation defined"
        )
    ),
    ""
)</f>
        <v/>
      </c>
      <c r="AB2178" s="62" t="str">
        <f t="shared" si="33"/>
        <v/>
      </c>
    </row>
    <row r="2179" spans="19:28" x14ac:dyDescent="0.2">
      <c r="S2179" s="34"/>
      <c r="T2179" s="60" t="str">
        <f>IF(P2179&lt;&gt;"",
    IF(OR(O2179="", Q2179="", R2179=""),
        "Fill all the required columns",
        IFERROR(
            IF(OR(
                AND(R2179="Marine Protected", VLOOKUP(O2179, Reference!$A$2:$D$34, 4, FALSE) &lt;= P2179),
                AND(R2179="General Use", VLOOKUP(O2179, Reference!$A$2:$D$34, 3, FALSE) &lt;= P2179)
            ),
                "Exceeded",
                "OK"
            ),
            "No Regulation defined"
        )
    ),
    ""
)</f>
        <v/>
      </c>
      <c r="AB2179" s="62" t="str">
        <f t="shared" ref="AB2179:AB2242" si="34">IF(COUNTA(A2179, E2179, F2179, H2179, I2179, O2179, P2179, Q2179, R2179,S2179) = 0, "", IF(COUNTA(A2179, E2179, F2179, H2179, I2179, O2179, P2179, Q2179, R2179,S2179) = 10, "OK", "Incomplete"))</f>
        <v/>
      </c>
    </row>
    <row r="2180" spans="19:28" x14ac:dyDescent="0.2">
      <c r="S2180" s="34"/>
      <c r="T2180" s="60" t="str">
        <f>IF(P2180&lt;&gt;"",
    IF(OR(O2180="", Q2180="", R2180=""),
        "Fill all the required columns",
        IFERROR(
            IF(OR(
                AND(R2180="Marine Protected", VLOOKUP(O2180, Reference!$A$2:$D$34, 4, FALSE) &lt;= P2180),
                AND(R2180="General Use", VLOOKUP(O2180, Reference!$A$2:$D$34, 3, FALSE) &lt;= P2180)
            ),
                "Exceeded",
                "OK"
            ),
            "No Regulation defined"
        )
    ),
    ""
)</f>
        <v/>
      </c>
      <c r="AB2180" s="62" t="str">
        <f t="shared" si="34"/>
        <v/>
      </c>
    </row>
    <row r="2181" spans="19:28" x14ac:dyDescent="0.2">
      <c r="S2181" s="34"/>
      <c r="T2181" s="60" t="str">
        <f>IF(P2181&lt;&gt;"",
    IF(OR(O2181="", Q2181="", R2181=""),
        "Fill all the required columns",
        IFERROR(
            IF(OR(
                AND(R2181="Marine Protected", VLOOKUP(O2181, Reference!$A$2:$D$34, 4, FALSE) &lt;= P2181),
                AND(R2181="General Use", VLOOKUP(O2181, Reference!$A$2:$D$34, 3, FALSE) &lt;= P2181)
            ),
                "Exceeded",
                "OK"
            ),
            "No Regulation defined"
        )
    ),
    ""
)</f>
        <v/>
      </c>
      <c r="AB2181" s="62" t="str">
        <f t="shared" si="34"/>
        <v/>
      </c>
    </row>
    <row r="2182" spans="19:28" x14ac:dyDescent="0.2">
      <c r="S2182" s="34"/>
      <c r="T2182" s="60" t="str">
        <f>IF(P2182&lt;&gt;"",
    IF(OR(O2182="", Q2182="", R2182=""),
        "Fill all the required columns",
        IFERROR(
            IF(OR(
                AND(R2182="Marine Protected", VLOOKUP(O2182, Reference!$A$2:$D$34, 4, FALSE) &lt;= P2182),
                AND(R2182="General Use", VLOOKUP(O2182, Reference!$A$2:$D$34, 3, FALSE) &lt;= P2182)
            ),
                "Exceeded",
                "OK"
            ),
            "No Regulation defined"
        )
    ),
    ""
)</f>
        <v/>
      </c>
      <c r="AB2182" s="62" t="str">
        <f t="shared" si="34"/>
        <v/>
      </c>
    </row>
    <row r="2183" spans="19:28" x14ac:dyDescent="0.2">
      <c r="S2183" s="34"/>
      <c r="T2183" s="60" t="str">
        <f>IF(P2183&lt;&gt;"",
    IF(OR(O2183="", Q2183="", R2183=""),
        "Fill all the required columns",
        IFERROR(
            IF(OR(
                AND(R2183="Marine Protected", VLOOKUP(O2183, Reference!$A$2:$D$34, 4, FALSE) &lt;= P2183),
                AND(R2183="General Use", VLOOKUP(O2183, Reference!$A$2:$D$34, 3, FALSE) &lt;= P2183)
            ),
                "Exceeded",
                "OK"
            ),
            "No Regulation defined"
        )
    ),
    ""
)</f>
        <v/>
      </c>
      <c r="AB2183" s="62" t="str">
        <f t="shared" si="34"/>
        <v/>
      </c>
    </row>
    <row r="2184" spans="19:28" x14ac:dyDescent="0.2">
      <c r="S2184" s="34"/>
      <c r="T2184" s="60" t="str">
        <f>IF(P2184&lt;&gt;"",
    IF(OR(O2184="", Q2184="", R2184=""),
        "Fill all the required columns",
        IFERROR(
            IF(OR(
                AND(R2184="Marine Protected", VLOOKUP(O2184, Reference!$A$2:$D$34, 4, FALSE) &lt;= P2184),
                AND(R2184="General Use", VLOOKUP(O2184, Reference!$A$2:$D$34, 3, FALSE) &lt;= P2184)
            ),
                "Exceeded",
                "OK"
            ),
            "No Regulation defined"
        )
    ),
    ""
)</f>
        <v/>
      </c>
      <c r="AB2184" s="62" t="str">
        <f t="shared" si="34"/>
        <v/>
      </c>
    </row>
    <row r="2185" spans="19:28" x14ac:dyDescent="0.2">
      <c r="S2185" s="34"/>
      <c r="T2185" s="60" t="str">
        <f>IF(P2185&lt;&gt;"",
    IF(OR(O2185="", Q2185="", R2185=""),
        "Fill all the required columns",
        IFERROR(
            IF(OR(
                AND(R2185="Marine Protected", VLOOKUP(O2185, Reference!$A$2:$D$34, 4, FALSE) &lt;= P2185),
                AND(R2185="General Use", VLOOKUP(O2185, Reference!$A$2:$D$34, 3, FALSE) &lt;= P2185)
            ),
                "Exceeded",
                "OK"
            ),
            "No Regulation defined"
        )
    ),
    ""
)</f>
        <v/>
      </c>
      <c r="AB2185" s="62" t="str">
        <f t="shared" si="34"/>
        <v/>
      </c>
    </row>
    <row r="2186" spans="19:28" x14ac:dyDescent="0.2">
      <c r="S2186" s="34"/>
      <c r="T2186" s="60" t="str">
        <f>IF(P2186&lt;&gt;"",
    IF(OR(O2186="", Q2186="", R2186=""),
        "Fill all the required columns",
        IFERROR(
            IF(OR(
                AND(R2186="Marine Protected", VLOOKUP(O2186, Reference!$A$2:$D$34, 4, FALSE) &lt;= P2186),
                AND(R2186="General Use", VLOOKUP(O2186, Reference!$A$2:$D$34, 3, FALSE) &lt;= P2186)
            ),
                "Exceeded",
                "OK"
            ),
            "No Regulation defined"
        )
    ),
    ""
)</f>
        <v/>
      </c>
      <c r="AB2186" s="62" t="str">
        <f t="shared" si="34"/>
        <v/>
      </c>
    </row>
    <row r="2187" spans="19:28" x14ac:dyDescent="0.2">
      <c r="S2187" s="34"/>
      <c r="T2187" s="60" t="str">
        <f>IF(P2187&lt;&gt;"",
    IF(OR(O2187="", Q2187="", R2187=""),
        "Fill all the required columns",
        IFERROR(
            IF(OR(
                AND(R2187="Marine Protected", VLOOKUP(O2187, Reference!$A$2:$D$34, 4, FALSE) &lt;= P2187),
                AND(R2187="General Use", VLOOKUP(O2187, Reference!$A$2:$D$34, 3, FALSE) &lt;= P2187)
            ),
                "Exceeded",
                "OK"
            ),
            "No Regulation defined"
        )
    ),
    ""
)</f>
        <v/>
      </c>
      <c r="AB2187" s="62" t="str">
        <f t="shared" si="34"/>
        <v/>
      </c>
    </row>
    <row r="2188" spans="19:28" x14ac:dyDescent="0.2">
      <c r="S2188" s="34"/>
      <c r="T2188" s="60" t="str">
        <f>IF(P2188&lt;&gt;"",
    IF(OR(O2188="", Q2188="", R2188=""),
        "Fill all the required columns",
        IFERROR(
            IF(OR(
                AND(R2188="Marine Protected", VLOOKUP(O2188, Reference!$A$2:$D$34, 4, FALSE) &lt;= P2188),
                AND(R2188="General Use", VLOOKUP(O2188, Reference!$A$2:$D$34, 3, FALSE) &lt;= P2188)
            ),
                "Exceeded",
                "OK"
            ),
            "No Regulation defined"
        )
    ),
    ""
)</f>
        <v/>
      </c>
      <c r="AB2188" s="62" t="str">
        <f t="shared" si="34"/>
        <v/>
      </c>
    </row>
    <row r="2189" spans="19:28" x14ac:dyDescent="0.2">
      <c r="S2189" s="34"/>
      <c r="T2189" s="60" t="str">
        <f>IF(P2189&lt;&gt;"",
    IF(OR(O2189="", Q2189="", R2189=""),
        "Fill all the required columns",
        IFERROR(
            IF(OR(
                AND(R2189="Marine Protected", VLOOKUP(O2189, Reference!$A$2:$D$34, 4, FALSE) &lt;= P2189),
                AND(R2189="General Use", VLOOKUP(O2189, Reference!$A$2:$D$34, 3, FALSE) &lt;= P2189)
            ),
                "Exceeded",
                "OK"
            ),
            "No Regulation defined"
        )
    ),
    ""
)</f>
        <v/>
      </c>
      <c r="AB2189" s="62" t="str">
        <f t="shared" si="34"/>
        <v/>
      </c>
    </row>
    <row r="2190" spans="19:28" x14ac:dyDescent="0.2">
      <c r="S2190" s="34"/>
      <c r="T2190" s="60" t="str">
        <f>IF(P2190&lt;&gt;"",
    IF(OR(O2190="", Q2190="", R2190=""),
        "Fill all the required columns",
        IFERROR(
            IF(OR(
                AND(R2190="Marine Protected", VLOOKUP(O2190, Reference!$A$2:$D$34, 4, FALSE) &lt;= P2190),
                AND(R2190="General Use", VLOOKUP(O2190, Reference!$A$2:$D$34, 3, FALSE) &lt;= P2190)
            ),
                "Exceeded",
                "OK"
            ),
            "No Regulation defined"
        )
    ),
    ""
)</f>
        <v/>
      </c>
      <c r="AB2190" s="62" t="str">
        <f t="shared" si="34"/>
        <v/>
      </c>
    </row>
    <row r="2191" spans="19:28" x14ac:dyDescent="0.2">
      <c r="S2191" s="34"/>
      <c r="T2191" s="60" t="str">
        <f>IF(P2191&lt;&gt;"",
    IF(OR(O2191="", Q2191="", R2191=""),
        "Fill all the required columns",
        IFERROR(
            IF(OR(
                AND(R2191="Marine Protected", VLOOKUP(O2191, Reference!$A$2:$D$34, 4, FALSE) &lt;= P2191),
                AND(R2191="General Use", VLOOKUP(O2191, Reference!$A$2:$D$34, 3, FALSE) &lt;= P2191)
            ),
                "Exceeded",
                "OK"
            ),
            "No Regulation defined"
        )
    ),
    ""
)</f>
        <v/>
      </c>
      <c r="AB2191" s="62" t="str">
        <f t="shared" si="34"/>
        <v/>
      </c>
    </row>
    <row r="2192" spans="19:28" x14ac:dyDescent="0.2">
      <c r="S2192" s="34"/>
      <c r="T2192" s="60" t="str">
        <f>IF(P2192&lt;&gt;"",
    IF(OR(O2192="", Q2192="", R2192=""),
        "Fill all the required columns",
        IFERROR(
            IF(OR(
                AND(R2192="Marine Protected", VLOOKUP(O2192, Reference!$A$2:$D$34, 4, FALSE) &lt;= P2192),
                AND(R2192="General Use", VLOOKUP(O2192, Reference!$A$2:$D$34, 3, FALSE) &lt;= P2192)
            ),
                "Exceeded",
                "OK"
            ),
            "No Regulation defined"
        )
    ),
    ""
)</f>
        <v/>
      </c>
      <c r="AB2192" s="62" t="str">
        <f t="shared" si="34"/>
        <v/>
      </c>
    </row>
    <row r="2193" spans="19:28" x14ac:dyDescent="0.2">
      <c r="S2193" s="34"/>
      <c r="T2193" s="60" t="str">
        <f>IF(P2193&lt;&gt;"",
    IF(OR(O2193="", Q2193="", R2193=""),
        "Fill all the required columns",
        IFERROR(
            IF(OR(
                AND(R2193="Marine Protected", VLOOKUP(O2193, Reference!$A$2:$D$34, 4, FALSE) &lt;= P2193),
                AND(R2193="General Use", VLOOKUP(O2193, Reference!$A$2:$D$34, 3, FALSE) &lt;= P2193)
            ),
                "Exceeded",
                "OK"
            ),
            "No Regulation defined"
        )
    ),
    ""
)</f>
        <v/>
      </c>
      <c r="AB2193" s="62" t="str">
        <f t="shared" si="34"/>
        <v/>
      </c>
    </row>
    <row r="2194" spans="19:28" x14ac:dyDescent="0.2">
      <c r="S2194" s="34"/>
      <c r="T2194" s="60" t="str">
        <f>IF(P2194&lt;&gt;"",
    IF(OR(O2194="", Q2194="", R2194=""),
        "Fill all the required columns",
        IFERROR(
            IF(OR(
                AND(R2194="Marine Protected", VLOOKUP(O2194, Reference!$A$2:$D$34, 4, FALSE) &lt;= P2194),
                AND(R2194="General Use", VLOOKUP(O2194, Reference!$A$2:$D$34, 3, FALSE) &lt;= P2194)
            ),
                "Exceeded",
                "OK"
            ),
            "No Regulation defined"
        )
    ),
    ""
)</f>
        <v/>
      </c>
      <c r="AB2194" s="62" t="str">
        <f t="shared" si="34"/>
        <v/>
      </c>
    </row>
    <row r="2195" spans="19:28" x14ac:dyDescent="0.2">
      <c r="S2195" s="34"/>
      <c r="T2195" s="60" t="str">
        <f>IF(P2195&lt;&gt;"",
    IF(OR(O2195="", Q2195="", R2195=""),
        "Fill all the required columns",
        IFERROR(
            IF(OR(
                AND(R2195="Marine Protected", VLOOKUP(O2195, Reference!$A$2:$D$34, 4, FALSE) &lt;= P2195),
                AND(R2195="General Use", VLOOKUP(O2195, Reference!$A$2:$D$34, 3, FALSE) &lt;= P2195)
            ),
                "Exceeded",
                "OK"
            ),
            "No Regulation defined"
        )
    ),
    ""
)</f>
        <v/>
      </c>
      <c r="AB2195" s="62" t="str">
        <f t="shared" si="34"/>
        <v/>
      </c>
    </row>
    <row r="2196" spans="19:28" x14ac:dyDescent="0.2">
      <c r="S2196" s="34"/>
      <c r="T2196" s="60" t="str">
        <f>IF(P2196&lt;&gt;"",
    IF(OR(O2196="", Q2196="", R2196=""),
        "Fill all the required columns",
        IFERROR(
            IF(OR(
                AND(R2196="Marine Protected", VLOOKUP(O2196, Reference!$A$2:$D$34, 4, FALSE) &lt;= P2196),
                AND(R2196="General Use", VLOOKUP(O2196, Reference!$A$2:$D$34, 3, FALSE) &lt;= P2196)
            ),
                "Exceeded",
                "OK"
            ),
            "No Regulation defined"
        )
    ),
    ""
)</f>
        <v/>
      </c>
      <c r="AB2196" s="62" t="str">
        <f t="shared" si="34"/>
        <v/>
      </c>
    </row>
    <row r="2197" spans="19:28" x14ac:dyDescent="0.2">
      <c r="S2197" s="34"/>
      <c r="T2197" s="60" t="str">
        <f>IF(P2197&lt;&gt;"",
    IF(OR(O2197="", Q2197="", R2197=""),
        "Fill all the required columns",
        IFERROR(
            IF(OR(
                AND(R2197="Marine Protected", VLOOKUP(O2197, Reference!$A$2:$D$34, 4, FALSE) &lt;= P2197),
                AND(R2197="General Use", VLOOKUP(O2197, Reference!$A$2:$D$34, 3, FALSE) &lt;= P2197)
            ),
                "Exceeded",
                "OK"
            ),
            "No Regulation defined"
        )
    ),
    ""
)</f>
        <v/>
      </c>
      <c r="AB2197" s="62" t="str">
        <f t="shared" si="34"/>
        <v/>
      </c>
    </row>
    <row r="2198" spans="19:28" x14ac:dyDescent="0.2">
      <c r="S2198" s="34"/>
      <c r="T2198" s="60" t="str">
        <f>IF(P2198&lt;&gt;"",
    IF(OR(O2198="", Q2198="", R2198=""),
        "Fill all the required columns",
        IFERROR(
            IF(OR(
                AND(R2198="Marine Protected", VLOOKUP(O2198, Reference!$A$2:$D$34, 4, FALSE) &lt;= P2198),
                AND(R2198="General Use", VLOOKUP(O2198, Reference!$A$2:$D$34, 3, FALSE) &lt;= P2198)
            ),
                "Exceeded",
                "OK"
            ),
            "No Regulation defined"
        )
    ),
    ""
)</f>
        <v/>
      </c>
      <c r="AB2198" s="62" t="str">
        <f t="shared" si="34"/>
        <v/>
      </c>
    </row>
    <row r="2199" spans="19:28" x14ac:dyDescent="0.2">
      <c r="S2199" s="34"/>
      <c r="T2199" s="60" t="str">
        <f>IF(P2199&lt;&gt;"",
    IF(OR(O2199="", Q2199="", R2199=""),
        "Fill all the required columns",
        IFERROR(
            IF(OR(
                AND(R2199="Marine Protected", VLOOKUP(O2199, Reference!$A$2:$D$34, 4, FALSE) &lt;= P2199),
                AND(R2199="General Use", VLOOKUP(O2199, Reference!$A$2:$D$34, 3, FALSE) &lt;= P2199)
            ),
                "Exceeded",
                "OK"
            ),
            "No Regulation defined"
        )
    ),
    ""
)</f>
        <v/>
      </c>
      <c r="AB2199" s="62" t="str">
        <f t="shared" si="34"/>
        <v/>
      </c>
    </row>
    <row r="2200" spans="19:28" x14ac:dyDescent="0.2">
      <c r="S2200" s="34"/>
      <c r="T2200" s="60" t="str">
        <f>IF(P2200&lt;&gt;"",
    IF(OR(O2200="", Q2200="", R2200=""),
        "Fill all the required columns",
        IFERROR(
            IF(OR(
                AND(R2200="Marine Protected", VLOOKUP(O2200, Reference!$A$2:$D$34, 4, FALSE) &lt;= P2200),
                AND(R2200="General Use", VLOOKUP(O2200, Reference!$A$2:$D$34, 3, FALSE) &lt;= P2200)
            ),
                "Exceeded",
                "OK"
            ),
            "No Regulation defined"
        )
    ),
    ""
)</f>
        <v/>
      </c>
      <c r="AB2200" s="62" t="str">
        <f t="shared" si="34"/>
        <v/>
      </c>
    </row>
    <row r="2201" spans="19:28" x14ac:dyDescent="0.2">
      <c r="S2201" s="34"/>
      <c r="T2201" s="60" t="str">
        <f>IF(P2201&lt;&gt;"",
    IF(OR(O2201="", Q2201="", R2201=""),
        "Fill all the required columns",
        IFERROR(
            IF(OR(
                AND(R2201="Marine Protected", VLOOKUP(O2201, Reference!$A$2:$D$34, 4, FALSE) &lt;= P2201),
                AND(R2201="General Use", VLOOKUP(O2201, Reference!$A$2:$D$34, 3, FALSE) &lt;= P2201)
            ),
                "Exceeded",
                "OK"
            ),
            "No Regulation defined"
        )
    ),
    ""
)</f>
        <v/>
      </c>
      <c r="AB2201" s="62" t="str">
        <f t="shared" si="34"/>
        <v/>
      </c>
    </row>
    <row r="2202" spans="19:28" x14ac:dyDescent="0.2">
      <c r="S2202" s="34"/>
      <c r="T2202" s="60" t="str">
        <f>IF(P2202&lt;&gt;"",
    IF(OR(O2202="", Q2202="", R2202=""),
        "Fill all the required columns",
        IFERROR(
            IF(OR(
                AND(R2202="Marine Protected", VLOOKUP(O2202, Reference!$A$2:$D$34, 4, FALSE) &lt;= P2202),
                AND(R2202="General Use", VLOOKUP(O2202, Reference!$A$2:$D$34, 3, FALSE) &lt;= P2202)
            ),
                "Exceeded",
                "OK"
            ),
            "No Regulation defined"
        )
    ),
    ""
)</f>
        <v/>
      </c>
      <c r="AB2202" s="62" t="str">
        <f t="shared" si="34"/>
        <v/>
      </c>
    </row>
    <row r="2203" spans="19:28" x14ac:dyDescent="0.2">
      <c r="S2203" s="34"/>
      <c r="T2203" s="60" t="str">
        <f>IF(P2203&lt;&gt;"",
    IF(OR(O2203="", Q2203="", R2203=""),
        "Fill all the required columns",
        IFERROR(
            IF(OR(
                AND(R2203="Marine Protected", VLOOKUP(O2203, Reference!$A$2:$D$34, 4, FALSE) &lt;= P2203),
                AND(R2203="General Use", VLOOKUP(O2203, Reference!$A$2:$D$34, 3, FALSE) &lt;= P2203)
            ),
                "Exceeded",
                "OK"
            ),
            "No Regulation defined"
        )
    ),
    ""
)</f>
        <v/>
      </c>
      <c r="AB2203" s="62" t="str">
        <f t="shared" si="34"/>
        <v/>
      </c>
    </row>
    <row r="2204" spans="19:28" x14ac:dyDescent="0.2">
      <c r="S2204" s="34"/>
      <c r="T2204" s="60" t="str">
        <f>IF(P2204&lt;&gt;"",
    IF(OR(O2204="", Q2204="", R2204=""),
        "Fill all the required columns",
        IFERROR(
            IF(OR(
                AND(R2204="Marine Protected", VLOOKUP(O2204, Reference!$A$2:$D$34, 4, FALSE) &lt;= P2204),
                AND(R2204="General Use", VLOOKUP(O2204, Reference!$A$2:$D$34, 3, FALSE) &lt;= P2204)
            ),
                "Exceeded",
                "OK"
            ),
            "No Regulation defined"
        )
    ),
    ""
)</f>
        <v/>
      </c>
      <c r="AB2204" s="62" t="str">
        <f t="shared" si="34"/>
        <v/>
      </c>
    </row>
    <row r="2205" spans="19:28" x14ac:dyDescent="0.2">
      <c r="S2205" s="34"/>
      <c r="T2205" s="60" t="str">
        <f>IF(P2205&lt;&gt;"",
    IF(OR(O2205="", Q2205="", R2205=""),
        "Fill all the required columns",
        IFERROR(
            IF(OR(
                AND(R2205="Marine Protected", VLOOKUP(O2205, Reference!$A$2:$D$34, 4, FALSE) &lt;= P2205),
                AND(R2205="General Use", VLOOKUP(O2205, Reference!$A$2:$D$34, 3, FALSE) &lt;= P2205)
            ),
                "Exceeded",
                "OK"
            ),
            "No Regulation defined"
        )
    ),
    ""
)</f>
        <v/>
      </c>
      <c r="AB2205" s="62" t="str">
        <f t="shared" si="34"/>
        <v/>
      </c>
    </row>
    <row r="2206" spans="19:28" x14ac:dyDescent="0.2">
      <c r="S2206" s="34"/>
      <c r="T2206" s="60" t="str">
        <f>IF(P2206&lt;&gt;"",
    IF(OR(O2206="", Q2206="", R2206=""),
        "Fill all the required columns",
        IFERROR(
            IF(OR(
                AND(R2206="Marine Protected", VLOOKUP(O2206, Reference!$A$2:$D$34, 4, FALSE) &lt;= P2206),
                AND(R2206="General Use", VLOOKUP(O2206, Reference!$A$2:$D$34, 3, FALSE) &lt;= P2206)
            ),
                "Exceeded",
                "OK"
            ),
            "No Regulation defined"
        )
    ),
    ""
)</f>
        <v/>
      </c>
      <c r="AB2206" s="62" t="str">
        <f t="shared" si="34"/>
        <v/>
      </c>
    </row>
    <row r="2207" spans="19:28" x14ac:dyDescent="0.2">
      <c r="S2207" s="34"/>
      <c r="T2207" s="60" t="str">
        <f>IF(P2207&lt;&gt;"",
    IF(OR(O2207="", Q2207="", R2207=""),
        "Fill all the required columns",
        IFERROR(
            IF(OR(
                AND(R2207="Marine Protected", VLOOKUP(O2207, Reference!$A$2:$D$34, 4, FALSE) &lt;= P2207),
                AND(R2207="General Use", VLOOKUP(O2207, Reference!$A$2:$D$34, 3, FALSE) &lt;= P2207)
            ),
                "Exceeded",
                "OK"
            ),
            "No Regulation defined"
        )
    ),
    ""
)</f>
        <v/>
      </c>
      <c r="AB2207" s="62" t="str">
        <f t="shared" si="34"/>
        <v/>
      </c>
    </row>
    <row r="2208" spans="19:28" x14ac:dyDescent="0.2">
      <c r="S2208" s="34"/>
      <c r="T2208" s="60" t="str">
        <f>IF(P2208&lt;&gt;"",
    IF(OR(O2208="", Q2208="", R2208=""),
        "Fill all the required columns",
        IFERROR(
            IF(OR(
                AND(R2208="Marine Protected", VLOOKUP(O2208, Reference!$A$2:$D$34, 4, FALSE) &lt;= P2208),
                AND(R2208="General Use", VLOOKUP(O2208, Reference!$A$2:$D$34, 3, FALSE) &lt;= P2208)
            ),
                "Exceeded",
                "OK"
            ),
            "No Regulation defined"
        )
    ),
    ""
)</f>
        <v/>
      </c>
      <c r="AB2208" s="62" t="str">
        <f t="shared" si="34"/>
        <v/>
      </c>
    </row>
    <row r="2209" spans="19:28" x14ac:dyDescent="0.2">
      <c r="S2209" s="34"/>
      <c r="T2209" s="60" t="str">
        <f>IF(P2209&lt;&gt;"",
    IF(OR(O2209="", Q2209="", R2209=""),
        "Fill all the required columns",
        IFERROR(
            IF(OR(
                AND(R2209="Marine Protected", VLOOKUP(O2209, Reference!$A$2:$D$34, 4, FALSE) &lt;= P2209),
                AND(R2209="General Use", VLOOKUP(O2209, Reference!$A$2:$D$34, 3, FALSE) &lt;= P2209)
            ),
                "Exceeded",
                "OK"
            ),
            "No Regulation defined"
        )
    ),
    ""
)</f>
        <v/>
      </c>
      <c r="AB2209" s="62" t="str">
        <f t="shared" si="34"/>
        <v/>
      </c>
    </row>
    <row r="2210" spans="19:28" x14ac:dyDescent="0.2">
      <c r="S2210" s="34"/>
      <c r="T2210" s="60" t="str">
        <f>IF(P2210&lt;&gt;"",
    IF(OR(O2210="", Q2210="", R2210=""),
        "Fill all the required columns",
        IFERROR(
            IF(OR(
                AND(R2210="Marine Protected", VLOOKUP(O2210, Reference!$A$2:$D$34, 4, FALSE) &lt;= P2210),
                AND(R2210="General Use", VLOOKUP(O2210, Reference!$A$2:$D$34, 3, FALSE) &lt;= P2210)
            ),
                "Exceeded",
                "OK"
            ),
            "No Regulation defined"
        )
    ),
    ""
)</f>
        <v/>
      </c>
      <c r="AB2210" s="62" t="str">
        <f t="shared" si="34"/>
        <v/>
      </c>
    </row>
    <row r="2211" spans="19:28" x14ac:dyDescent="0.2">
      <c r="S2211" s="34"/>
      <c r="T2211" s="60" t="str">
        <f>IF(P2211&lt;&gt;"",
    IF(OR(O2211="", Q2211="", R2211=""),
        "Fill all the required columns",
        IFERROR(
            IF(OR(
                AND(R2211="Marine Protected", VLOOKUP(O2211, Reference!$A$2:$D$34, 4, FALSE) &lt;= P2211),
                AND(R2211="General Use", VLOOKUP(O2211, Reference!$A$2:$D$34, 3, FALSE) &lt;= P2211)
            ),
                "Exceeded",
                "OK"
            ),
            "No Regulation defined"
        )
    ),
    ""
)</f>
        <v/>
      </c>
      <c r="AB2211" s="62" t="str">
        <f t="shared" si="34"/>
        <v/>
      </c>
    </row>
    <row r="2212" spans="19:28" x14ac:dyDescent="0.2">
      <c r="S2212" s="34"/>
      <c r="T2212" s="60" t="str">
        <f>IF(P2212&lt;&gt;"",
    IF(OR(O2212="", Q2212="", R2212=""),
        "Fill all the required columns",
        IFERROR(
            IF(OR(
                AND(R2212="Marine Protected", VLOOKUP(O2212, Reference!$A$2:$D$34, 4, FALSE) &lt;= P2212),
                AND(R2212="General Use", VLOOKUP(O2212, Reference!$A$2:$D$34, 3, FALSE) &lt;= P2212)
            ),
                "Exceeded",
                "OK"
            ),
            "No Regulation defined"
        )
    ),
    ""
)</f>
        <v/>
      </c>
      <c r="AB2212" s="62" t="str">
        <f t="shared" si="34"/>
        <v/>
      </c>
    </row>
    <row r="2213" spans="19:28" x14ac:dyDescent="0.2">
      <c r="S2213" s="34"/>
      <c r="T2213" s="60" t="str">
        <f>IF(P2213&lt;&gt;"",
    IF(OR(O2213="", Q2213="", R2213=""),
        "Fill all the required columns",
        IFERROR(
            IF(OR(
                AND(R2213="Marine Protected", VLOOKUP(O2213, Reference!$A$2:$D$34, 4, FALSE) &lt;= P2213),
                AND(R2213="General Use", VLOOKUP(O2213, Reference!$A$2:$D$34, 3, FALSE) &lt;= P2213)
            ),
                "Exceeded",
                "OK"
            ),
            "No Regulation defined"
        )
    ),
    ""
)</f>
        <v/>
      </c>
      <c r="AB2213" s="62" t="str">
        <f t="shared" si="34"/>
        <v/>
      </c>
    </row>
    <row r="2214" spans="19:28" x14ac:dyDescent="0.2">
      <c r="S2214" s="34"/>
      <c r="T2214" s="60" t="str">
        <f>IF(P2214&lt;&gt;"",
    IF(OR(O2214="", Q2214="", R2214=""),
        "Fill all the required columns",
        IFERROR(
            IF(OR(
                AND(R2214="Marine Protected", VLOOKUP(O2214, Reference!$A$2:$D$34, 4, FALSE) &lt;= P2214),
                AND(R2214="General Use", VLOOKUP(O2214, Reference!$A$2:$D$34, 3, FALSE) &lt;= P2214)
            ),
                "Exceeded",
                "OK"
            ),
            "No Regulation defined"
        )
    ),
    ""
)</f>
        <v/>
      </c>
      <c r="AB2214" s="62" t="str">
        <f t="shared" si="34"/>
        <v/>
      </c>
    </row>
    <row r="2215" spans="19:28" x14ac:dyDescent="0.2">
      <c r="S2215" s="34"/>
      <c r="T2215" s="60" t="str">
        <f>IF(P2215&lt;&gt;"",
    IF(OR(O2215="", Q2215="", R2215=""),
        "Fill all the required columns",
        IFERROR(
            IF(OR(
                AND(R2215="Marine Protected", VLOOKUP(O2215, Reference!$A$2:$D$34, 4, FALSE) &lt;= P2215),
                AND(R2215="General Use", VLOOKUP(O2215, Reference!$A$2:$D$34, 3, FALSE) &lt;= P2215)
            ),
                "Exceeded",
                "OK"
            ),
            "No Regulation defined"
        )
    ),
    ""
)</f>
        <v/>
      </c>
      <c r="AB2215" s="62" t="str">
        <f t="shared" si="34"/>
        <v/>
      </c>
    </row>
    <row r="2216" spans="19:28" x14ac:dyDescent="0.2">
      <c r="S2216" s="34"/>
      <c r="T2216" s="60" t="str">
        <f>IF(P2216&lt;&gt;"",
    IF(OR(O2216="", Q2216="", R2216=""),
        "Fill all the required columns",
        IFERROR(
            IF(OR(
                AND(R2216="Marine Protected", VLOOKUP(O2216, Reference!$A$2:$D$34, 4, FALSE) &lt;= P2216),
                AND(R2216="General Use", VLOOKUP(O2216, Reference!$A$2:$D$34, 3, FALSE) &lt;= P2216)
            ),
                "Exceeded",
                "OK"
            ),
            "No Regulation defined"
        )
    ),
    ""
)</f>
        <v/>
      </c>
      <c r="AB2216" s="62" t="str">
        <f t="shared" si="34"/>
        <v/>
      </c>
    </row>
    <row r="2217" spans="19:28" x14ac:dyDescent="0.2">
      <c r="S2217" s="34"/>
      <c r="T2217" s="60" t="str">
        <f>IF(P2217&lt;&gt;"",
    IF(OR(O2217="", Q2217="", R2217=""),
        "Fill all the required columns",
        IFERROR(
            IF(OR(
                AND(R2217="Marine Protected", VLOOKUP(O2217, Reference!$A$2:$D$34, 4, FALSE) &lt;= P2217),
                AND(R2217="General Use", VLOOKUP(O2217, Reference!$A$2:$D$34, 3, FALSE) &lt;= P2217)
            ),
                "Exceeded",
                "OK"
            ),
            "No Regulation defined"
        )
    ),
    ""
)</f>
        <v/>
      </c>
      <c r="AB2217" s="62" t="str">
        <f t="shared" si="34"/>
        <v/>
      </c>
    </row>
    <row r="2218" spans="19:28" x14ac:dyDescent="0.2">
      <c r="S2218" s="34"/>
      <c r="T2218" s="60" t="str">
        <f>IF(P2218&lt;&gt;"",
    IF(OR(O2218="", Q2218="", R2218=""),
        "Fill all the required columns",
        IFERROR(
            IF(OR(
                AND(R2218="Marine Protected", VLOOKUP(O2218, Reference!$A$2:$D$34, 4, FALSE) &lt;= P2218),
                AND(R2218="General Use", VLOOKUP(O2218, Reference!$A$2:$D$34, 3, FALSE) &lt;= P2218)
            ),
                "Exceeded",
                "OK"
            ),
            "No Regulation defined"
        )
    ),
    ""
)</f>
        <v/>
      </c>
      <c r="AB2218" s="62" t="str">
        <f t="shared" si="34"/>
        <v/>
      </c>
    </row>
    <row r="2219" spans="19:28" x14ac:dyDescent="0.2">
      <c r="S2219" s="34"/>
      <c r="T2219" s="60" t="str">
        <f>IF(P2219&lt;&gt;"",
    IF(OR(O2219="", Q2219="", R2219=""),
        "Fill all the required columns",
        IFERROR(
            IF(OR(
                AND(R2219="Marine Protected", VLOOKUP(O2219, Reference!$A$2:$D$34, 4, FALSE) &lt;= P2219),
                AND(R2219="General Use", VLOOKUP(O2219, Reference!$A$2:$D$34, 3, FALSE) &lt;= P2219)
            ),
                "Exceeded",
                "OK"
            ),
            "No Regulation defined"
        )
    ),
    ""
)</f>
        <v/>
      </c>
      <c r="AB2219" s="62" t="str">
        <f t="shared" si="34"/>
        <v/>
      </c>
    </row>
    <row r="2220" spans="19:28" x14ac:dyDescent="0.2">
      <c r="S2220" s="34"/>
      <c r="T2220" s="60" t="str">
        <f>IF(P2220&lt;&gt;"",
    IF(OR(O2220="", Q2220="", R2220=""),
        "Fill all the required columns",
        IFERROR(
            IF(OR(
                AND(R2220="Marine Protected", VLOOKUP(O2220, Reference!$A$2:$D$34, 4, FALSE) &lt;= P2220),
                AND(R2220="General Use", VLOOKUP(O2220, Reference!$A$2:$D$34, 3, FALSE) &lt;= P2220)
            ),
                "Exceeded",
                "OK"
            ),
            "No Regulation defined"
        )
    ),
    ""
)</f>
        <v/>
      </c>
      <c r="AB2220" s="62" t="str">
        <f t="shared" si="34"/>
        <v/>
      </c>
    </row>
    <row r="2221" spans="19:28" x14ac:dyDescent="0.2">
      <c r="S2221" s="34"/>
      <c r="T2221" s="60" t="str">
        <f>IF(P2221&lt;&gt;"",
    IF(OR(O2221="", Q2221="", R2221=""),
        "Fill all the required columns",
        IFERROR(
            IF(OR(
                AND(R2221="Marine Protected", VLOOKUP(O2221, Reference!$A$2:$D$34, 4, FALSE) &lt;= P2221),
                AND(R2221="General Use", VLOOKUP(O2221, Reference!$A$2:$D$34, 3, FALSE) &lt;= P2221)
            ),
                "Exceeded",
                "OK"
            ),
            "No Regulation defined"
        )
    ),
    ""
)</f>
        <v/>
      </c>
      <c r="AB2221" s="62" t="str">
        <f t="shared" si="34"/>
        <v/>
      </c>
    </row>
    <row r="2222" spans="19:28" x14ac:dyDescent="0.2">
      <c r="S2222" s="34"/>
      <c r="T2222" s="60" t="str">
        <f>IF(P2222&lt;&gt;"",
    IF(OR(O2222="", Q2222="", R2222=""),
        "Fill all the required columns",
        IFERROR(
            IF(OR(
                AND(R2222="Marine Protected", VLOOKUP(O2222, Reference!$A$2:$D$34, 4, FALSE) &lt;= P2222),
                AND(R2222="General Use", VLOOKUP(O2222, Reference!$A$2:$D$34, 3, FALSE) &lt;= P2222)
            ),
                "Exceeded",
                "OK"
            ),
            "No Regulation defined"
        )
    ),
    ""
)</f>
        <v/>
      </c>
      <c r="AB2222" s="62" t="str">
        <f t="shared" si="34"/>
        <v/>
      </c>
    </row>
    <row r="2223" spans="19:28" x14ac:dyDescent="0.2">
      <c r="S2223" s="34"/>
      <c r="T2223" s="60" t="str">
        <f>IF(P2223&lt;&gt;"",
    IF(OR(O2223="", Q2223="", R2223=""),
        "Fill all the required columns",
        IFERROR(
            IF(OR(
                AND(R2223="Marine Protected", VLOOKUP(O2223, Reference!$A$2:$D$34, 4, FALSE) &lt;= P2223),
                AND(R2223="General Use", VLOOKUP(O2223, Reference!$A$2:$D$34, 3, FALSE) &lt;= P2223)
            ),
                "Exceeded",
                "OK"
            ),
            "No Regulation defined"
        )
    ),
    ""
)</f>
        <v/>
      </c>
      <c r="AB2223" s="62" t="str">
        <f t="shared" si="34"/>
        <v/>
      </c>
    </row>
    <row r="2224" spans="19:28" x14ac:dyDescent="0.2">
      <c r="S2224" s="34"/>
      <c r="T2224" s="60" t="str">
        <f>IF(P2224&lt;&gt;"",
    IF(OR(O2224="", Q2224="", R2224=""),
        "Fill all the required columns",
        IFERROR(
            IF(OR(
                AND(R2224="Marine Protected", VLOOKUP(O2224, Reference!$A$2:$D$34, 4, FALSE) &lt;= P2224),
                AND(R2224="General Use", VLOOKUP(O2224, Reference!$A$2:$D$34, 3, FALSE) &lt;= P2224)
            ),
                "Exceeded",
                "OK"
            ),
            "No Regulation defined"
        )
    ),
    ""
)</f>
        <v/>
      </c>
      <c r="AB2224" s="62" t="str">
        <f t="shared" si="34"/>
        <v/>
      </c>
    </row>
    <row r="2225" spans="19:28" x14ac:dyDescent="0.2">
      <c r="S2225" s="34"/>
      <c r="T2225" s="60" t="str">
        <f>IF(P2225&lt;&gt;"",
    IF(OR(O2225="", Q2225="", R2225=""),
        "Fill all the required columns",
        IFERROR(
            IF(OR(
                AND(R2225="Marine Protected", VLOOKUP(O2225, Reference!$A$2:$D$34, 4, FALSE) &lt;= P2225),
                AND(R2225="General Use", VLOOKUP(O2225, Reference!$A$2:$D$34, 3, FALSE) &lt;= P2225)
            ),
                "Exceeded",
                "OK"
            ),
            "No Regulation defined"
        )
    ),
    ""
)</f>
        <v/>
      </c>
      <c r="AB2225" s="62" t="str">
        <f t="shared" si="34"/>
        <v/>
      </c>
    </row>
    <row r="2226" spans="19:28" x14ac:dyDescent="0.2">
      <c r="S2226" s="34"/>
      <c r="T2226" s="60" t="str">
        <f>IF(P2226&lt;&gt;"",
    IF(OR(O2226="", Q2226="", R2226=""),
        "Fill all the required columns",
        IFERROR(
            IF(OR(
                AND(R2226="Marine Protected", VLOOKUP(O2226, Reference!$A$2:$D$34, 4, FALSE) &lt;= P2226),
                AND(R2226="General Use", VLOOKUP(O2226, Reference!$A$2:$D$34, 3, FALSE) &lt;= P2226)
            ),
                "Exceeded",
                "OK"
            ),
            "No Regulation defined"
        )
    ),
    ""
)</f>
        <v/>
      </c>
      <c r="AB2226" s="62" t="str">
        <f t="shared" si="34"/>
        <v/>
      </c>
    </row>
    <row r="2227" spans="19:28" x14ac:dyDescent="0.2">
      <c r="S2227" s="34"/>
      <c r="T2227" s="60" t="str">
        <f>IF(P2227&lt;&gt;"",
    IF(OR(O2227="", Q2227="", R2227=""),
        "Fill all the required columns",
        IFERROR(
            IF(OR(
                AND(R2227="Marine Protected", VLOOKUP(O2227, Reference!$A$2:$D$34, 4, FALSE) &lt;= P2227),
                AND(R2227="General Use", VLOOKUP(O2227, Reference!$A$2:$D$34, 3, FALSE) &lt;= P2227)
            ),
                "Exceeded",
                "OK"
            ),
            "No Regulation defined"
        )
    ),
    ""
)</f>
        <v/>
      </c>
      <c r="AB2227" s="62" t="str">
        <f t="shared" si="34"/>
        <v/>
      </c>
    </row>
    <row r="2228" spans="19:28" x14ac:dyDescent="0.2">
      <c r="S2228" s="34"/>
      <c r="T2228" s="60" t="str">
        <f>IF(P2228&lt;&gt;"",
    IF(OR(O2228="", Q2228="", R2228=""),
        "Fill all the required columns",
        IFERROR(
            IF(OR(
                AND(R2228="Marine Protected", VLOOKUP(O2228, Reference!$A$2:$D$34, 4, FALSE) &lt;= P2228),
                AND(R2228="General Use", VLOOKUP(O2228, Reference!$A$2:$D$34, 3, FALSE) &lt;= P2228)
            ),
                "Exceeded",
                "OK"
            ),
            "No Regulation defined"
        )
    ),
    ""
)</f>
        <v/>
      </c>
      <c r="AB2228" s="62" t="str">
        <f t="shared" si="34"/>
        <v/>
      </c>
    </row>
    <row r="2229" spans="19:28" x14ac:dyDescent="0.2">
      <c r="S2229" s="34"/>
      <c r="T2229" s="60" t="str">
        <f>IF(P2229&lt;&gt;"",
    IF(OR(O2229="", Q2229="", R2229=""),
        "Fill all the required columns",
        IFERROR(
            IF(OR(
                AND(R2229="Marine Protected", VLOOKUP(O2229, Reference!$A$2:$D$34, 4, FALSE) &lt;= P2229),
                AND(R2229="General Use", VLOOKUP(O2229, Reference!$A$2:$D$34, 3, FALSE) &lt;= P2229)
            ),
                "Exceeded",
                "OK"
            ),
            "No Regulation defined"
        )
    ),
    ""
)</f>
        <v/>
      </c>
      <c r="AB2229" s="62" t="str">
        <f t="shared" si="34"/>
        <v/>
      </c>
    </row>
    <row r="2230" spans="19:28" x14ac:dyDescent="0.2">
      <c r="S2230" s="34"/>
      <c r="T2230" s="60" t="str">
        <f>IF(P2230&lt;&gt;"",
    IF(OR(O2230="", Q2230="", R2230=""),
        "Fill all the required columns",
        IFERROR(
            IF(OR(
                AND(R2230="Marine Protected", VLOOKUP(O2230, Reference!$A$2:$D$34, 4, FALSE) &lt;= P2230),
                AND(R2230="General Use", VLOOKUP(O2230, Reference!$A$2:$D$34, 3, FALSE) &lt;= P2230)
            ),
                "Exceeded",
                "OK"
            ),
            "No Regulation defined"
        )
    ),
    ""
)</f>
        <v/>
      </c>
      <c r="AB2230" s="62" t="str">
        <f t="shared" si="34"/>
        <v/>
      </c>
    </row>
    <row r="2231" spans="19:28" x14ac:dyDescent="0.2">
      <c r="S2231" s="34"/>
      <c r="T2231" s="60" t="str">
        <f>IF(P2231&lt;&gt;"",
    IF(OR(O2231="", Q2231="", R2231=""),
        "Fill all the required columns",
        IFERROR(
            IF(OR(
                AND(R2231="Marine Protected", VLOOKUP(O2231, Reference!$A$2:$D$34, 4, FALSE) &lt;= P2231),
                AND(R2231="General Use", VLOOKUP(O2231, Reference!$A$2:$D$34, 3, FALSE) &lt;= P2231)
            ),
                "Exceeded",
                "OK"
            ),
            "No Regulation defined"
        )
    ),
    ""
)</f>
        <v/>
      </c>
      <c r="AB2231" s="62" t="str">
        <f t="shared" si="34"/>
        <v/>
      </c>
    </row>
    <row r="2232" spans="19:28" x14ac:dyDescent="0.2">
      <c r="S2232" s="34"/>
      <c r="T2232" s="60" t="str">
        <f>IF(P2232&lt;&gt;"",
    IF(OR(O2232="", Q2232="", R2232=""),
        "Fill all the required columns",
        IFERROR(
            IF(OR(
                AND(R2232="Marine Protected", VLOOKUP(O2232, Reference!$A$2:$D$34, 4, FALSE) &lt;= P2232),
                AND(R2232="General Use", VLOOKUP(O2232, Reference!$A$2:$D$34, 3, FALSE) &lt;= P2232)
            ),
                "Exceeded",
                "OK"
            ),
            "No Regulation defined"
        )
    ),
    ""
)</f>
        <v/>
      </c>
      <c r="AB2232" s="62" t="str">
        <f t="shared" si="34"/>
        <v/>
      </c>
    </row>
    <row r="2233" spans="19:28" x14ac:dyDescent="0.2">
      <c r="S2233" s="34"/>
      <c r="T2233" s="60" t="str">
        <f>IF(P2233&lt;&gt;"",
    IF(OR(O2233="", Q2233="", R2233=""),
        "Fill all the required columns",
        IFERROR(
            IF(OR(
                AND(R2233="Marine Protected", VLOOKUP(O2233, Reference!$A$2:$D$34, 4, FALSE) &lt;= P2233),
                AND(R2233="General Use", VLOOKUP(O2233, Reference!$A$2:$D$34, 3, FALSE) &lt;= P2233)
            ),
                "Exceeded",
                "OK"
            ),
            "No Regulation defined"
        )
    ),
    ""
)</f>
        <v/>
      </c>
      <c r="AB2233" s="62" t="str">
        <f t="shared" si="34"/>
        <v/>
      </c>
    </row>
    <row r="2234" spans="19:28" x14ac:dyDescent="0.2">
      <c r="S2234" s="34"/>
      <c r="T2234" s="60" t="str">
        <f>IF(P2234&lt;&gt;"",
    IF(OR(O2234="", Q2234="", R2234=""),
        "Fill all the required columns",
        IFERROR(
            IF(OR(
                AND(R2234="Marine Protected", VLOOKUP(O2234, Reference!$A$2:$D$34, 4, FALSE) &lt;= P2234),
                AND(R2234="General Use", VLOOKUP(O2234, Reference!$A$2:$D$34, 3, FALSE) &lt;= P2234)
            ),
                "Exceeded",
                "OK"
            ),
            "No Regulation defined"
        )
    ),
    ""
)</f>
        <v/>
      </c>
      <c r="AB2234" s="62" t="str">
        <f t="shared" si="34"/>
        <v/>
      </c>
    </row>
    <row r="2235" spans="19:28" x14ac:dyDescent="0.2">
      <c r="S2235" s="34"/>
      <c r="T2235" s="60" t="str">
        <f>IF(P2235&lt;&gt;"",
    IF(OR(O2235="", Q2235="", R2235=""),
        "Fill all the required columns",
        IFERROR(
            IF(OR(
                AND(R2235="Marine Protected", VLOOKUP(O2235, Reference!$A$2:$D$34, 4, FALSE) &lt;= P2235),
                AND(R2235="General Use", VLOOKUP(O2235, Reference!$A$2:$D$34, 3, FALSE) &lt;= P2235)
            ),
                "Exceeded",
                "OK"
            ),
            "No Regulation defined"
        )
    ),
    ""
)</f>
        <v/>
      </c>
      <c r="AB2235" s="62" t="str">
        <f t="shared" si="34"/>
        <v/>
      </c>
    </row>
    <row r="2236" spans="19:28" x14ac:dyDescent="0.2">
      <c r="S2236" s="34"/>
      <c r="T2236" s="60" t="str">
        <f>IF(P2236&lt;&gt;"",
    IF(OR(O2236="", Q2236="", R2236=""),
        "Fill all the required columns",
        IFERROR(
            IF(OR(
                AND(R2236="Marine Protected", VLOOKUP(O2236, Reference!$A$2:$D$34, 4, FALSE) &lt;= P2236),
                AND(R2236="General Use", VLOOKUP(O2236, Reference!$A$2:$D$34, 3, FALSE) &lt;= P2236)
            ),
                "Exceeded",
                "OK"
            ),
            "No Regulation defined"
        )
    ),
    ""
)</f>
        <v/>
      </c>
      <c r="AB2236" s="62" t="str">
        <f t="shared" si="34"/>
        <v/>
      </c>
    </row>
    <row r="2237" spans="19:28" x14ac:dyDescent="0.2">
      <c r="S2237" s="34"/>
      <c r="T2237" s="60" t="str">
        <f>IF(P2237&lt;&gt;"",
    IF(OR(O2237="", Q2237="", R2237=""),
        "Fill all the required columns",
        IFERROR(
            IF(OR(
                AND(R2237="Marine Protected", VLOOKUP(O2237, Reference!$A$2:$D$34, 4, FALSE) &lt;= P2237),
                AND(R2237="General Use", VLOOKUP(O2237, Reference!$A$2:$D$34, 3, FALSE) &lt;= P2237)
            ),
                "Exceeded",
                "OK"
            ),
            "No Regulation defined"
        )
    ),
    ""
)</f>
        <v/>
      </c>
      <c r="AB2237" s="62" t="str">
        <f t="shared" si="34"/>
        <v/>
      </c>
    </row>
    <row r="2238" spans="19:28" x14ac:dyDescent="0.2">
      <c r="S2238" s="34"/>
      <c r="T2238" s="60" t="str">
        <f>IF(P2238&lt;&gt;"",
    IF(OR(O2238="", Q2238="", R2238=""),
        "Fill all the required columns",
        IFERROR(
            IF(OR(
                AND(R2238="Marine Protected", VLOOKUP(O2238, Reference!$A$2:$D$34, 4, FALSE) &lt;= P2238),
                AND(R2238="General Use", VLOOKUP(O2238, Reference!$A$2:$D$34, 3, FALSE) &lt;= P2238)
            ),
                "Exceeded",
                "OK"
            ),
            "No Regulation defined"
        )
    ),
    ""
)</f>
        <v/>
      </c>
      <c r="AB2238" s="62" t="str">
        <f t="shared" si="34"/>
        <v/>
      </c>
    </row>
    <row r="2239" spans="19:28" x14ac:dyDescent="0.2">
      <c r="S2239" s="34"/>
      <c r="T2239" s="60" t="str">
        <f>IF(P2239&lt;&gt;"",
    IF(OR(O2239="", Q2239="", R2239=""),
        "Fill all the required columns",
        IFERROR(
            IF(OR(
                AND(R2239="Marine Protected", VLOOKUP(O2239, Reference!$A$2:$D$34, 4, FALSE) &lt;= P2239),
                AND(R2239="General Use", VLOOKUP(O2239, Reference!$A$2:$D$34, 3, FALSE) &lt;= P2239)
            ),
                "Exceeded",
                "OK"
            ),
            "No Regulation defined"
        )
    ),
    ""
)</f>
        <v/>
      </c>
      <c r="AB2239" s="62" t="str">
        <f t="shared" si="34"/>
        <v/>
      </c>
    </row>
    <row r="2240" spans="19:28" x14ac:dyDescent="0.2">
      <c r="S2240" s="34"/>
      <c r="T2240" s="60" t="str">
        <f>IF(P2240&lt;&gt;"",
    IF(OR(O2240="", Q2240="", R2240=""),
        "Fill all the required columns",
        IFERROR(
            IF(OR(
                AND(R2240="Marine Protected", VLOOKUP(O2240, Reference!$A$2:$D$34, 4, FALSE) &lt;= P2240),
                AND(R2240="General Use", VLOOKUP(O2240, Reference!$A$2:$D$34, 3, FALSE) &lt;= P2240)
            ),
                "Exceeded",
                "OK"
            ),
            "No Regulation defined"
        )
    ),
    ""
)</f>
        <v/>
      </c>
      <c r="AB2240" s="62" t="str">
        <f t="shared" si="34"/>
        <v/>
      </c>
    </row>
    <row r="2241" spans="19:28" x14ac:dyDescent="0.2">
      <c r="S2241" s="34"/>
      <c r="T2241" s="60" t="str">
        <f>IF(P2241&lt;&gt;"",
    IF(OR(O2241="", Q2241="", R2241=""),
        "Fill all the required columns",
        IFERROR(
            IF(OR(
                AND(R2241="Marine Protected", VLOOKUP(O2241, Reference!$A$2:$D$34, 4, FALSE) &lt;= P2241),
                AND(R2241="General Use", VLOOKUP(O2241, Reference!$A$2:$D$34, 3, FALSE) &lt;= P2241)
            ),
                "Exceeded",
                "OK"
            ),
            "No Regulation defined"
        )
    ),
    ""
)</f>
        <v/>
      </c>
      <c r="AB2241" s="62" t="str">
        <f t="shared" si="34"/>
        <v/>
      </c>
    </row>
    <row r="2242" spans="19:28" x14ac:dyDescent="0.2">
      <c r="S2242" s="34"/>
      <c r="T2242" s="60" t="str">
        <f>IF(P2242&lt;&gt;"",
    IF(OR(O2242="", Q2242="", R2242=""),
        "Fill all the required columns",
        IFERROR(
            IF(OR(
                AND(R2242="Marine Protected", VLOOKUP(O2242, Reference!$A$2:$D$34, 4, FALSE) &lt;= P2242),
                AND(R2242="General Use", VLOOKUP(O2242, Reference!$A$2:$D$34, 3, FALSE) &lt;= P2242)
            ),
                "Exceeded",
                "OK"
            ),
            "No Regulation defined"
        )
    ),
    ""
)</f>
        <v/>
      </c>
      <c r="AB2242" s="62" t="str">
        <f t="shared" si="34"/>
        <v/>
      </c>
    </row>
    <row r="2243" spans="19:28" x14ac:dyDescent="0.2">
      <c r="S2243" s="34"/>
      <c r="T2243" s="60" t="str">
        <f>IF(P2243&lt;&gt;"",
    IF(OR(O2243="", Q2243="", R2243=""),
        "Fill all the required columns",
        IFERROR(
            IF(OR(
                AND(R2243="Marine Protected", VLOOKUP(O2243, Reference!$A$2:$D$34, 4, FALSE) &lt;= P2243),
                AND(R2243="General Use", VLOOKUP(O2243, Reference!$A$2:$D$34, 3, FALSE) &lt;= P2243)
            ),
                "Exceeded",
                "OK"
            ),
            "No Regulation defined"
        )
    ),
    ""
)</f>
        <v/>
      </c>
      <c r="AB2243" s="62" t="str">
        <f t="shared" ref="AB2243:AB2306" si="35">IF(COUNTA(A2243, E2243, F2243, H2243, I2243, O2243, P2243, Q2243, R2243,S2243) = 0, "", IF(COUNTA(A2243, E2243, F2243, H2243, I2243, O2243, P2243, Q2243, R2243,S2243) = 10, "OK", "Incomplete"))</f>
        <v/>
      </c>
    </row>
    <row r="2244" spans="19:28" x14ac:dyDescent="0.2">
      <c r="S2244" s="34"/>
      <c r="T2244" s="60" t="str">
        <f>IF(P2244&lt;&gt;"",
    IF(OR(O2244="", Q2244="", R2244=""),
        "Fill all the required columns",
        IFERROR(
            IF(OR(
                AND(R2244="Marine Protected", VLOOKUP(O2244, Reference!$A$2:$D$34, 4, FALSE) &lt;= P2244),
                AND(R2244="General Use", VLOOKUP(O2244, Reference!$A$2:$D$34, 3, FALSE) &lt;= P2244)
            ),
                "Exceeded",
                "OK"
            ),
            "No Regulation defined"
        )
    ),
    ""
)</f>
        <v/>
      </c>
      <c r="AB2244" s="62" t="str">
        <f t="shared" si="35"/>
        <v/>
      </c>
    </row>
    <row r="2245" spans="19:28" x14ac:dyDescent="0.2">
      <c r="S2245" s="34"/>
      <c r="T2245" s="60" t="str">
        <f>IF(P2245&lt;&gt;"",
    IF(OR(O2245="", Q2245="", R2245=""),
        "Fill all the required columns",
        IFERROR(
            IF(OR(
                AND(R2245="Marine Protected", VLOOKUP(O2245, Reference!$A$2:$D$34, 4, FALSE) &lt;= P2245),
                AND(R2245="General Use", VLOOKUP(O2245, Reference!$A$2:$D$34, 3, FALSE) &lt;= P2245)
            ),
                "Exceeded",
                "OK"
            ),
            "No Regulation defined"
        )
    ),
    ""
)</f>
        <v/>
      </c>
      <c r="AB2245" s="62" t="str">
        <f t="shared" si="35"/>
        <v/>
      </c>
    </row>
    <row r="2246" spans="19:28" x14ac:dyDescent="0.2">
      <c r="S2246" s="34"/>
      <c r="T2246" s="60" t="str">
        <f>IF(P2246&lt;&gt;"",
    IF(OR(O2246="", Q2246="", R2246=""),
        "Fill all the required columns",
        IFERROR(
            IF(OR(
                AND(R2246="Marine Protected", VLOOKUP(O2246, Reference!$A$2:$D$34, 4, FALSE) &lt;= P2246),
                AND(R2246="General Use", VLOOKUP(O2246, Reference!$A$2:$D$34, 3, FALSE) &lt;= P2246)
            ),
                "Exceeded",
                "OK"
            ),
            "No Regulation defined"
        )
    ),
    ""
)</f>
        <v/>
      </c>
      <c r="AB2246" s="62" t="str">
        <f t="shared" si="35"/>
        <v/>
      </c>
    </row>
    <row r="2247" spans="19:28" x14ac:dyDescent="0.2">
      <c r="S2247" s="34"/>
      <c r="T2247" s="60" t="str">
        <f>IF(P2247&lt;&gt;"",
    IF(OR(O2247="", Q2247="", R2247=""),
        "Fill all the required columns",
        IFERROR(
            IF(OR(
                AND(R2247="Marine Protected", VLOOKUP(O2247, Reference!$A$2:$D$34, 4, FALSE) &lt;= P2247),
                AND(R2247="General Use", VLOOKUP(O2247, Reference!$A$2:$D$34, 3, FALSE) &lt;= P2247)
            ),
                "Exceeded",
                "OK"
            ),
            "No Regulation defined"
        )
    ),
    ""
)</f>
        <v/>
      </c>
      <c r="AB2247" s="62" t="str">
        <f t="shared" si="35"/>
        <v/>
      </c>
    </row>
    <row r="2248" spans="19:28" x14ac:dyDescent="0.2">
      <c r="S2248" s="34"/>
      <c r="T2248" s="60" t="str">
        <f>IF(P2248&lt;&gt;"",
    IF(OR(O2248="", Q2248="", R2248=""),
        "Fill all the required columns",
        IFERROR(
            IF(OR(
                AND(R2248="Marine Protected", VLOOKUP(O2248, Reference!$A$2:$D$34, 4, FALSE) &lt;= P2248),
                AND(R2248="General Use", VLOOKUP(O2248, Reference!$A$2:$D$34, 3, FALSE) &lt;= P2248)
            ),
                "Exceeded",
                "OK"
            ),
            "No Regulation defined"
        )
    ),
    ""
)</f>
        <v/>
      </c>
      <c r="AB2248" s="62" t="str">
        <f t="shared" si="35"/>
        <v/>
      </c>
    </row>
    <row r="2249" spans="19:28" x14ac:dyDescent="0.2">
      <c r="S2249" s="34"/>
      <c r="T2249" s="60" t="str">
        <f>IF(P2249&lt;&gt;"",
    IF(OR(O2249="", Q2249="", R2249=""),
        "Fill all the required columns",
        IFERROR(
            IF(OR(
                AND(R2249="Marine Protected", VLOOKUP(O2249, Reference!$A$2:$D$34, 4, FALSE) &lt;= P2249),
                AND(R2249="General Use", VLOOKUP(O2249, Reference!$A$2:$D$34, 3, FALSE) &lt;= P2249)
            ),
                "Exceeded",
                "OK"
            ),
            "No Regulation defined"
        )
    ),
    ""
)</f>
        <v/>
      </c>
      <c r="AB2249" s="62" t="str">
        <f t="shared" si="35"/>
        <v/>
      </c>
    </row>
    <row r="2250" spans="19:28" x14ac:dyDescent="0.2">
      <c r="S2250" s="34"/>
      <c r="T2250" s="60" t="str">
        <f>IF(P2250&lt;&gt;"",
    IF(OR(O2250="", Q2250="", R2250=""),
        "Fill all the required columns",
        IFERROR(
            IF(OR(
                AND(R2250="Marine Protected", VLOOKUP(O2250, Reference!$A$2:$D$34, 4, FALSE) &lt;= P2250),
                AND(R2250="General Use", VLOOKUP(O2250, Reference!$A$2:$D$34, 3, FALSE) &lt;= P2250)
            ),
                "Exceeded",
                "OK"
            ),
            "No Regulation defined"
        )
    ),
    ""
)</f>
        <v/>
      </c>
      <c r="AB2250" s="62" t="str">
        <f t="shared" si="35"/>
        <v/>
      </c>
    </row>
    <row r="2251" spans="19:28" x14ac:dyDescent="0.2">
      <c r="S2251" s="34"/>
      <c r="T2251" s="60" t="str">
        <f>IF(P2251&lt;&gt;"",
    IF(OR(O2251="", Q2251="", R2251=""),
        "Fill all the required columns",
        IFERROR(
            IF(OR(
                AND(R2251="Marine Protected", VLOOKUP(O2251, Reference!$A$2:$D$34, 4, FALSE) &lt;= P2251),
                AND(R2251="General Use", VLOOKUP(O2251, Reference!$A$2:$D$34, 3, FALSE) &lt;= P2251)
            ),
                "Exceeded",
                "OK"
            ),
            "No Regulation defined"
        )
    ),
    ""
)</f>
        <v/>
      </c>
      <c r="AB2251" s="62" t="str">
        <f t="shared" si="35"/>
        <v/>
      </c>
    </row>
    <row r="2252" spans="19:28" x14ac:dyDescent="0.2">
      <c r="S2252" s="34"/>
      <c r="T2252" s="60" t="str">
        <f>IF(P2252&lt;&gt;"",
    IF(OR(O2252="", Q2252="", R2252=""),
        "Fill all the required columns",
        IFERROR(
            IF(OR(
                AND(R2252="Marine Protected", VLOOKUP(O2252, Reference!$A$2:$D$34, 4, FALSE) &lt;= P2252),
                AND(R2252="General Use", VLOOKUP(O2252, Reference!$A$2:$D$34, 3, FALSE) &lt;= P2252)
            ),
                "Exceeded",
                "OK"
            ),
            "No Regulation defined"
        )
    ),
    ""
)</f>
        <v/>
      </c>
      <c r="AB2252" s="62" t="str">
        <f t="shared" si="35"/>
        <v/>
      </c>
    </row>
    <row r="2253" spans="19:28" x14ac:dyDescent="0.2">
      <c r="S2253" s="34"/>
      <c r="T2253" s="60" t="str">
        <f>IF(P2253&lt;&gt;"",
    IF(OR(O2253="", Q2253="", R2253=""),
        "Fill all the required columns",
        IFERROR(
            IF(OR(
                AND(R2253="Marine Protected", VLOOKUP(O2253, Reference!$A$2:$D$34, 4, FALSE) &lt;= P2253),
                AND(R2253="General Use", VLOOKUP(O2253, Reference!$A$2:$D$34, 3, FALSE) &lt;= P2253)
            ),
                "Exceeded",
                "OK"
            ),
            "No Regulation defined"
        )
    ),
    ""
)</f>
        <v/>
      </c>
      <c r="AB2253" s="62" t="str">
        <f t="shared" si="35"/>
        <v/>
      </c>
    </row>
    <row r="2254" spans="19:28" x14ac:dyDescent="0.2">
      <c r="S2254" s="34"/>
      <c r="T2254" s="60" t="str">
        <f>IF(P2254&lt;&gt;"",
    IF(OR(O2254="", Q2254="", R2254=""),
        "Fill all the required columns",
        IFERROR(
            IF(OR(
                AND(R2254="Marine Protected", VLOOKUP(O2254, Reference!$A$2:$D$34, 4, FALSE) &lt;= P2254),
                AND(R2254="General Use", VLOOKUP(O2254, Reference!$A$2:$D$34, 3, FALSE) &lt;= P2254)
            ),
                "Exceeded",
                "OK"
            ),
            "No Regulation defined"
        )
    ),
    ""
)</f>
        <v/>
      </c>
      <c r="AB2254" s="62" t="str">
        <f t="shared" si="35"/>
        <v/>
      </c>
    </row>
    <row r="2255" spans="19:28" x14ac:dyDescent="0.2">
      <c r="S2255" s="34"/>
      <c r="T2255" s="60" t="str">
        <f>IF(P2255&lt;&gt;"",
    IF(OR(O2255="", Q2255="", R2255=""),
        "Fill all the required columns",
        IFERROR(
            IF(OR(
                AND(R2255="Marine Protected", VLOOKUP(O2255, Reference!$A$2:$D$34, 4, FALSE) &lt;= P2255),
                AND(R2255="General Use", VLOOKUP(O2255, Reference!$A$2:$D$34, 3, FALSE) &lt;= P2255)
            ),
                "Exceeded",
                "OK"
            ),
            "No Regulation defined"
        )
    ),
    ""
)</f>
        <v/>
      </c>
      <c r="AB2255" s="62" t="str">
        <f t="shared" si="35"/>
        <v/>
      </c>
    </row>
    <row r="2256" spans="19:28" x14ac:dyDescent="0.2">
      <c r="S2256" s="34"/>
      <c r="T2256" s="60" t="str">
        <f>IF(P2256&lt;&gt;"",
    IF(OR(O2256="", Q2256="", R2256=""),
        "Fill all the required columns",
        IFERROR(
            IF(OR(
                AND(R2256="Marine Protected", VLOOKUP(O2256, Reference!$A$2:$D$34, 4, FALSE) &lt;= P2256),
                AND(R2256="General Use", VLOOKUP(O2256, Reference!$A$2:$D$34, 3, FALSE) &lt;= P2256)
            ),
                "Exceeded",
                "OK"
            ),
            "No Regulation defined"
        )
    ),
    ""
)</f>
        <v/>
      </c>
      <c r="AB2256" s="62" t="str">
        <f t="shared" si="35"/>
        <v/>
      </c>
    </row>
    <row r="2257" spans="19:28" x14ac:dyDescent="0.2">
      <c r="S2257" s="34"/>
      <c r="T2257" s="60" t="str">
        <f>IF(P2257&lt;&gt;"",
    IF(OR(O2257="", Q2257="", R2257=""),
        "Fill all the required columns",
        IFERROR(
            IF(OR(
                AND(R2257="Marine Protected", VLOOKUP(O2257, Reference!$A$2:$D$34, 4, FALSE) &lt;= P2257),
                AND(R2257="General Use", VLOOKUP(O2257, Reference!$A$2:$D$34, 3, FALSE) &lt;= P2257)
            ),
                "Exceeded",
                "OK"
            ),
            "No Regulation defined"
        )
    ),
    ""
)</f>
        <v/>
      </c>
      <c r="AB2257" s="62" t="str">
        <f t="shared" si="35"/>
        <v/>
      </c>
    </row>
    <row r="2258" spans="19:28" x14ac:dyDescent="0.2">
      <c r="S2258" s="34"/>
      <c r="T2258" s="60" t="str">
        <f>IF(P2258&lt;&gt;"",
    IF(OR(O2258="", Q2258="", R2258=""),
        "Fill all the required columns",
        IFERROR(
            IF(OR(
                AND(R2258="Marine Protected", VLOOKUP(O2258, Reference!$A$2:$D$34, 4, FALSE) &lt;= P2258),
                AND(R2258="General Use", VLOOKUP(O2258, Reference!$A$2:$D$34, 3, FALSE) &lt;= P2258)
            ),
                "Exceeded",
                "OK"
            ),
            "No Regulation defined"
        )
    ),
    ""
)</f>
        <v/>
      </c>
      <c r="AB2258" s="62" t="str">
        <f t="shared" si="35"/>
        <v/>
      </c>
    </row>
    <row r="2259" spans="19:28" x14ac:dyDescent="0.2">
      <c r="S2259" s="34"/>
      <c r="T2259" s="60" t="str">
        <f>IF(P2259&lt;&gt;"",
    IF(OR(O2259="", Q2259="", R2259=""),
        "Fill all the required columns",
        IFERROR(
            IF(OR(
                AND(R2259="Marine Protected", VLOOKUP(O2259, Reference!$A$2:$D$34, 4, FALSE) &lt;= P2259),
                AND(R2259="General Use", VLOOKUP(O2259, Reference!$A$2:$D$34, 3, FALSE) &lt;= P2259)
            ),
                "Exceeded",
                "OK"
            ),
            "No Regulation defined"
        )
    ),
    ""
)</f>
        <v/>
      </c>
      <c r="AB2259" s="62" t="str">
        <f t="shared" si="35"/>
        <v/>
      </c>
    </row>
    <row r="2260" spans="19:28" x14ac:dyDescent="0.2">
      <c r="S2260" s="34"/>
      <c r="T2260" s="60" t="str">
        <f>IF(P2260&lt;&gt;"",
    IF(OR(O2260="", Q2260="", R2260=""),
        "Fill all the required columns",
        IFERROR(
            IF(OR(
                AND(R2260="Marine Protected", VLOOKUP(O2260, Reference!$A$2:$D$34, 4, FALSE) &lt;= P2260),
                AND(R2260="General Use", VLOOKUP(O2260, Reference!$A$2:$D$34, 3, FALSE) &lt;= P2260)
            ),
                "Exceeded",
                "OK"
            ),
            "No Regulation defined"
        )
    ),
    ""
)</f>
        <v/>
      </c>
      <c r="AB2260" s="62" t="str">
        <f t="shared" si="35"/>
        <v/>
      </c>
    </row>
    <row r="2261" spans="19:28" x14ac:dyDescent="0.2">
      <c r="S2261" s="34"/>
      <c r="T2261" s="60" t="str">
        <f>IF(P2261&lt;&gt;"",
    IF(OR(O2261="", Q2261="", R2261=""),
        "Fill all the required columns",
        IFERROR(
            IF(OR(
                AND(R2261="Marine Protected", VLOOKUP(O2261, Reference!$A$2:$D$34, 4, FALSE) &lt;= P2261),
                AND(R2261="General Use", VLOOKUP(O2261, Reference!$A$2:$D$34, 3, FALSE) &lt;= P2261)
            ),
                "Exceeded",
                "OK"
            ),
            "No Regulation defined"
        )
    ),
    ""
)</f>
        <v/>
      </c>
      <c r="AB2261" s="62" t="str">
        <f t="shared" si="35"/>
        <v/>
      </c>
    </row>
    <row r="2262" spans="19:28" x14ac:dyDescent="0.2">
      <c r="S2262" s="34"/>
      <c r="T2262" s="60" t="str">
        <f>IF(P2262&lt;&gt;"",
    IF(OR(O2262="", Q2262="", R2262=""),
        "Fill all the required columns",
        IFERROR(
            IF(OR(
                AND(R2262="Marine Protected", VLOOKUP(O2262, Reference!$A$2:$D$34, 4, FALSE) &lt;= P2262),
                AND(R2262="General Use", VLOOKUP(O2262, Reference!$A$2:$D$34, 3, FALSE) &lt;= P2262)
            ),
                "Exceeded",
                "OK"
            ),
            "No Regulation defined"
        )
    ),
    ""
)</f>
        <v/>
      </c>
      <c r="AB2262" s="62" t="str">
        <f t="shared" si="35"/>
        <v/>
      </c>
    </row>
    <row r="2263" spans="19:28" x14ac:dyDescent="0.2">
      <c r="S2263" s="34"/>
      <c r="T2263" s="60" t="str">
        <f>IF(P2263&lt;&gt;"",
    IF(OR(O2263="", Q2263="", R2263=""),
        "Fill all the required columns",
        IFERROR(
            IF(OR(
                AND(R2263="Marine Protected", VLOOKUP(O2263, Reference!$A$2:$D$34, 4, FALSE) &lt;= P2263),
                AND(R2263="General Use", VLOOKUP(O2263, Reference!$A$2:$D$34, 3, FALSE) &lt;= P2263)
            ),
                "Exceeded",
                "OK"
            ),
            "No Regulation defined"
        )
    ),
    ""
)</f>
        <v/>
      </c>
      <c r="AB2263" s="62" t="str">
        <f t="shared" si="35"/>
        <v/>
      </c>
    </row>
    <row r="2264" spans="19:28" x14ac:dyDescent="0.2">
      <c r="S2264" s="34"/>
      <c r="T2264" s="60" t="str">
        <f>IF(P2264&lt;&gt;"",
    IF(OR(O2264="", Q2264="", R2264=""),
        "Fill all the required columns",
        IFERROR(
            IF(OR(
                AND(R2264="Marine Protected", VLOOKUP(O2264, Reference!$A$2:$D$34, 4, FALSE) &lt;= P2264),
                AND(R2264="General Use", VLOOKUP(O2264, Reference!$A$2:$D$34, 3, FALSE) &lt;= P2264)
            ),
                "Exceeded",
                "OK"
            ),
            "No Regulation defined"
        )
    ),
    ""
)</f>
        <v/>
      </c>
      <c r="AB2264" s="62" t="str">
        <f t="shared" si="35"/>
        <v/>
      </c>
    </row>
    <row r="2265" spans="19:28" x14ac:dyDescent="0.2">
      <c r="S2265" s="34"/>
      <c r="T2265" s="60" t="str">
        <f>IF(P2265&lt;&gt;"",
    IF(OR(O2265="", Q2265="", R2265=""),
        "Fill all the required columns",
        IFERROR(
            IF(OR(
                AND(R2265="Marine Protected", VLOOKUP(O2265, Reference!$A$2:$D$34, 4, FALSE) &lt;= P2265),
                AND(R2265="General Use", VLOOKUP(O2265, Reference!$A$2:$D$34, 3, FALSE) &lt;= P2265)
            ),
                "Exceeded",
                "OK"
            ),
            "No Regulation defined"
        )
    ),
    ""
)</f>
        <v/>
      </c>
      <c r="AB2265" s="62" t="str">
        <f t="shared" si="35"/>
        <v/>
      </c>
    </row>
    <row r="2266" spans="19:28" x14ac:dyDescent="0.2">
      <c r="S2266" s="34"/>
      <c r="T2266" s="60" t="str">
        <f>IF(P2266&lt;&gt;"",
    IF(OR(O2266="", Q2266="", R2266=""),
        "Fill all the required columns",
        IFERROR(
            IF(OR(
                AND(R2266="Marine Protected", VLOOKUP(O2266, Reference!$A$2:$D$34, 4, FALSE) &lt;= P2266),
                AND(R2266="General Use", VLOOKUP(O2266, Reference!$A$2:$D$34, 3, FALSE) &lt;= P2266)
            ),
                "Exceeded",
                "OK"
            ),
            "No Regulation defined"
        )
    ),
    ""
)</f>
        <v/>
      </c>
      <c r="AB2266" s="62" t="str">
        <f t="shared" si="35"/>
        <v/>
      </c>
    </row>
    <row r="2267" spans="19:28" x14ac:dyDescent="0.2">
      <c r="S2267" s="34"/>
      <c r="T2267" s="60" t="str">
        <f>IF(P2267&lt;&gt;"",
    IF(OR(O2267="", Q2267="", R2267=""),
        "Fill all the required columns",
        IFERROR(
            IF(OR(
                AND(R2267="Marine Protected", VLOOKUP(O2267, Reference!$A$2:$D$34, 4, FALSE) &lt;= P2267),
                AND(R2267="General Use", VLOOKUP(O2267, Reference!$A$2:$D$34, 3, FALSE) &lt;= P2267)
            ),
                "Exceeded",
                "OK"
            ),
            "No Regulation defined"
        )
    ),
    ""
)</f>
        <v/>
      </c>
      <c r="AB2267" s="62" t="str">
        <f t="shared" si="35"/>
        <v/>
      </c>
    </row>
    <row r="2268" spans="19:28" x14ac:dyDescent="0.2">
      <c r="S2268" s="34"/>
      <c r="T2268" s="60" t="str">
        <f>IF(P2268&lt;&gt;"",
    IF(OR(O2268="", Q2268="", R2268=""),
        "Fill all the required columns",
        IFERROR(
            IF(OR(
                AND(R2268="Marine Protected", VLOOKUP(O2268, Reference!$A$2:$D$34, 4, FALSE) &lt;= P2268),
                AND(R2268="General Use", VLOOKUP(O2268, Reference!$A$2:$D$34, 3, FALSE) &lt;= P2268)
            ),
                "Exceeded",
                "OK"
            ),
            "No Regulation defined"
        )
    ),
    ""
)</f>
        <v/>
      </c>
      <c r="AB2268" s="62" t="str">
        <f t="shared" si="35"/>
        <v/>
      </c>
    </row>
    <row r="2269" spans="19:28" x14ac:dyDescent="0.2">
      <c r="S2269" s="34"/>
      <c r="T2269" s="60" t="str">
        <f>IF(P2269&lt;&gt;"",
    IF(OR(O2269="", Q2269="", R2269=""),
        "Fill all the required columns",
        IFERROR(
            IF(OR(
                AND(R2269="Marine Protected", VLOOKUP(O2269, Reference!$A$2:$D$34, 4, FALSE) &lt;= P2269),
                AND(R2269="General Use", VLOOKUP(O2269, Reference!$A$2:$D$34, 3, FALSE) &lt;= P2269)
            ),
                "Exceeded",
                "OK"
            ),
            "No Regulation defined"
        )
    ),
    ""
)</f>
        <v/>
      </c>
      <c r="AB2269" s="62" t="str">
        <f t="shared" si="35"/>
        <v/>
      </c>
    </row>
    <row r="2270" spans="19:28" x14ac:dyDescent="0.2">
      <c r="S2270" s="34"/>
      <c r="T2270" s="60" t="str">
        <f>IF(P2270&lt;&gt;"",
    IF(OR(O2270="", Q2270="", R2270=""),
        "Fill all the required columns",
        IFERROR(
            IF(OR(
                AND(R2270="Marine Protected", VLOOKUP(O2270, Reference!$A$2:$D$34, 4, FALSE) &lt;= P2270),
                AND(R2270="General Use", VLOOKUP(O2270, Reference!$A$2:$D$34, 3, FALSE) &lt;= P2270)
            ),
                "Exceeded",
                "OK"
            ),
            "No Regulation defined"
        )
    ),
    ""
)</f>
        <v/>
      </c>
      <c r="AB2270" s="62" t="str">
        <f t="shared" si="35"/>
        <v/>
      </c>
    </row>
    <row r="2271" spans="19:28" x14ac:dyDescent="0.2">
      <c r="S2271" s="34"/>
      <c r="T2271" s="60" t="str">
        <f>IF(P2271&lt;&gt;"",
    IF(OR(O2271="", Q2271="", R2271=""),
        "Fill all the required columns",
        IFERROR(
            IF(OR(
                AND(R2271="Marine Protected", VLOOKUP(O2271, Reference!$A$2:$D$34, 4, FALSE) &lt;= P2271),
                AND(R2271="General Use", VLOOKUP(O2271, Reference!$A$2:$D$34, 3, FALSE) &lt;= P2271)
            ),
                "Exceeded",
                "OK"
            ),
            "No Regulation defined"
        )
    ),
    ""
)</f>
        <v/>
      </c>
      <c r="AB2271" s="62" t="str">
        <f t="shared" si="35"/>
        <v/>
      </c>
    </row>
    <row r="2272" spans="19:28" x14ac:dyDescent="0.2">
      <c r="S2272" s="34"/>
      <c r="T2272" s="60" t="str">
        <f>IF(P2272&lt;&gt;"",
    IF(OR(O2272="", Q2272="", R2272=""),
        "Fill all the required columns",
        IFERROR(
            IF(OR(
                AND(R2272="Marine Protected", VLOOKUP(O2272, Reference!$A$2:$D$34, 4, FALSE) &lt;= P2272),
                AND(R2272="General Use", VLOOKUP(O2272, Reference!$A$2:$D$34, 3, FALSE) &lt;= P2272)
            ),
                "Exceeded",
                "OK"
            ),
            "No Regulation defined"
        )
    ),
    ""
)</f>
        <v/>
      </c>
      <c r="AB2272" s="62" t="str">
        <f t="shared" si="35"/>
        <v/>
      </c>
    </row>
    <row r="2273" spans="19:28" x14ac:dyDescent="0.2">
      <c r="S2273" s="34"/>
      <c r="T2273" s="60" t="str">
        <f>IF(P2273&lt;&gt;"",
    IF(OR(O2273="", Q2273="", R2273=""),
        "Fill all the required columns",
        IFERROR(
            IF(OR(
                AND(R2273="Marine Protected", VLOOKUP(O2273, Reference!$A$2:$D$34, 4, FALSE) &lt;= P2273),
                AND(R2273="General Use", VLOOKUP(O2273, Reference!$A$2:$D$34, 3, FALSE) &lt;= P2273)
            ),
                "Exceeded",
                "OK"
            ),
            "No Regulation defined"
        )
    ),
    ""
)</f>
        <v/>
      </c>
      <c r="AB2273" s="62" t="str">
        <f t="shared" si="35"/>
        <v/>
      </c>
    </row>
    <row r="2274" spans="19:28" x14ac:dyDescent="0.2">
      <c r="S2274" s="34"/>
      <c r="T2274" s="60" t="str">
        <f>IF(P2274&lt;&gt;"",
    IF(OR(O2274="", Q2274="", R2274=""),
        "Fill all the required columns",
        IFERROR(
            IF(OR(
                AND(R2274="Marine Protected", VLOOKUP(O2274, Reference!$A$2:$D$34, 4, FALSE) &lt;= P2274),
                AND(R2274="General Use", VLOOKUP(O2274, Reference!$A$2:$D$34, 3, FALSE) &lt;= P2274)
            ),
                "Exceeded",
                "OK"
            ),
            "No Regulation defined"
        )
    ),
    ""
)</f>
        <v/>
      </c>
      <c r="AB2274" s="62" t="str">
        <f t="shared" si="35"/>
        <v/>
      </c>
    </row>
    <row r="2275" spans="19:28" x14ac:dyDescent="0.2">
      <c r="S2275" s="34"/>
      <c r="T2275" s="60" t="str">
        <f>IF(P2275&lt;&gt;"",
    IF(OR(O2275="", Q2275="", R2275=""),
        "Fill all the required columns",
        IFERROR(
            IF(OR(
                AND(R2275="Marine Protected", VLOOKUP(O2275, Reference!$A$2:$D$34, 4, FALSE) &lt;= P2275),
                AND(R2275="General Use", VLOOKUP(O2275, Reference!$A$2:$D$34, 3, FALSE) &lt;= P2275)
            ),
                "Exceeded",
                "OK"
            ),
            "No Regulation defined"
        )
    ),
    ""
)</f>
        <v/>
      </c>
      <c r="AB2275" s="62" t="str">
        <f t="shared" si="35"/>
        <v/>
      </c>
    </row>
    <row r="2276" spans="19:28" x14ac:dyDescent="0.2">
      <c r="S2276" s="34"/>
      <c r="T2276" s="60" t="str">
        <f>IF(P2276&lt;&gt;"",
    IF(OR(O2276="", Q2276="", R2276=""),
        "Fill all the required columns",
        IFERROR(
            IF(OR(
                AND(R2276="Marine Protected", VLOOKUP(O2276, Reference!$A$2:$D$34, 4, FALSE) &lt;= P2276),
                AND(R2276="General Use", VLOOKUP(O2276, Reference!$A$2:$D$34, 3, FALSE) &lt;= P2276)
            ),
                "Exceeded",
                "OK"
            ),
            "No Regulation defined"
        )
    ),
    ""
)</f>
        <v/>
      </c>
      <c r="AB2276" s="62" t="str">
        <f t="shared" si="35"/>
        <v/>
      </c>
    </row>
    <row r="2277" spans="19:28" x14ac:dyDescent="0.2">
      <c r="S2277" s="34"/>
      <c r="T2277" s="60" t="str">
        <f>IF(P2277&lt;&gt;"",
    IF(OR(O2277="", Q2277="", R2277=""),
        "Fill all the required columns",
        IFERROR(
            IF(OR(
                AND(R2277="Marine Protected", VLOOKUP(O2277, Reference!$A$2:$D$34, 4, FALSE) &lt;= P2277),
                AND(R2277="General Use", VLOOKUP(O2277, Reference!$A$2:$D$34, 3, FALSE) &lt;= P2277)
            ),
                "Exceeded",
                "OK"
            ),
            "No Regulation defined"
        )
    ),
    ""
)</f>
        <v/>
      </c>
      <c r="AB2277" s="62" t="str">
        <f t="shared" si="35"/>
        <v/>
      </c>
    </row>
    <row r="2278" spans="19:28" x14ac:dyDescent="0.2">
      <c r="S2278" s="34"/>
      <c r="T2278" s="60" t="str">
        <f>IF(P2278&lt;&gt;"",
    IF(OR(O2278="", Q2278="", R2278=""),
        "Fill all the required columns",
        IFERROR(
            IF(OR(
                AND(R2278="Marine Protected", VLOOKUP(O2278, Reference!$A$2:$D$34, 4, FALSE) &lt;= P2278),
                AND(R2278="General Use", VLOOKUP(O2278, Reference!$A$2:$D$34, 3, FALSE) &lt;= P2278)
            ),
                "Exceeded",
                "OK"
            ),
            "No Regulation defined"
        )
    ),
    ""
)</f>
        <v/>
      </c>
      <c r="AB2278" s="62" t="str">
        <f t="shared" si="35"/>
        <v/>
      </c>
    </row>
    <row r="2279" spans="19:28" x14ac:dyDescent="0.2">
      <c r="S2279" s="34"/>
      <c r="T2279" s="60" t="str">
        <f>IF(P2279&lt;&gt;"",
    IF(OR(O2279="", Q2279="", R2279=""),
        "Fill all the required columns",
        IFERROR(
            IF(OR(
                AND(R2279="Marine Protected", VLOOKUP(O2279, Reference!$A$2:$D$34, 4, FALSE) &lt;= P2279),
                AND(R2279="General Use", VLOOKUP(O2279, Reference!$A$2:$D$34, 3, FALSE) &lt;= P2279)
            ),
                "Exceeded",
                "OK"
            ),
            "No Regulation defined"
        )
    ),
    ""
)</f>
        <v/>
      </c>
      <c r="AB2279" s="62" t="str">
        <f t="shared" si="35"/>
        <v/>
      </c>
    </row>
    <row r="2280" spans="19:28" x14ac:dyDescent="0.2">
      <c r="S2280" s="34"/>
      <c r="T2280" s="60" t="str">
        <f>IF(P2280&lt;&gt;"",
    IF(OR(O2280="", Q2280="", R2280=""),
        "Fill all the required columns",
        IFERROR(
            IF(OR(
                AND(R2280="Marine Protected", VLOOKUP(O2280, Reference!$A$2:$D$34, 4, FALSE) &lt;= P2280),
                AND(R2280="General Use", VLOOKUP(O2280, Reference!$A$2:$D$34, 3, FALSE) &lt;= P2280)
            ),
                "Exceeded",
                "OK"
            ),
            "No Regulation defined"
        )
    ),
    ""
)</f>
        <v/>
      </c>
      <c r="AB2280" s="62" t="str">
        <f t="shared" si="35"/>
        <v/>
      </c>
    </row>
    <row r="2281" spans="19:28" x14ac:dyDescent="0.2">
      <c r="S2281" s="34"/>
      <c r="T2281" s="60" t="str">
        <f>IF(P2281&lt;&gt;"",
    IF(OR(O2281="", Q2281="", R2281=""),
        "Fill all the required columns",
        IFERROR(
            IF(OR(
                AND(R2281="Marine Protected", VLOOKUP(O2281, Reference!$A$2:$D$34, 4, FALSE) &lt;= P2281),
                AND(R2281="General Use", VLOOKUP(O2281, Reference!$A$2:$D$34, 3, FALSE) &lt;= P2281)
            ),
                "Exceeded",
                "OK"
            ),
            "No Regulation defined"
        )
    ),
    ""
)</f>
        <v/>
      </c>
      <c r="AB2281" s="62" t="str">
        <f t="shared" si="35"/>
        <v/>
      </c>
    </row>
    <row r="2282" spans="19:28" x14ac:dyDescent="0.2">
      <c r="S2282" s="34"/>
      <c r="T2282" s="60" t="str">
        <f>IF(P2282&lt;&gt;"",
    IF(OR(O2282="", Q2282="", R2282=""),
        "Fill all the required columns",
        IFERROR(
            IF(OR(
                AND(R2282="Marine Protected", VLOOKUP(O2282, Reference!$A$2:$D$34, 4, FALSE) &lt;= P2282),
                AND(R2282="General Use", VLOOKUP(O2282, Reference!$A$2:$D$34, 3, FALSE) &lt;= P2282)
            ),
                "Exceeded",
                "OK"
            ),
            "No Regulation defined"
        )
    ),
    ""
)</f>
        <v/>
      </c>
      <c r="AB2282" s="62" t="str">
        <f t="shared" si="35"/>
        <v/>
      </c>
    </row>
    <row r="2283" spans="19:28" x14ac:dyDescent="0.2">
      <c r="S2283" s="34"/>
      <c r="T2283" s="60" t="str">
        <f>IF(P2283&lt;&gt;"",
    IF(OR(O2283="", Q2283="", R2283=""),
        "Fill all the required columns",
        IFERROR(
            IF(OR(
                AND(R2283="Marine Protected", VLOOKUP(O2283, Reference!$A$2:$D$34, 4, FALSE) &lt;= P2283),
                AND(R2283="General Use", VLOOKUP(O2283, Reference!$A$2:$D$34, 3, FALSE) &lt;= P2283)
            ),
                "Exceeded",
                "OK"
            ),
            "No Regulation defined"
        )
    ),
    ""
)</f>
        <v/>
      </c>
      <c r="AB2283" s="62" t="str">
        <f t="shared" si="35"/>
        <v/>
      </c>
    </row>
    <row r="2284" spans="19:28" x14ac:dyDescent="0.2">
      <c r="S2284" s="34"/>
      <c r="T2284" s="60" t="str">
        <f>IF(P2284&lt;&gt;"",
    IF(OR(O2284="", Q2284="", R2284=""),
        "Fill all the required columns",
        IFERROR(
            IF(OR(
                AND(R2284="Marine Protected", VLOOKUP(O2284, Reference!$A$2:$D$34, 4, FALSE) &lt;= P2284),
                AND(R2284="General Use", VLOOKUP(O2284, Reference!$A$2:$D$34, 3, FALSE) &lt;= P2284)
            ),
                "Exceeded",
                "OK"
            ),
            "No Regulation defined"
        )
    ),
    ""
)</f>
        <v/>
      </c>
      <c r="AB2284" s="62" t="str">
        <f t="shared" si="35"/>
        <v/>
      </c>
    </row>
    <row r="2285" spans="19:28" x14ac:dyDescent="0.2">
      <c r="S2285" s="34"/>
      <c r="T2285" s="60" t="str">
        <f>IF(P2285&lt;&gt;"",
    IF(OR(O2285="", Q2285="", R2285=""),
        "Fill all the required columns",
        IFERROR(
            IF(OR(
                AND(R2285="Marine Protected", VLOOKUP(O2285, Reference!$A$2:$D$34, 4, FALSE) &lt;= P2285),
                AND(R2285="General Use", VLOOKUP(O2285, Reference!$A$2:$D$34, 3, FALSE) &lt;= P2285)
            ),
                "Exceeded",
                "OK"
            ),
            "No Regulation defined"
        )
    ),
    ""
)</f>
        <v/>
      </c>
      <c r="AB2285" s="62" t="str">
        <f t="shared" si="35"/>
        <v/>
      </c>
    </row>
    <row r="2286" spans="19:28" x14ac:dyDescent="0.2">
      <c r="S2286" s="34"/>
      <c r="T2286" s="60" t="str">
        <f>IF(P2286&lt;&gt;"",
    IF(OR(O2286="", Q2286="", R2286=""),
        "Fill all the required columns",
        IFERROR(
            IF(OR(
                AND(R2286="Marine Protected", VLOOKUP(O2286, Reference!$A$2:$D$34, 4, FALSE) &lt;= P2286),
                AND(R2286="General Use", VLOOKUP(O2286, Reference!$A$2:$D$34, 3, FALSE) &lt;= P2286)
            ),
                "Exceeded",
                "OK"
            ),
            "No Regulation defined"
        )
    ),
    ""
)</f>
        <v/>
      </c>
      <c r="AB2286" s="62" t="str">
        <f t="shared" si="35"/>
        <v/>
      </c>
    </row>
    <row r="2287" spans="19:28" x14ac:dyDescent="0.2">
      <c r="S2287" s="34"/>
      <c r="T2287" s="60" t="str">
        <f>IF(P2287&lt;&gt;"",
    IF(OR(O2287="", Q2287="", R2287=""),
        "Fill all the required columns",
        IFERROR(
            IF(OR(
                AND(R2287="Marine Protected", VLOOKUP(O2287, Reference!$A$2:$D$34, 4, FALSE) &lt;= P2287),
                AND(R2287="General Use", VLOOKUP(O2287, Reference!$A$2:$D$34, 3, FALSE) &lt;= P2287)
            ),
                "Exceeded",
                "OK"
            ),
            "No Regulation defined"
        )
    ),
    ""
)</f>
        <v/>
      </c>
      <c r="AB2287" s="62" t="str">
        <f t="shared" si="35"/>
        <v/>
      </c>
    </row>
    <row r="2288" spans="19:28" x14ac:dyDescent="0.2">
      <c r="S2288" s="34"/>
      <c r="T2288" s="60" t="str">
        <f>IF(P2288&lt;&gt;"",
    IF(OR(O2288="", Q2288="", R2288=""),
        "Fill all the required columns",
        IFERROR(
            IF(OR(
                AND(R2288="Marine Protected", VLOOKUP(O2288, Reference!$A$2:$D$34, 4, FALSE) &lt;= P2288),
                AND(R2288="General Use", VLOOKUP(O2288, Reference!$A$2:$D$34, 3, FALSE) &lt;= P2288)
            ),
                "Exceeded",
                "OK"
            ),
            "No Regulation defined"
        )
    ),
    ""
)</f>
        <v/>
      </c>
      <c r="AB2288" s="62" t="str">
        <f t="shared" si="35"/>
        <v/>
      </c>
    </row>
    <row r="2289" spans="19:28" x14ac:dyDescent="0.2">
      <c r="S2289" s="34"/>
      <c r="T2289" s="60" t="str">
        <f>IF(P2289&lt;&gt;"",
    IF(OR(O2289="", Q2289="", R2289=""),
        "Fill all the required columns",
        IFERROR(
            IF(OR(
                AND(R2289="Marine Protected", VLOOKUP(O2289, Reference!$A$2:$D$34, 4, FALSE) &lt;= P2289),
                AND(R2289="General Use", VLOOKUP(O2289, Reference!$A$2:$D$34, 3, FALSE) &lt;= P2289)
            ),
                "Exceeded",
                "OK"
            ),
            "No Regulation defined"
        )
    ),
    ""
)</f>
        <v/>
      </c>
      <c r="AB2289" s="62" t="str">
        <f t="shared" si="35"/>
        <v/>
      </c>
    </row>
    <row r="2290" spans="19:28" x14ac:dyDescent="0.2">
      <c r="S2290" s="34"/>
      <c r="T2290" s="60" t="str">
        <f>IF(P2290&lt;&gt;"",
    IF(OR(O2290="", Q2290="", R2290=""),
        "Fill all the required columns",
        IFERROR(
            IF(OR(
                AND(R2290="Marine Protected", VLOOKUP(O2290, Reference!$A$2:$D$34, 4, FALSE) &lt;= P2290),
                AND(R2290="General Use", VLOOKUP(O2290, Reference!$A$2:$D$34, 3, FALSE) &lt;= P2290)
            ),
                "Exceeded",
                "OK"
            ),
            "No Regulation defined"
        )
    ),
    ""
)</f>
        <v/>
      </c>
      <c r="AB2290" s="62" t="str">
        <f t="shared" si="35"/>
        <v/>
      </c>
    </row>
    <row r="2291" spans="19:28" x14ac:dyDescent="0.2">
      <c r="S2291" s="34"/>
      <c r="T2291" s="60" t="str">
        <f>IF(P2291&lt;&gt;"",
    IF(OR(O2291="", Q2291="", R2291=""),
        "Fill all the required columns",
        IFERROR(
            IF(OR(
                AND(R2291="Marine Protected", VLOOKUP(O2291, Reference!$A$2:$D$34, 4, FALSE) &lt;= P2291),
                AND(R2291="General Use", VLOOKUP(O2291, Reference!$A$2:$D$34, 3, FALSE) &lt;= P2291)
            ),
                "Exceeded",
                "OK"
            ),
            "No Regulation defined"
        )
    ),
    ""
)</f>
        <v/>
      </c>
      <c r="AB2291" s="62" t="str">
        <f t="shared" si="35"/>
        <v/>
      </c>
    </row>
    <row r="2292" spans="19:28" x14ac:dyDescent="0.2">
      <c r="S2292" s="34"/>
      <c r="T2292" s="60" t="str">
        <f>IF(P2292&lt;&gt;"",
    IF(OR(O2292="", Q2292="", R2292=""),
        "Fill all the required columns",
        IFERROR(
            IF(OR(
                AND(R2292="Marine Protected", VLOOKUP(O2292, Reference!$A$2:$D$34, 4, FALSE) &lt;= P2292),
                AND(R2292="General Use", VLOOKUP(O2292, Reference!$A$2:$D$34, 3, FALSE) &lt;= P2292)
            ),
                "Exceeded",
                "OK"
            ),
            "No Regulation defined"
        )
    ),
    ""
)</f>
        <v/>
      </c>
      <c r="AB2292" s="62" t="str">
        <f t="shared" si="35"/>
        <v/>
      </c>
    </row>
    <row r="2293" spans="19:28" x14ac:dyDescent="0.2">
      <c r="S2293" s="34"/>
      <c r="T2293" s="60" t="str">
        <f>IF(P2293&lt;&gt;"",
    IF(OR(O2293="", Q2293="", R2293=""),
        "Fill all the required columns",
        IFERROR(
            IF(OR(
                AND(R2293="Marine Protected", VLOOKUP(O2293, Reference!$A$2:$D$34, 4, FALSE) &lt;= P2293),
                AND(R2293="General Use", VLOOKUP(O2293, Reference!$A$2:$D$34, 3, FALSE) &lt;= P2293)
            ),
                "Exceeded",
                "OK"
            ),
            "No Regulation defined"
        )
    ),
    ""
)</f>
        <v/>
      </c>
      <c r="AB2293" s="62" t="str">
        <f t="shared" si="35"/>
        <v/>
      </c>
    </row>
    <row r="2294" spans="19:28" x14ac:dyDescent="0.2">
      <c r="S2294" s="34"/>
      <c r="T2294" s="60" t="str">
        <f>IF(P2294&lt;&gt;"",
    IF(OR(O2294="", Q2294="", R2294=""),
        "Fill all the required columns",
        IFERROR(
            IF(OR(
                AND(R2294="Marine Protected", VLOOKUP(O2294, Reference!$A$2:$D$34, 4, FALSE) &lt;= P2294),
                AND(R2294="General Use", VLOOKUP(O2294, Reference!$A$2:$D$34, 3, FALSE) &lt;= P2294)
            ),
                "Exceeded",
                "OK"
            ),
            "No Regulation defined"
        )
    ),
    ""
)</f>
        <v/>
      </c>
      <c r="AB2294" s="62" t="str">
        <f t="shared" si="35"/>
        <v/>
      </c>
    </row>
    <row r="2295" spans="19:28" x14ac:dyDescent="0.2">
      <c r="S2295" s="34"/>
      <c r="T2295" s="60" t="str">
        <f>IF(P2295&lt;&gt;"",
    IF(OR(O2295="", Q2295="", R2295=""),
        "Fill all the required columns",
        IFERROR(
            IF(OR(
                AND(R2295="Marine Protected", VLOOKUP(O2295, Reference!$A$2:$D$34, 4, FALSE) &lt;= P2295),
                AND(R2295="General Use", VLOOKUP(O2295, Reference!$A$2:$D$34, 3, FALSE) &lt;= P2295)
            ),
                "Exceeded",
                "OK"
            ),
            "No Regulation defined"
        )
    ),
    ""
)</f>
        <v/>
      </c>
      <c r="AB2295" s="62" t="str">
        <f t="shared" si="35"/>
        <v/>
      </c>
    </row>
    <row r="2296" spans="19:28" x14ac:dyDescent="0.2">
      <c r="S2296" s="34"/>
      <c r="T2296" s="60" t="str">
        <f>IF(P2296&lt;&gt;"",
    IF(OR(O2296="", Q2296="", R2296=""),
        "Fill all the required columns",
        IFERROR(
            IF(OR(
                AND(R2296="Marine Protected", VLOOKUP(O2296, Reference!$A$2:$D$34, 4, FALSE) &lt;= P2296),
                AND(R2296="General Use", VLOOKUP(O2296, Reference!$A$2:$D$34, 3, FALSE) &lt;= P2296)
            ),
                "Exceeded",
                "OK"
            ),
            "No Regulation defined"
        )
    ),
    ""
)</f>
        <v/>
      </c>
      <c r="AB2296" s="62" t="str">
        <f t="shared" si="35"/>
        <v/>
      </c>
    </row>
    <row r="2297" spans="19:28" x14ac:dyDescent="0.2">
      <c r="S2297" s="34"/>
      <c r="T2297" s="60" t="str">
        <f>IF(P2297&lt;&gt;"",
    IF(OR(O2297="", Q2297="", R2297=""),
        "Fill all the required columns",
        IFERROR(
            IF(OR(
                AND(R2297="Marine Protected", VLOOKUP(O2297, Reference!$A$2:$D$34, 4, FALSE) &lt;= P2297),
                AND(R2297="General Use", VLOOKUP(O2297, Reference!$A$2:$D$34, 3, FALSE) &lt;= P2297)
            ),
                "Exceeded",
                "OK"
            ),
            "No Regulation defined"
        )
    ),
    ""
)</f>
        <v/>
      </c>
      <c r="AB2297" s="62" t="str">
        <f t="shared" si="35"/>
        <v/>
      </c>
    </row>
    <row r="2298" spans="19:28" x14ac:dyDescent="0.2">
      <c r="S2298" s="34"/>
      <c r="T2298" s="60" t="str">
        <f>IF(P2298&lt;&gt;"",
    IF(OR(O2298="", Q2298="", R2298=""),
        "Fill all the required columns",
        IFERROR(
            IF(OR(
                AND(R2298="Marine Protected", VLOOKUP(O2298, Reference!$A$2:$D$34, 4, FALSE) &lt;= P2298),
                AND(R2298="General Use", VLOOKUP(O2298, Reference!$A$2:$D$34, 3, FALSE) &lt;= P2298)
            ),
                "Exceeded",
                "OK"
            ),
            "No Regulation defined"
        )
    ),
    ""
)</f>
        <v/>
      </c>
      <c r="AB2298" s="62" t="str">
        <f t="shared" si="35"/>
        <v/>
      </c>
    </row>
    <row r="2299" spans="19:28" x14ac:dyDescent="0.2">
      <c r="S2299" s="34"/>
      <c r="T2299" s="60" t="str">
        <f>IF(P2299&lt;&gt;"",
    IF(OR(O2299="", Q2299="", R2299=""),
        "Fill all the required columns",
        IFERROR(
            IF(OR(
                AND(R2299="Marine Protected", VLOOKUP(O2299, Reference!$A$2:$D$34, 4, FALSE) &lt;= P2299),
                AND(R2299="General Use", VLOOKUP(O2299, Reference!$A$2:$D$34, 3, FALSE) &lt;= P2299)
            ),
                "Exceeded",
                "OK"
            ),
            "No Regulation defined"
        )
    ),
    ""
)</f>
        <v/>
      </c>
      <c r="AB2299" s="62" t="str">
        <f t="shared" si="35"/>
        <v/>
      </c>
    </row>
    <row r="2300" spans="19:28" x14ac:dyDescent="0.2">
      <c r="S2300" s="34"/>
      <c r="T2300" s="60" t="str">
        <f>IF(P2300&lt;&gt;"",
    IF(OR(O2300="", Q2300="", R2300=""),
        "Fill all the required columns",
        IFERROR(
            IF(OR(
                AND(R2300="Marine Protected", VLOOKUP(O2300, Reference!$A$2:$D$34, 4, FALSE) &lt;= P2300),
                AND(R2300="General Use", VLOOKUP(O2300, Reference!$A$2:$D$34, 3, FALSE) &lt;= P2300)
            ),
                "Exceeded",
                "OK"
            ),
            "No Regulation defined"
        )
    ),
    ""
)</f>
        <v/>
      </c>
      <c r="AB2300" s="62" t="str">
        <f t="shared" si="35"/>
        <v/>
      </c>
    </row>
    <row r="2301" spans="19:28" x14ac:dyDescent="0.2">
      <c r="S2301" s="34"/>
      <c r="T2301" s="60" t="str">
        <f>IF(P2301&lt;&gt;"",
    IF(OR(O2301="", Q2301="", R2301=""),
        "Fill all the required columns",
        IFERROR(
            IF(OR(
                AND(R2301="Marine Protected", VLOOKUP(O2301, Reference!$A$2:$D$34, 4, FALSE) &lt;= P2301),
                AND(R2301="General Use", VLOOKUP(O2301, Reference!$A$2:$D$34, 3, FALSE) &lt;= P2301)
            ),
                "Exceeded",
                "OK"
            ),
            "No Regulation defined"
        )
    ),
    ""
)</f>
        <v/>
      </c>
      <c r="AB2301" s="62" t="str">
        <f t="shared" si="35"/>
        <v/>
      </c>
    </row>
    <row r="2302" spans="19:28" x14ac:dyDescent="0.2">
      <c r="S2302" s="34"/>
      <c r="T2302" s="60" t="str">
        <f>IF(P2302&lt;&gt;"",
    IF(OR(O2302="", Q2302="", R2302=""),
        "Fill all the required columns",
        IFERROR(
            IF(OR(
                AND(R2302="Marine Protected", VLOOKUP(O2302, Reference!$A$2:$D$34, 4, FALSE) &lt;= P2302),
                AND(R2302="General Use", VLOOKUP(O2302, Reference!$A$2:$D$34, 3, FALSE) &lt;= P2302)
            ),
                "Exceeded",
                "OK"
            ),
            "No Regulation defined"
        )
    ),
    ""
)</f>
        <v/>
      </c>
      <c r="AB2302" s="62" t="str">
        <f t="shared" si="35"/>
        <v/>
      </c>
    </row>
    <row r="2303" spans="19:28" x14ac:dyDescent="0.2">
      <c r="S2303" s="34"/>
      <c r="T2303" s="60" t="str">
        <f>IF(P2303&lt;&gt;"",
    IF(OR(O2303="", Q2303="", R2303=""),
        "Fill all the required columns",
        IFERROR(
            IF(OR(
                AND(R2303="Marine Protected", VLOOKUP(O2303, Reference!$A$2:$D$34, 4, FALSE) &lt;= P2303),
                AND(R2303="General Use", VLOOKUP(O2303, Reference!$A$2:$D$34, 3, FALSE) &lt;= P2303)
            ),
                "Exceeded",
                "OK"
            ),
            "No Regulation defined"
        )
    ),
    ""
)</f>
        <v/>
      </c>
      <c r="AB2303" s="62" t="str">
        <f t="shared" si="35"/>
        <v/>
      </c>
    </row>
    <row r="2304" spans="19:28" x14ac:dyDescent="0.2">
      <c r="S2304" s="34"/>
      <c r="T2304" s="60" t="str">
        <f>IF(P2304&lt;&gt;"",
    IF(OR(O2304="", Q2304="", R2304=""),
        "Fill all the required columns",
        IFERROR(
            IF(OR(
                AND(R2304="Marine Protected", VLOOKUP(O2304, Reference!$A$2:$D$34, 4, FALSE) &lt;= P2304),
                AND(R2304="General Use", VLOOKUP(O2304, Reference!$A$2:$D$34, 3, FALSE) &lt;= P2304)
            ),
                "Exceeded",
                "OK"
            ),
            "No Regulation defined"
        )
    ),
    ""
)</f>
        <v/>
      </c>
      <c r="AB2304" s="62" t="str">
        <f t="shared" si="35"/>
        <v/>
      </c>
    </row>
    <row r="2305" spans="19:28" x14ac:dyDescent="0.2">
      <c r="S2305" s="34"/>
      <c r="T2305" s="60" t="str">
        <f>IF(P2305&lt;&gt;"",
    IF(OR(O2305="", Q2305="", R2305=""),
        "Fill all the required columns",
        IFERROR(
            IF(OR(
                AND(R2305="Marine Protected", VLOOKUP(O2305, Reference!$A$2:$D$34, 4, FALSE) &lt;= P2305),
                AND(R2305="General Use", VLOOKUP(O2305, Reference!$A$2:$D$34, 3, FALSE) &lt;= P2305)
            ),
                "Exceeded",
                "OK"
            ),
            "No Regulation defined"
        )
    ),
    ""
)</f>
        <v/>
      </c>
      <c r="AB2305" s="62" t="str">
        <f t="shared" si="35"/>
        <v/>
      </c>
    </row>
    <row r="2306" spans="19:28" x14ac:dyDescent="0.2">
      <c r="S2306" s="34"/>
      <c r="T2306" s="60" t="str">
        <f>IF(P2306&lt;&gt;"",
    IF(OR(O2306="", Q2306="", R2306=""),
        "Fill all the required columns",
        IFERROR(
            IF(OR(
                AND(R2306="Marine Protected", VLOOKUP(O2306, Reference!$A$2:$D$34, 4, FALSE) &lt;= P2306),
                AND(R2306="General Use", VLOOKUP(O2306, Reference!$A$2:$D$34, 3, FALSE) &lt;= P2306)
            ),
                "Exceeded",
                "OK"
            ),
            "No Regulation defined"
        )
    ),
    ""
)</f>
        <v/>
      </c>
      <c r="AB2306" s="62" t="str">
        <f t="shared" si="35"/>
        <v/>
      </c>
    </row>
    <row r="2307" spans="19:28" x14ac:dyDescent="0.2">
      <c r="S2307" s="34"/>
      <c r="T2307" s="60" t="str">
        <f>IF(P2307&lt;&gt;"",
    IF(OR(O2307="", Q2307="", R2307=""),
        "Fill all the required columns",
        IFERROR(
            IF(OR(
                AND(R2307="Marine Protected", VLOOKUP(O2307, Reference!$A$2:$D$34, 4, FALSE) &lt;= P2307),
                AND(R2307="General Use", VLOOKUP(O2307, Reference!$A$2:$D$34, 3, FALSE) &lt;= P2307)
            ),
                "Exceeded",
                "OK"
            ),
            "No Regulation defined"
        )
    ),
    ""
)</f>
        <v/>
      </c>
      <c r="AB2307" s="62" t="str">
        <f t="shared" ref="AB2307:AB2370" si="36">IF(COUNTA(A2307, E2307, F2307, H2307, I2307, O2307, P2307, Q2307, R2307,S2307) = 0, "", IF(COUNTA(A2307, E2307, F2307, H2307, I2307, O2307, P2307, Q2307, R2307,S2307) = 10, "OK", "Incomplete"))</f>
        <v/>
      </c>
    </row>
    <row r="2308" spans="19:28" x14ac:dyDescent="0.2">
      <c r="S2308" s="34"/>
      <c r="T2308" s="60" t="str">
        <f>IF(P2308&lt;&gt;"",
    IF(OR(O2308="", Q2308="", R2308=""),
        "Fill all the required columns",
        IFERROR(
            IF(OR(
                AND(R2308="Marine Protected", VLOOKUP(O2308, Reference!$A$2:$D$34, 4, FALSE) &lt;= P2308),
                AND(R2308="General Use", VLOOKUP(O2308, Reference!$A$2:$D$34, 3, FALSE) &lt;= P2308)
            ),
                "Exceeded",
                "OK"
            ),
            "No Regulation defined"
        )
    ),
    ""
)</f>
        <v/>
      </c>
      <c r="AB2308" s="62" t="str">
        <f t="shared" si="36"/>
        <v/>
      </c>
    </row>
    <row r="2309" spans="19:28" x14ac:dyDescent="0.2">
      <c r="S2309" s="34"/>
      <c r="T2309" s="60" t="str">
        <f>IF(P2309&lt;&gt;"",
    IF(OR(O2309="", Q2309="", R2309=""),
        "Fill all the required columns",
        IFERROR(
            IF(OR(
                AND(R2309="Marine Protected", VLOOKUP(O2309, Reference!$A$2:$D$34, 4, FALSE) &lt;= P2309),
                AND(R2309="General Use", VLOOKUP(O2309, Reference!$A$2:$D$34, 3, FALSE) &lt;= P2309)
            ),
                "Exceeded",
                "OK"
            ),
            "No Regulation defined"
        )
    ),
    ""
)</f>
        <v/>
      </c>
      <c r="AB2309" s="62" t="str">
        <f t="shared" si="36"/>
        <v/>
      </c>
    </row>
    <row r="2310" spans="19:28" x14ac:dyDescent="0.2">
      <c r="S2310" s="34"/>
      <c r="T2310" s="60" t="str">
        <f>IF(P2310&lt;&gt;"",
    IF(OR(O2310="", Q2310="", R2310=""),
        "Fill all the required columns",
        IFERROR(
            IF(OR(
                AND(R2310="Marine Protected", VLOOKUP(O2310, Reference!$A$2:$D$34, 4, FALSE) &lt;= P2310),
                AND(R2310="General Use", VLOOKUP(O2310, Reference!$A$2:$D$34, 3, FALSE) &lt;= P2310)
            ),
                "Exceeded",
                "OK"
            ),
            "No Regulation defined"
        )
    ),
    ""
)</f>
        <v/>
      </c>
      <c r="AB2310" s="62" t="str">
        <f t="shared" si="36"/>
        <v/>
      </c>
    </row>
    <row r="2311" spans="19:28" x14ac:dyDescent="0.2">
      <c r="S2311" s="34"/>
      <c r="T2311" s="60" t="str">
        <f>IF(P2311&lt;&gt;"",
    IF(OR(O2311="", Q2311="", R2311=""),
        "Fill all the required columns",
        IFERROR(
            IF(OR(
                AND(R2311="Marine Protected", VLOOKUP(O2311, Reference!$A$2:$D$34, 4, FALSE) &lt;= P2311),
                AND(R2311="General Use", VLOOKUP(O2311, Reference!$A$2:$D$34, 3, FALSE) &lt;= P2311)
            ),
                "Exceeded",
                "OK"
            ),
            "No Regulation defined"
        )
    ),
    ""
)</f>
        <v/>
      </c>
      <c r="AB2311" s="62" t="str">
        <f t="shared" si="36"/>
        <v/>
      </c>
    </row>
    <row r="2312" spans="19:28" x14ac:dyDescent="0.2">
      <c r="S2312" s="34"/>
      <c r="T2312" s="60" t="str">
        <f>IF(P2312&lt;&gt;"",
    IF(OR(O2312="", Q2312="", R2312=""),
        "Fill all the required columns",
        IFERROR(
            IF(OR(
                AND(R2312="Marine Protected", VLOOKUP(O2312, Reference!$A$2:$D$34, 4, FALSE) &lt;= P2312),
                AND(R2312="General Use", VLOOKUP(O2312, Reference!$A$2:$D$34, 3, FALSE) &lt;= P2312)
            ),
                "Exceeded",
                "OK"
            ),
            "No Regulation defined"
        )
    ),
    ""
)</f>
        <v/>
      </c>
      <c r="AB2312" s="62" t="str">
        <f t="shared" si="36"/>
        <v/>
      </c>
    </row>
    <row r="2313" spans="19:28" x14ac:dyDescent="0.2">
      <c r="S2313" s="34"/>
      <c r="T2313" s="60" t="str">
        <f>IF(P2313&lt;&gt;"",
    IF(OR(O2313="", Q2313="", R2313=""),
        "Fill all the required columns",
        IFERROR(
            IF(OR(
                AND(R2313="Marine Protected", VLOOKUP(O2313, Reference!$A$2:$D$34, 4, FALSE) &lt;= P2313),
                AND(R2313="General Use", VLOOKUP(O2313, Reference!$A$2:$D$34, 3, FALSE) &lt;= P2313)
            ),
                "Exceeded",
                "OK"
            ),
            "No Regulation defined"
        )
    ),
    ""
)</f>
        <v/>
      </c>
      <c r="AB2313" s="62" t="str">
        <f t="shared" si="36"/>
        <v/>
      </c>
    </row>
    <row r="2314" spans="19:28" x14ac:dyDescent="0.2">
      <c r="S2314" s="34"/>
      <c r="T2314" s="60" t="str">
        <f>IF(P2314&lt;&gt;"",
    IF(OR(O2314="", Q2314="", R2314=""),
        "Fill all the required columns",
        IFERROR(
            IF(OR(
                AND(R2314="Marine Protected", VLOOKUP(O2314, Reference!$A$2:$D$34, 4, FALSE) &lt;= P2314),
                AND(R2314="General Use", VLOOKUP(O2314, Reference!$A$2:$D$34, 3, FALSE) &lt;= P2314)
            ),
                "Exceeded",
                "OK"
            ),
            "No Regulation defined"
        )
    ),
    ""
)</f>
        <v/>
      </c>
      <c r="AB2314" s="62" t="str">
        <f t="shared" si="36"/>
        <v/>
      </c>
    </row>
    <row r="2315" spans="19:28" x14ac:dyDescent="0.2">
      <c r="S2315" s="34"/>
      <c r="T2315" s="60" t="str">
        <f>IF(P2315&lt;&gt;"",
    IF(OR(O2315="", Q2315="", R2315=""),
        "Fill all the required columns",
        IFERROR(
            IF(OR(
                AND(R2315="Marine Protected", VLOOKUP(O2315, Reference!$A$2:$D$34, 4, FALSE) &lt;= P2315),
                AND(R2315="General Use", VLOOKUP(O2315, Reference!$A$2:$D$34, 3, FALSE) &lt;= P2315)
            ),
                "Exceeded",
                "OK"
            ),
            "No Regulation defined"
        )
    ),
    ""
)</f>
        <v/>
      </c>
      <c r="AB2315" s="62" t="str">
        <f t="shared" si="36"/>
        <v/>
      </c>
    </row>
    <row r="2316" spans="19:28" x14ac:dyDescent="0.2">
      <c r="S2316" s="34"/>
      <c r="T2316" s="60" t="str">
        <f>IF(P2316&lt;&gt;"",
    IF(OR(O2316="", Q2316="", R2316=""),
        "Fill all the required columns",
        IFERROR(
            IF(OR(
                AND(R2316="Marine Protected", VLOOKUP(O2316, Reference!$A$2:$D$34, 4, FALSE) &lt;= P2316),
                AND(R2316="General Use", VLOOKUP(O2316, Reference!$A$2:$D$34, 3, FALSE) &lt;= P2316)
            ),
                "Exceeded",
                "OK"
            ),
            "No Regulation defined"
        )
    ),
    ""
)</f>
        <v/>
      </c>
      <c r="AB2316" s="62" t="str">
        <f t="shared" si="36"/>
        <v/>
      </c>
    </row>
    <row r="2317" spans="19:28" x14ac:dyDescent="0.2">
      <c r="S2317" s="34"/>
      <c r="T2317" s="60" t="str">
        <f>IF(P2317&lt;&gt;"",
    IF(OR(O2317="", Q2317="", R2317=""),
        "Fill all the required columns",
        IFERROR(
            IF(OR(
                AND(R2317="Marine Protected", VLOOKUP(O2317, Reference!$A$2:$D$34, 4, FALSE) &lt;= P2317),
                AND(R2317="General Use", VLOOKUP(O2317, Reference!$A$2:$D$34, 3, FALSE) &lt;= P2317)
            ),
                "Exceeded",
                "OK"
            ),
            "No Regulation defined"
        )
    ),
    ""
)</f>
        <v/>
      </c>
      <c r="AB2317" s="62" t="str">
        <f t="shared" si="36"/>
        <v/>
      </c>
    </row>
    <row r="2318" spans="19:28" x14ac:dyDescent="0.2">
      <c r="S2318" s="34"/>
      <c r="T2318" s="60" t="str">
        <f>IF(P2318&lt;&gt;"",
    IF(OR(O2318="", Q2318="", R2318=""),
        "Fill all the required columns",
        IFERROR(
            IF(OR(
                AND(R2318="Marine Protected", VLOOKUP(O2318, Reference!$A$2:$D$34, 4, FALSE) &lt;= P2318),
                AND(R2318="General Use", VLOOKUP(O2318, Reference!$A$2:$D$34, 3, FALSE) &lt;= P2318)
            ),
                "Exceeded",
                "OK"
            ),
            "No Regulation defined"
        )
    ),
    ""
)</f>
        <v/>
      </c>
      <c r="AB2318" s="62" t="str">
        <f t="shared" si="36"/>
        <v/>
      </c>
    </row>
    <row r="2319" spans="19:28" x14ac:dyDescent="0.2">
      <c r="S2319" s="34"/>
      <c r="T2319" s="60" t="str">
        <f>IF(P2319&lt;&gt;"",
    IF(OR(O2319="", Q2319="", R2319=""),
        "Fill all the required columns",
        IFERROR(
            IF(OR(
                AND(R2319="Marine Protected", VLOOKUP(O2319, Reference!$A$2:$D$34, 4, FALSE) &lt;= P2319),
                AND(R2319="General Use", VLOOKUP(O2319, Reference!$A$2:$D$34, 3, FALSE) &lt;= P2319)
            ),
                "Exceeded",
                "OK"
            ),
            "No Regulation defined"
        )
    ),
    ""
)</f>
        <v/>
      </c>
      <c r="AB2319" s="62" t="str">
        <f t="shared" si="36"/>
        <v/>
      </c>
    </row>
    <row r="2320" spans="19:28" x14ac:dyDescent="0.2">
      <c r="S2320" s="34"/>
      <c r="T2320" s="60" t="str">
        <f>IF(P2320&lt;&gt;"",
    IF(OR(O2320="", Q2320="", R2320=""),
        "Fill all the required columns",
        IFERROR(
            IF(OR(
                AND(R2320="Marine Protected", VLOOKUP(O2320, Reference!$A$2:$D$34, 4, FALSE) &lt;= P2320),
                AND(R2320="General Use", VLOOKUP(O2320, Reference!$A$2:$D$34, 3, FALSE) &lt;= P2320)
            ),
                "Exceeded",
                "OK"
            ),
            "No Regulation defined"
        )
    ),
    ""
)</f>
        <v/>
      </c>
      <c r="AB2320" s="62" t="str">
        <f t="shared" si="36"/>
        <v/>
      </c>
    </row>
    <row r="2321" spans="19:28" x14ac:dyDescent="0.2">
      <c r="S2321" s="34"/>
      <c r="T2321" s="60" t="str">
        <f>IF(P2321&lt;&gt;"",
    IF(OR(O2321="", Q2321="", R2321=""),
        "Fill all the required columns",
        IFERROR(
            IF(OR(
                AND(R2321="Marine Protected", VLOOKUP(O2321, Reference!$A$2:$D$34, 4, FALSE) &lt;= P2321),
                AND(R2321="General Use", VLOOKUP(O2321, Reference!$A$2:$D$34, 3, FALSE) &lt;= P2321)
            ),
                "Exceeded",
                "OK"
            ),
            "No Regulation defined"
        )
    ),
    ""
)</f>
        <v/>
      </c>
      <c r="AB2321" s="62" t="str">
        <f t="shared" si="36"/>
        <v/>
      </c>
    </row>
    <row r="2322" spans="19:28" x14ac:dyDescent="0.2">
      <c r="S2322" s="34"/>
      <c r="T2322" s="60" t="str">
        <f>IF(P2322&lt;&gt;"",
    IF(OR(O2322="", Q2322="", R2322=""),
        "Fill all the required columns",
        IFERROR(
            IF(OR(
                AND(R2322="Marine Protected", VLOOKUP(O2322, Reference!$A$2:$D$34, 4, FALSE) &lt;= P2322),
                AND(R2322="General Use", VLOOKUP(O2322, Reference!$A$2:$D$34, 3, FALSE) &lt;= P2322)
            ),
                "Exceeded",
                "OK"
            ),
            "No Regulation defined"
        )
    ),
    ""
)</f>
        <v/>
      </c>
      <c r="AB2322" s="62" t="str">
        <f t="shared" si="36"/>
        <v/>
      </c>
    </row>
    <row r="2323" spans="19:28" x14ac:dyDescent="0.2">
      <c r="S2323" s="34"/>
      <c r="T2323" s="60" t="str">
        <f>IF(P2323&lt;&gt;"",
    IF(OR(O2323="", Q2323="", R2323=""),
        "Fill all the required columns",
        IFERROR(
            IF(OR(
                AND(R2323="Marine Protected", VLOOKUP(O2323, Reference!$A$2:$D$34, 4, FALSE) &lt;= P2323),
                AND(R2323="General Use", VLOOKUP(O2323, Reference!$A$2:$D$34, 3, FALSE) &lt;= P2323)
            ),
                "Exceeded",
                "OK"
            ),
            "No Regulation defined"
        )
    ),
    ""
)</f>
        <v/>
      </c>
      <c r="AB2323" s="62" t="str">
        <f t="shared" si="36"/>
        <v/>
      </c>
    </row>
    <row r="2324" spans="19:28" x14ac:dyDescent="0.2">
      <c r="S2324" s="34"/>
      <c r="T2324" s="60" t="str">
        <f>IF(P2324&lt;&gt;"",
    IF(OR(O2324="", Q2324="", R2324=""),
        "Fill all the required columns",
        IFERROR(
            IF(OR(
                AND(R2324="Marine Protected", VLOOKUP(O2324, Reference!$A$2:$D$34, 4, FALSE) &lt;= P2324),
                AND(R2324="General Use", VLOOKUP(O2324, Reference!$A$2:$D$34, 3, FALSE) &lt;= P2324)
            ),
                "Exceeded",
                "OK"
            ),
            "No Regulation defined"
        )
    ),
    ""
)</f>
        <v/>
      </c>
      <c r="AB2324" s="62" t="str">
        <f t="shared" si="36"/>
        <v/>
      </c>
    </row>
    <row r="2325" spans="19:28" x14ac:dyDescent="0.2">
      <c r="S2325" s="34"/>
      <c r="T2325" s="60" t="str">
        <f>IF(P2325&lt;&gt;"",
    IF(OR(O2325="", Q2325="", R2325=""),
        "Fill all the required columns",
        IFERROR(
            IF(OR(
                AND(R2325="Marine Protected", VLOOKUP(O2325, Reference!$A$2:$D$34, 4, FALSE) &lt;= P2325),
                AND(R2325="General Use", VLOOKUP(O2325, Reference!$A$2:$D$34, 3, FALSE) &lt;= P2325)
            ),
                "Exceeded",
                "OK"
            ),
            "No Regulation defined"
        )
    ),
    ""
)</f>
        <v/>
      </c>
      <c r="AB2325" s="62" t="str">
        <f t="shared" si="36"/>
        <v/>
      </c>
    </row>
    <row r="2326" spans="19:28" x14ac:dyDescent="0.2">
      <c r="S2326" s="34"/>
      <c r="T2326" s="60" t="str">
        <f>IF(P2326&lt;&gt;"",
    IF(OR(O2326="", Q2326="", R2326=""),
        "Fill all the required columns",
        IFERROR(
            IF(OR(
                AND(R2326="Marine Protected", VLOOKUP(O2326, Reference!$A$2:$D$34, 4, FALSE) &lt;= P2326),
                AND(R2326="General Use", VLOOKUP(O2326, Reference!$A$2:$D$34, 3, FALSE) &lt;= P2326)
            ),
                "Exceeded",
                "OK"
            ),
            "No Regulation defined"
        )
    ),
    ""
)</f>
        <v/>
      </c>
      <c r="AB2326" s="62" t="str">
        <f t="shared" si="36"/>
        <v/>
      </c>
    </row>
    <row r="2327" spans="19:28" x14ac:dyDescent="0.2">
      <c r="S2327" s="34"/>
      <c r="T2327" s="60" t="str">
        <f>IF(P2327&lt;&gt;"",
    IF(OR(O2327="", Q2327="", R2327=""),
        "Fill all the required columns",
        IFERROR(
            IF(OR(
                AND(R2327="Marine Protected", VLOOKUP(O2327, Reference!$A$2:$D$34, 4, FALSE) &lt;= P2327),
                AND(R2327="General Use", VLOOKUP(O2327, Reference!$A$2:$D$34, 3, FALSE) &lt;= P2327)
            ),
                "Exceeded",
                "OK"
            ),
            "No Regulation defined"
        )
    ),
    ""
)</f>
        <v/>
      </c>
      <c r="AB2327" s="62" t="str">
        <f t="shared" si="36"/>
        <v/>
      </c>
    </row>
    <row r="2328" spans="19:28" x14ac:dyDescent="0.2">
      <c r="S2328" s="34"/>
      <c r="T2328" s="60" t="str">
        <f>IF(P2328&lt;&gt;"",
    IF(OR(O2328="", Q2328="", R2328=""),
        "Fill all the required columns",
        IFERROR(
            IF(OR(
                AND(R2328="Marine Protected", VLOOKUP(O2328, Reference!$A$2:$D$34, 4, FALSE) &lt;= P2328),
                AND(R2328="General Use", VLOOKUP(O2328, Reference!$A$2:$D$34, 3, FALSE) &lt;= P2328)
            ),
                "Exceeded",
                "OK"
            ),
            "No Regulation defined"
        )
    ),
    ""
)</f>
        <v/>
      </c>
      <c r="AB2328" s="62" t="str">
        <f t="shared" si="36"/>
        <v/>
      </c>
    </row>
    <row r="2329" spans="19:28" x14ac:dyDescent="0.2">
      <c r="S2329" s="34"/>
      <c r="T2329" s="60" t="str">
        <f>IF(P2329&lt;&gt;"",
    IF(OR(O2329="", Q2329="", R2329=""),
        "Fill all the required columns",
        IFERROR(
            IF(OR(
                AND(R2329="Marine Protected", VLOOKUP(O2329, Reference!$A$2:$D$34, 4, FALSE) &lt;= P2329),
                AND(R2329="General Use", VLOOKUP(O2329, Reference!$A$2:$D$34, 3, FALSE) &lt;= P2329)
            ),
                "Exceeded",
                "OK"
            ),
            "No Regulation defined"
        )
    ),
    ""
)</f>
        <v/>
      </c>
      <c r="AB2329" s="62" t="str">
        <f t="shared" si="36"/>
        <v/>
      </c>
    </row>
    <row r="2330" spans="19:28" x14ac:dyDescent="0.2">
      <c r="S2330" s="34"/>
      <c r="T2330" s="60" t="str">
        <f>IF(P2330&lt;&gt;"",
    IF(OR(O2330="", Q2330="", R2330=""),
        "Fill all the required columns",
        IFERROR(
            IF(OR(
                AND(R2330="Marine Protected", VLOOKUP(O2330, Reference!$A$2:$D$34, 4, FALSE) &lt;= P2330),
                AND(R2330="General Use", VLOOKUP(O2330, Reference!$A$2:$D$34, 3, FALSE) &lt;= P2330)
            ),
                "Exceeded",
                "OK"
            ),
            "No Regulation defined"
        )
    ),
    ""
)</f>
        <v/>
      </c>
      <c r="AB2330" s="62" t="str">
        <f t="shared" si="36"/>
        <v/>
      </c>
    </row>
    <row r="2331" spans="19:28" x14ac:dyDescent="0.2">
      <c r="S2331" s="34"/>
      <c r="T2331" s="60" t="str">
        <f>IF(P2331&lt;&gt;"",
    IF(OR(O2331="", Q2331="", R2331=""),
        "Fill all the required columns",
        IFERROR(
            IF(OR(
                AND(R2331="Marine Protected", VLOOKUP(O2331, Reference!$A$2:$D$34, 4, FALSE) &lt;= P2331),
                AND(R2331="General Use", VLOOKUP(O2331, Reference!$A$2:$D$34, 3, FALSE) &lt;= P2331)
            ),
                "Exceeded",
                "OK"
            ),
            "No Regulation defined"
        )
    ),
    ""
)</f>
        <v/>
      </c>
      <c r="AB2331" s="62" t="str">
        <f t="shared" si="36"/>
        <v/>
      </c>
    </row>
    <row r="2332" spans="19:28" x14ac:dyDescent="0.2">
      <c r="S2332" s="34"/>
      <c r="T2332" s="60" t="str">
        <f>IF(P2332&lt;&gt;"",
    IF(OR(O2332="", Q2332="", R2332=""),
        "Fill all the required columns",
        IFERROR(
            IF(OR(
                AND(R2332="Marine Protected", VLOOKUP(O2332, Reference!$A$2:$D$34, 4, FALSE) &lt;= P2332),
                AND(R2332="General Use", VLOOKUP(O2332, Reference!$A$2:$D$34, 3, FALSE) &lt;= P2332)
            ),
                "Exceeded",
                "OK"
            ),
            "No Regulation defined"
        )
    ),
    ""
)</f>
        <v/>
      </c>
      <c r="AB2332" s="62" t="str">
        <f t="shared" si="36"/>
        <v/>
      </c>
    </row>
    <row r="2333" spans="19:28" x14ac:dyDescent="0.2">
      <c r="S2333" s="34"/>
      <c r="T2333" s="60" t="str">
        <f>IF(P2333&lt;&gt;"",
    IF(OR(O2333="", Q2333="", R2333=""),
        "Fill all the required columns",
        IFERROR(
            IF(OR(
                AND(R2333="Marine Protected", VLOOKUP(O2333, Reference!$A$2:$D$34, 4, FALSE) &lt;= P2333),
                AND(R2333="General Use", VLOOKUP(O2333, Reference!$A$2:$D$34, 3, FALSE) &lt;= P2333)
            ),
                "Exceeded",
                "OK"
            ),
            "No Regulation defined"
        )
    ),
    ""
)</f>
        <v/>
      </c>
      <c r="AB2333" s="62" t="str">
        <f t="shared" si="36"/>
        <v/>
      </c>
    </row>
    <row r="2334" spans="19:28" x14ac:dyDescent="0.2">
      <c r="S2334" s="34"/>
      <c r="T2334" s="60" t="str">
        <f>IF(P2334&lt;&gt;"",
    IF(OR(O2334="", Q2334="", R2334=""),
        "Fill all the required columns",
        IFERROR(
            IF(OR(
                AND(R2334="Marine Protected", VLOOKUP(O2334, Reference!$A$2:$D$34, 4, FALSE) &lt;= P2334),
                AND(R2334="General Use", VLOOKUP(O2334, Reference!$A$2:$D$34, 3, FALSE) &lt;= P2334)
            ),
                "Exceeded",
                "OK"
            ),
            "No Regulation defined"
        )
    ),
    ""
)</f>
        <v/>
      </c>
      <c r="AB2334" s="62" t="str">
        <f t="shared" si="36"/>
        <v/>
      </c>
    </row>
    <row r="2335" spans="19:28" x14ac:dyDescent="0.2">
      <c r="S2335" s="34"/>
      <c r="T2335" s="60" t="str">
        <f>IF(P2335&lt;&gt;"",
    IF(OR(O2335="", Q2335="", R2335=""),
        "Fill all the required columns",
        IFERROR(
            IF(OR(
                AND(R2335="Marine Protected", VLOOKUP(O2335, Reference!$A$2:$D$34, 4, FALSE) &lt;= P2335),
                AND(R2335="General Use", VLOOKUP(O2335, Reference!$A$2:$D$34, 3, FALSE) &lt;= P2335)
            ),
                "Exceeded",
                "OK"
            ),
            "No Regulation defined"
        )
    ),
    ""
)</f>
        <v/>
      </c>
      <c r="AB2335" s="62" t="str">
        <f t="shared" si="36"/>
        <v/>
      </c>
    </row>
    <row r="2336" spans="19:28" x14ac:dyDescent="0.2">
      <c r="S2336" s="34"/>
      <c r="T2336" s="60" t="str">
        <f>IF(P2336&lt;&gt;"",
    IF(OR(O2336="", Q2336="", R2336=""),
        "Fill all the required columns",
        IFERROR(
            IF(OR(
                AND(R2336="Marine Protected", VLOOKUP(O2336, Reference!$A$2:$D$34, 4, FALSE) &lt;= P2336),
                AND(R2336="General Use", VLOOKUP(O2336, Reference!$A$2:$D$34, 3, FALSE) &lt;= P2336)
            ),
                "Exceeded",
                "OK"
            ),
            "No Regulation defined"
        )
    ),
    ""
)</f>
        <v/>
      </c>
      <c r="AB2336" s="62" t="str">
        <f t="shared" si="36"/>
        <v/>
      </c>
    </row>
    <row r="2337" spans="19:28" x14ac:dyDescent="0.2">
      <c r="S2337" s="34"/>
      <c r="T2337" s="60" t="str">
        <f>IF(P2337&lt;&gt;"",
    IF(OR(O2337="", Q2337="", R2337=""),
        "Fill all the required columns",
        IFERROR(
            IF(OR(
                AND(R2337="Marine Protected", VLOOKUP(O2337, Reference!$A$2:$D$34, 4, FALSE) &lt;= P2337),
                AND(R2337="General Use", VLOOKUP(O2337, Reference!$A$2:$D$34, 3, FALSE) &lt;= P2337)
            ),
                "Exceeded",
                "OK"
            ),
            "No Regulation defined"
        )
    ),
    ""
)</f>
        <v/>
      </c>
      <c r="AB2337" s="62" t="str">
        <f t="shared" si="36"/>
        <v/>
      </c>
    </row>
    <row r="2338" spans="19:28" x14ac:dyDescent="0.2">
      <c r="S2338" s="34"/>
      <c r="T2338" s="60" t="str">
        <f>IF(P2338&lt;&gt;"",
    IF(OR(O2338="", Q2338="", R2338=""),
        "Fill all the required columns",
        IFERROR(
            IF(OR(
                AND(R2338="Marine Protected", VLOOKUP(O2338, Reference!$A$2:$D$34, 4, FALSE) &lt;= P2338),
                AND(R2338="General Use", VLOOKUP(O2338, Reference!$A$2:$D$34, 3, FALSE) &lt;= P2338)
            ),
                "Exceeded",
                "OK"
            ),
            "No Regulation defined"
        )
    ),
    ""
)</f>
        <v/>
      </c>
      <c r="AB2338" s="62" t="str">
        <f t="shared" si="36"/>
        <v/>
      </c>
    </row>
    <row r="2339" spans="19:28" x14ac:dyDescent="0.2">
      <c r="S2339" s="34"/>
      <c r="T2339" s="60" t="str">
        <f>IF(P2339&lt;&gt;"",
    IF(OR(O2339="", Q2339="", R2339=""),
        "Fill all the required columns",
        IFERROR(
            IF(OR(
                AND(R2339="Marine Protected", VLOOKUP(O2339, Reference!$A$2:$D$34, 4, FALSE) &lt;= P2339),
                AND(R2339="General Use", VLOOKUP(O2339, Reference!$A$2:$D$34, 3, FALSE) &lt;= P2339)
            ),
                "Exceeded",
                "OK"
            ),
            "No Regulation defined"
        )
    ),
    ""
)</f>
        <v/>
      </c>
      <c r="AB2339" s="62" t="str">
        <f t="shared" si="36"/>
        <v/>
      </c>
    </row>
    <row r="2340" spans="19:28" x14ac:dyDescent="0.2">
      <c r="S2340" s="34"/>
      <c r="T2340" s="60" t="str">
        <f>IF(P2340&lt;&gt;"",
    IF(OR(O2340="", Q2340="", R2340=""),
        "Fill all the required columns",
        IFERROR(
            IF(OR(
                AND(R2340="Marine Protected", VLOOKUP(O2340, Reference!$A$2:$D$34, 4, FALSE) &lt;= P2340),
                AND(R2340="General Use", VLOOKUP(O2340, Reference!$A$2:$D$34, 3, FALSE) &lt;= P2340)
            ),
                "Exceeded",
                "OK"
            ),
            "No Regulation defined"
        )
    ),
    ""
)</f>
        <v/>
      </c>
      <c r="AB2340" s="62" t="str">
        <f t="shared" si="36"/>
        <v/>
      </c>
    </row>
    <row r="2341" spans="19:28" x14ac:dyDescent="0.2">
      <c r="S2341" s="34"/>
      <c r="T2341" s="60" t="str">
        <f>IF(P2341&lt;&gt;"",
    IF(OR(O2341="", Q2341="", R2341=""),
        "Fill all the required columns",
        IFERROR(
            IF(OR(
                AND(R2341="Marine Protected", VLOOKUP(O2341, Reference!$A$2:$D$34, 4, FALSE) &lt;= P2341),
                AND(R2341="General Use", VLOOKUP(O2341, Reference!$A$2:$D$34, 3, FALSE) &lt;= P2341)
            ),
                "Exceeded",
                "OK"
            ),
            "No Regulation defined"
        )
    ),
    ""
)</f>
        <v/>
      </c>
      <c r="AB2341" s="62" t="str">
        <f t="shared" si="36"/>
        <v/>
      </c>
    </row>
    <row r="2342" spans="19:28" x14ac:dyDescent="0.2">
      <c r="S2342" s="34"/>
      <c r="T2342" s="60" t="str">
        <f>IF(P2342&lt;&gt;"",
    IF(OR(O2342="", Q2342="", R2342=""),
        "Fill all the required columns",
        IFERROR(
            IF(OR(
                AND(R2342="Marine Protected", VLOOKUP(O2342, Reference!$A$2:$D$34, 4, FALSE) &lt;= P2342),
                AND(R2342="General Use", VLOOKUP(O2342, Reference!$A$2:$D$34, 3, FALSE) &lt;= P2342)
            ),
                "Exceeded",
                "OK"
            ),
            "No Regulation defined"
        )
    ),
    ""
)</f>
        <v/>
      </c>
      <c r="AB2342" s="62" t="str">
        <f t="shared" si="36"/>
        <v/>
      </c>
    </row>
    <row r="2343" spans="19:28" x14ac:dyDescent="0.2">
      <c r="S2343" s="34"/>
      <c r="T2343" s="60" t="str">
        <f>IF(P2343&lt;&gt;"",
    IF(OR(O2343="", Q2343="", R2343=""),
        "Fill all the required columns",
        IFERROR(
            IF(OR(
                AND(R2343="Marine Protected", VLOOKUP(O2343, Reference!$A$2:$D$34, 4, FALSE) &lt;= P2343),
                AND(R2343="General Use", VLOOKUP(O2343, Reference!$A$2:$D$34, 3, FALSE) &lt;= P2343)
            ),
                "Exceeded",
                "OK"
            ),
            "No Regulation defined"
        )
    ),
    ""
)</f>
        <v/>
      </c>
      <c r="AB2343" s="62" t="str">
        <f t="shared" si="36"/>
        <v/>
      </c>
    </row>
    <row r="2344" spans="19:28" x14ac:dyDescent="0.2">
      <c r="S2344" s="34"/>
      <c r="T2344" s="60" t="str">
        <f>IF(P2344&lt;&gt;"",
    IF(OR(O2344="", Q2344="", R2344=""),
        "Fill all the required columns",
        IFERROR(
            IF(OR(
                AND(R2344="Marine Protected", VLOOKUP(O2344, Reference!$A$2:$D$34, 4, FALSE) &lt;= P2344),
                AND(R2344="General Use", VLOOKUP(O2344, Reference!$A$2:$D$34, 3, FALSE) &lt;= P2344)
            ),
                "Exceeded",
                "OK"
            ),
            "No Regulation defined"
        )
    ),
    ""
)</f>
        <v/>
      </c>
      <c r="AB2344" s="62" t="str">
        <f t="shared" si="36"/>
        <v/>
      </c>
    </row>
    <row r="2345" spans="19:28" x14ac:dyDescent="0.2">
      <c r="S2345" s="34"/>
      <c r="T2345" s="60" t="str">
        <f>IF(P2345&lt;&gt;"",
    IF(OR(O2345="", Q2345="", R2345=""),
        "Fill all the required columns",
        IFERROR(
            IF(OR(
                AND(R2345="Marine Protected", VLOOKUP(O2345, Reference!$A$2:$D$34, 4, FALSE) &lt;= P2345),
                AND(R2345="General Use", VLOOKUP(O2345, Reference!$A$2:$D$34, 3, FALSE) &lt;= P2345)
            ),
                "Exceeded",
                "OK"
            ),
            "No Regulation defined"
        )
    ),
    ""
)</f>
        <v/>
      </c>
      <c r="AB2345" s="62" t="str">
        <f t="shared" si="36"/>
        <v/>
      </c>
    </row>
    <row r="2346" spans="19:28" x14ac:dyDescent="0.2">
      <c r="S2346" s="34"/>
      <c r="T2346" s="60" t="str">
        <f>IF(P2346&lt;&gt;"",
    IF(OR(O2346="", Q2346="", R2346=""),
        "Fill all the required columns",
        IFERROR(
            IF(OR(
                AND(R2346="Marine Protected", VLOOKUP(O2346, Reference!$A$2:$D$34, 4, FALSE) &lt;= P2346),
                AND(R2346="General Use", VLOOKUP(O2346, Reference!$A$2:$D$34, 3, FALSE) &lt;= P2346)
            ),
                "Exceeded",
                "OK"
            ),
            "No Regulation defined"
        )
    ),
    ""
)</f>
        <v/>
      </c>
      <c r="AB2346" s="62" t="str">
        <f t="shared" si="36"/>
        <v/>
      </c>
    </row>
    <row r="2347" spans="19:28" x14ac:dyDescent="0.2">
      <c r="S2347" s="34"/>
      <c r="T2347" s="60" t="str">
        <f>IF(P2347&lt;&gt;"",
    IF(OR(O2347="", Q2347="", R2347=""),
        "Fill all the required columns",
        IFERROR(
            IF(OR(
                AND(R2347="Marine Protected", VLOOKUP(O2347, Reference!$A$2:$D$34, 4, FALSE) &lt;= P2347),
                AND(R2347="General Use", VLOOKUP(O2347, Reference!$A$2:$D$34, 3, FALSE) &lt;= P2347)
            ),
                "Exceeded",
                "OK"
            ),
            "No Regulation defined"
        )
    ),
    ""
)</f>
        <v/>
      </c>
      <c r="AB2347" s="62" t="str">
        <f t="shared" si="36"/>
        <v/>
      </c>
    </row>
    <row r="2348" spans="19:28" x14ac:dyDescent="0.2">
      <c r="S2348" s="34"/>
      <c r="T2348" s="60" t="str">
        <f>IF(P2348&lt;&gt;"",
    IF(OR(O2348="", Q2348="", R2348=""),
        "Fill all the required columns",
        IFERROR(
            IF(OR(
                AND(R2348="Marine Protected", VLOOKUP(O2348, Reference!$A$2:$D$34, 4, FALSE) &lt;= P2348),
                AND(R2348="General Use", VLOOKUP(O2348, Reference!$A$2:$D$34, 3, FALSE) &lt;= P2348)
            ),
                "Exceeded",
                "OK"
            ),
            "No Regulation defined"
        )
    ),
    ""
)</f>
        <v/>
      </c>
      <c r="AB2348" s="62" t="str">
        <f t="shared" si="36"/>
        <v/>
      </c>
    </row>
    <row r="2349" spans="19:28" x14ac:dyDescent="0.2">
      <c r="S2349" s="34"/>
      <c r="T2349" s="60" t="str">
        <f>IF(P2349&lt;&gt;"",
    IF(OR(O2349="", Q2349="", R2349=""),
        "Fill all the required columns",
        IFERROR(
            IF(OR(
                AND(R2349="Marine Protected", VLOOKUP(O2349, Reference!$A$2:$D$34, 4, FALSE) &lt;= P2349),
                AND(R2349="General Use", VLOOKUP(O2349, Reference!$A$2:$D$34, 3, FALSE) &lt;= P2349)
            ),
                "Exceeded",
                "OK"
            ),
            "No Regulation defined"
        )
    ),
    ""
)</f>
        <v/>
      </c>
      <c r="AB2349" s="62" t="str">
        <f t="shared" si="36"/>
        <v/>
      </c>
    </row>
    <row r="2350" spans="19:28" x14ac:dyDescent="0.2">
      <c r="S2350" s="34"/>
      <c r="T2350" s="60" t="str">
        <f>IF(P2350&lt;&gt;"",
    IF(OR(O2350="", Q2350="", R2350=""),
        "Fill all the required columns",
        IFERROR(
            IF(OR(
                AND(R2350="Marine Protected", VLOOKUP(O2350, Reference!$A$2:$D$34, 4, FALSE) &lt;= P2350),
                AND(R2350="General Use", VLOOKUP(O2350, Reference!$A$2:$D$34, 3, FALSE) &lt;= P2350)
            ),
                "Exceeded",
                "OK"
            ),
            "No Regulation defined"
        )
    ),
    ""
)</f>
        <v/>
      </c>
      <c r="AB2350" s="62" t="str">
        <f t="shared" si="36"/>
        <v/>
      </c>
    </row>
    <row r="2351" spans="19:28" x14ac:dyDescent="0.2">
      <c r="S2351" s="34"/>
      <c r="T2351" s="60" t="str">
        <f>IF(P2351&lt;&gt;"",
    IF(OR(O2351="", Q2351="", R2351=""),
        "Fill all the required columns",
        IFERROR(
            IF(OR(
                AND(R2351="Marine Protected", VLOOKUP(O2351, Reference!$A$2:$D$34, 4, FALSE) &lt;= P2351),
                AND(R2351="General Use", VLOOKUP(O2351, Reference!$A$2:$D$34, 3, FALSE) &lt;= P2351)
            ),
                "Exceeded",
                "OK"
            ),
            "No Regulation defined"
        )
    ),
    ""
)</f>
        <v/>
      </c>
      <c r="AB2351" s="62" t="str">
        <f t="shared" si="36"/>
        <v/>
      </c>
    </row>
    <row r="2352" spans="19:28" x14ac:dyDescent="0.2">
      <c r="S2352" s="34"/>
      <c r="T2352" s="60" t="str">
        <f>IF(P2352&lt;&gt;"",
    IF(OR(O2352="", Q2352="", R2352=""),
        "Fill all the required columns",
        IFERROR(
            IF(OR(
                AND(R2352="Marine Protected", VLOOKUP(O2352, Reference!$A$2:$D$34, 4, FALSE) &lt;= P2352),
                AND(R2352="General Use", VLOOKUP(O2352, Reference!$A$2:$D$34, 3, FALSE) &lt;= P2352)
            ),
                "Exceeded",
                "OK"
            ),
            "No Regulation defined"
        )
    ),
    ""
)</f>
        <v/>
      </c>
      <c r="AB2352" s="62" t="str">
        <f t="shared" si="36"/>
        <v/>
      </c>
    </row>
    <row r="2353" spans="19:28" x14ac:dyDescent="0.2">
      <c r="S2353" s="34"/>
      <c r="T2353" s="60" t="str">
        <f>IF(P2353&lt;&gt;"",
    IF(OR(O2353="", Q2353="", R2353=""),
        "Fill all the required columns",
        IFERROR(
            IF(OR(
                AND(R2353="Marine Protected", VLOOKUP(O2353, Reference!$A$2:$D$34, 4, FALSE) &lt;= P2353),
                AND(R2353="General Use", VLOOKUP(O2353, Reference!$A$2:$D$34, 3, FALSE) &lt;= P2353)
            ),
                "Exceeded",
                "OK"
            ),
            "No Regulation defined"
        )
    ),
    ""
)</f>
        <v/>
      </c>
      <c r="AB2353" s="62" t="str">
        <f t="shared" si="36"/>
        <v/>
      </c>
    </row>
    <row r="2354" spans="19:28" x14ac:dyDescent="0.2">
      <c r="S2354" s="34"/>
      <c r="T2354" s="60" t="str">
        <f>IF(P2354&lt;&gt;"",
    IF(OR(O2354="", Q2354="", R2354=""),
        "Fill all the required columns",
        IFERROR(
            IF(OR(
                AND(R2354="Marine Protected", VLOOKUP(O2354, Reference!$A$2:$D$34, 4, FALSE) &lt;= P2354),
                AND(R2354="General Use", VLOOKUP(O2354, Reference!$A$2:$D$34, 3, FALSE) &lt;= P2354)
            ),
                "Exceeded",
                "OK"
            ),
            "No Regulation defined"
        )
    ),
    ""
)</f>
        <v/>
      </c>
      <c r="AB2354" s="62" t="str">
        <f t="shared" si="36"/>
        <v/>
      </c>
    </row>
    <row r="2355" spans="19:28" x14ac:dyDescent="0.2">
      <c r="S2355" s="34"/>
      <c r="T2355" s="60" t="str">
        <f>IF(P2355&lt;&gt;"",
    IF(OR(O2355="", Q2355="", R2355=""),
        "Fill all the required columns",
        IFERROR(
            IF(OR(
                AND(R2355="Marine Protected", VLOOKUP(O2355, Reference!$A$2:$D$34, 4, FALSE) &lt;= P2355),
                AND(R2355="General Use", VLOOKUP(O2355, Reference!$A$2:$D$34, 3, FALSE) &lt;= P2355)
            ),
                "Exceeded",
                "OK"
            ),
            "No Regulation defined"
        )
    ),
    ""
)</f>
        <v/>
      </c>
      <c r="AB2355" s="62" t="str">
        <f t="shared" si="36"/>
        <v/>
      </c>
    </row>
    <row r="2356" spans="19:28" x14ac:dyDescent="0.2">
      <c r="S2356" s="34"/>
      <c r="T2356" s="60" t="str">
        <f>IF(P2356&lt;&gt;"",
    IF(OR(O2356="", Q2356="", R2356=""),
        "Fill all the required columns",
        IFERROR(
            IF(OR(
                AND(R2356="Marine Protected", VLOOKUP(O2356, Reference!$A$2:$D$34, 4, FALSE) &lt;= P2356),
                AND(R2356="General Use", VLOOKUP(O2356, Reference!$A$2:$D$34, 3, FALSE) &lt;= P2356)
            ),
                "Exceeded",
                "OK"
            ),
            "No Regulation defined"
        )
    ),
    ""
)</f>
        <v/>
      </c>
      <c r="AB2356" s="62" t="str">
        <f t="shared" si="36"/>
        <v/>
      </c>
    </row>
    <row r="2357" spans="19:28" x14ac:dyDescent="0.2">
      <c r="S2357" s="34"/>
      <c r="T2357" s="60" t="str">
        <f>IF(P2357&lt;&gt;"",
    IF(OR(O2357="", Q2357="", R2357=""),
        "Fill all the required columns",
        IFERROR(
            IF(OR(
                AND(R2357="Marine Protected", VLOOKUP(O2357, Reference!$A$2:$D$34, 4, FALSE) &lt;= P2357),
                AND(R2357="General Use", VLOOKUP(O2357, Reference!$A$2:$D$34, 3, FALSE) &lt;= P2357)
            ),
                "Exceeded",
                "OK"
            ),
            "No Regulation defined"
        )
    ),
    ""
)</f>
        <v/>
      </c>
      <c r="AB2357" s="62" t="str">
        <f t="shared" si="36"/>
        <v/>
      </c>
    </row>
    <row r="2358" spans="19:28" x14ac:dyDescent="0.2">
      <c r="S2358" s="34"/>
      <c r="T2358" s="60" t="str">
        <f>IF(P2358&lt;&gt;"",
    IF(OR(O2358="", Q2358="", R2358=""),
        "Fill all the required columns",
        IFERROR(
            IF(OR(
                AND(R2358="Marine Protected", VLOOKUP(O2358, Reference!$A$2:$D$34, 4, FALSE) &lt;= P2358),
                AND(R2358="General Use", VLOOKUP(O2358, Reference!$A$2:$D$34, 3, FALSE) &lt;= P2358)
            ),
                "Exceeded",
                "OK"
            ),
            "No Regulation defined"
        )
    ),
    ""
)</f>
        <v/>
      </c>
      <c r="AB2358" s="62" t="str">
        <f t="shared" si="36"/>
        <v/>
      </c>
    </row>
    <row r="2359" spans="19:28" x14ac:dyDescent="0.2">
      <c r="S2359" s="34"/>
      <c r="T2359" s="60" t="str">
        <f>IF(P2359&lt;&gt;"",
    IF(OR(O2359="", Q2359="", R2359=""),
        "Fill all the required columns",
        IFERROR(
            IF(OR(
                AND(R2359="Marine Protected", VLOOKUP(O2359, Reference!$A$2:$D$34, 4, FALSE) &lt;= P2359),
                AND(R2359="General Use", VLOOKUP(O2359, Reference!$A$2:$D$34, 3, FALSE) &lt;= P2359)
            ),
                "Exceeded",
                "OK"
            ),
            "No Regulation defined"
        )
    ),
    ""
)</f>
        <v/>
      </c>
      <c r="AB2359" s="62" t="str">
        <f t="shared" si="36"/>
        <v/>
      </c>
    </row>
    <row r="2360" spans="19:28" x14ac:dyDescent="0.2">
      <c r="S2360" s="34"/>
      <c r="T2360" s="60" t="str">
        <f>IF(P2360&lt;&gt;"",
    IF(OR(O2360="", Q2360="", R2360=""),
        "Fill all the required columns",
        IFERROR(
            IF(OR(
                AND(R2360="Marine Protected", VLOOKUP(O2360, Reference!$A$2:$D$34, 4, FALSE) &lt;= P2360),
                AND(R2360="General Use", VLOOKUP(O2360, Reference!$A$2:$D$34, 3, FALSE) &lt;= P2360)
            ),
                "Exceeded",
                "OK"
            ),
            "No Regulation defined"
        )
    ),
    ""
)</f>
        <v/>
      </c>
      <c r="AB2360" s="62" t="str">
        <f t="shared" si="36"/>
        <v/>
      </c>
    </row>
    <row r="2361" spans="19:28" x14ac:dyDescent="0.2">
      <c r="S2361" s="34"/>
      <c r="T2361" s="60" t="str">
        <f>IF(P2361&lt;&gt;"",
    IF(OR(O2361="", Q2361="", R2361=""),
        "Fill all the required columns",
        IFERROR(
            IF(OR(
                AND(R2361="Marine Protected", VLOOKUP(O2361, Reference!$A$2:$D$34, 4, FALSE) &lt;= P2361),
                AND(R2361="General Use", VLOOKUP(O2361, Reference!$A$2:$D$34, 3, FALSE) &lt;= P2361)
            ),
                "Exceeded",
                "OK"
            ),
            "No Regulation defined"
        )
    ),
    ""
)</f>
        <v/>
      </c>
      <c r="AB2361" s="62" t="str">
        <f t="shared" si="36"/>
        <v/>
      </c>
    </row>
    <row r="2362" spans="19:28" x14ac:dyDescent="0.2">
      <c r="S2362" s="34"/>
      <c r="T2362" s="60" t="str">
        <f>IF(P2362&lt;&gt;"",
    IF(OR(O2362="", Q2362="", R2362=""),
        "Fill all the required columns",
        IFERROR(
            IF(OR(
                AND(R2362="Marine Protected", VLOOKUP(O2362, Reference!$A$2:$D$34, 4, FALSE) &lt;= P2362),
                AND(R2362="General Use", VLOOKUP(O2362, Reference!$A$2:$D$34, 3, FALSE) &lt;= P2362)
            ),
                "Exceeded",
                "OK"
            ),
            "No Regulation defined"
        )
    ),
    ""
)</f>
        <v/>
      </c>
      <c r="AB2362" s="62" t="str">
        <f t="shared" si="36"/>
        <v/>
      </c>
    </row>
    <row r="2363" spans="19:28" x14ac:dyDescent="0.2">
      <c r="S2363" s="34"/>
      <c r="T2363" s="60" t="str">
        <f>IF(P2363&lt;&gt;"",
    IF(OR(O2363="", Q2363="", R2363=""),
        "Fill all the required columns",
        IFERROR(
            IF(OR(
                AND(R2363="Marine Protected", VLOOKUP(O2363, Reference!$A$2:$D$34, 4, FALSE) &lt;= P2363),
                AND(R2363="General Use", VLOOKUP(O2363, Reference!$A$2:$D$34, 3, FALSE) &lt;= P2363)
            ),
                "Exceeded",
                "OK"
            ),
            "No Regulation defined"
        )
    ),
    ""
)</f>
        <v/>
      </c>
      <c r="AB2363" s="62" t="str">
        <f t="shared" si="36"/>
        <v/>
      </c>
    </row>
    <row r="2364" spans="19:28" x14ac:dyDescent="0.2">
      <c r="S2364" s="34"/>
      <c r="T2364" s="60" t="str">
        <f>IF(P2364&lt;&gt;"",
    IF(OR(O2364="", Q2364="", R2364=""),
        "Fill all the required columns",
        IFERROR(
            IF(OR(
                AND(R2364="Marine Protected", VLOOKUP(O2364, Reference!$A$2:$D$34, 4, FALSE) &lt;= P2364),
                AND(R2364="General Use", VLOOKUP(O2364, Reference!$A$2:$D$34, 3, FALSE) &lt;= P2364)
            ),
                "Exceeded",
                "OK"
            ),
            "No Regulation defined"
        )
    ),
    ""
)</f>
        <v/>
      </c>
      <c r="AB2364" s="62" t="str">
        <f t="shared" si="36"/>
        <v/>
      </c>
    </row>
    <row r="2365" spans="19:28" x14ac:dyDescent="0.2">
      <c r="S2365" s="34"/>
      <c r="T2365" s="60" t="str">
        <f>IF(P2365&lt;&gt;"",
    IF(OR(O2365="", Q2365="", R2365=""),
        "Fill all the required columns",
        IFERROR(
            IF(OR(
                AND(R2365="Marine Protected", VLOOKUP(O2365, Reference!$A$2:$D$34, 4, FALSE) &lt;= P2365),
                AND(R2365="General Use", VLOOKUP(O2365, Reference!$A$2:$D$34, 3, FALSE) &lt;= P2365)
            ),
                "Exceeded",
                "OK"
            ),
            "No Regulation defined"
        )
    ),
    ""
)</f>
        <v/>
      </c>
      <c r="AB2365" s="62" t="str">
        <f t="shared" si="36"/>
        <v/>
      </c>
    </row>
    <row r="2366" spans="19:28" x14ac:dyDescent="0.2">
      <c r="S2366" s="34"/>
      <c r="T2366" s="60" t="str">
        <f>IF(P2366&lt;&gt;"",
    IF(OR(O2366="", Q2366="", R2366=""),
        "Fill all the required columns",
        IFERROR(
            IF(OR(
                AND(R2366="Marine Protected", VLOOKUP(O2366, Reference!$A$2:$D$34, 4, FALSE) &lt;= P2366),
                AND(R2366="General Use", VLOOKUP(O2366, Reference!$A$2:$D$34, 3, FALSE) &lt;= P2366)
            ),
                "Exceeded",
                "OK"
            ),
            "No Regulation defined"
        )
    ),
    ""
)</f>
        <v/>
      </c>
      <c r="AB2366" s="62" t="str">
        <f t="shared" si="36"/>
        <v/>
      </c>
    </row>
    <row r="2367" spans="19:28" x14ac:dyDescent="0.2">
      <c r="S2367" s="34"/>
      <c r="T2367" s="60" t="str">
        <f>IF(P2367&lt;&gt;"",
    IF(OR(O2367="", Q2367="", R2367=""),
        "Fill all the required columns",
        IFERROR(
            IF(OR(
                AND(R2367="Marine Protected", VLOOKUP(O2367, Reference!$A$2:$D$34, 4, FALSE) &lt;= P2367),
                AND(R2367="General Use", VLOOKUP(O2367, Reference!$A$2:$D$34, 3, FALSE) &lt;= P2367)
            ),
                "Exceeded",
                "OK"
            ),
            "No Regulation defined"
        )
    ),
    ""
)</f>
        <v/>
      </c>
      <c r="AB2367" s="62" t="str">
        <f t="shared" si="36"/>
        <v/>
      </c>
    </row>
    <row r="2368" spans="19:28" x14ac:dyDescent="0.2">
      <c r="S2368" s="34"/>
      <c r="T2368" s="60" t="str">
        <f>IF(P2368&lt;&gt;"",
    IF(OR(O2368="", Q2368="", R2368=""),
        "Fill all the required columns",
        IFERROR(
            IF(OR(
                AND(R2368="Marine Protected", VLOOKUP(O2368, Reference!$A$2:$D$34, 4, FALSE) &lt;= P2368),
                AND(R2368="General Use", VLOOKUP(O2368, Reference!$A$2:$D$34, 3, FALSE) &lt;= P2368)
            ),
                "Exceeded",
                "OK"
            ),
            "No Regulation defined"
        )
    ),
    ""
)</f>
        <v/>
      </c>
      <c r="AB2368" s="62" t="str">
        <f t="shared" si="36"/>
        <v/>
      </c>
    </row>
    <row r="2369" spans="19:28" x14ac:dyDescent="0.2">
      <c r="S2369" s="34"/>
      <c r="T2369" s="60" t="str">
        <f>IF(P2369&lt;&gt;"",
    IF(OR(O2369="", Q2369="", R2369=""),
        "Fill all the required columns",
        IFERROR(
            IF(OR(
                AND(R2369="Marine Protected", VLOOKUP(O2369, Reference!$A$2:$D$34, 4, FALSE) &lt;= P2369),
                AND(R2369="General Use", VLOOKUP(O2369, Reference!$A$2:$D$34, 3, FALSE) &lt;= P2369)
            ),
                "Exceeded",
                "OK"
            ),
            "No Regulation defined"
        )
    ),
    ""
)</f>
        <v/>
      </c>
      <c r="AB2369" s="62" t="str">
        <f t="shared" si="36"/>
        <v/>
      </c>
    </row>
    <row r="2370" spans="19:28" x14ac:dyDescent="0.2">
      <c r="S2370" s="34"/>
      <c r="T2370" s="60" t="str">
        <f>IF(P2370&lt;&gt;"",
    IF(OR(O2370="", Q2370="", R2370=""),
        "Fill all the required columns",
        IFERROR(
            IF(OR(
                AND(R2370="Marine Protected", VLOOKUP(O2370, Reference!$A$2:$D$34, 4, FALSE) &lt;= P2370),
                AND(R2370="General Use", VLOOKUP(O2370, Reference!$A$2:$D$34, 3, FALSE) &lt;= P2370)
            ),
                "Exceeded",
                "OK"
            ),
            "No Regulation defined"
        )
    ),
    ""
)</f>
        <v/>
      </c>
      <c r="AB2370" s="62" t="str">
        <f t="shared" si="36"/>
        <v/>
      </c>
    </row>
    <row r="2371" spans="19:28" x14ac:dyDescent="0.2">
      <c r="S2371" s="34"/>
      <c r="T2371" s="60" t="str">
        <f>IF(P2371&lt;&gt;"",
    IF(OR(O2371="", Q2371="", R2371=""),
        "Fill all the required columns",
        IFERROR(
            IF(OR(
                AND(R2371="Marine Protected", VLOOKUP(O2371, Reference!$A$2:$D$34, 4, FALSE) &lt;= P2371),
                AND(R2371="General Use", VLOOKUP(O2371, Reference!$A$2:$D$34, 3, FALSE) &lt;= P2371)
            ),
                "Exceeded",
                "OK"
            ),
            "No Regulation defined"
        )
    ),
    ""
)</f>
        <v/>
      </c>
      <c r="AB2371" s="62" t="str">
        <f t="shared" ref="AB2371:AB2434" si="37">IF(COUNTA(A2371, E2371, F2371, H2371, I2371, O2371, P2371, Q2371, R2371,S2371) = 0, "", IF(COUNTA(A2371, E2371, F2371, H2371, I2371, O2371, P2371, Q2371, R2371,S2371) = 10, "OK", "Incomplete"))</f>
        <v/>
      </c>
    </row>
    <row r="2372" spans="19:28" x14ac:dyDescent="0.2">
      <c r="S2372" s="34"/>
      <c r="T2372" s="60" t="str">
        <f>IF(P2372&lt;&gt;"",
    IF(OR(O2372="", Q2372="", R2372=""),
        "Fill all the required columns",
        IFERROR(
            IF(OR(
                AND(R2372="Marine Protected", VLOOKUP(O2372, Reference!$A$2:$D$34, 4, FALSE) &lt;= P2372),
                AND(R2372="General Use", VLOOKUP(O2372, Reference!$A$2:$D$34, 3, FALSE) &lt;= P2372)
            ),
                "Exceeded",
                "OK"
            ),
            "No Regulation defined"
        )
    ),
    ""
)</f>
        <v/>
      </c>
      <c r="AB2372" s="62" t="str">
        <f t="shared" si="37"/>
        <v/>
      </c>
    </row>
    <row r="2373" spans="19:28" x14ac:dyDescent="0.2">
      <c r="S2373" s="34"/>
      <c r="T2373" s="60" t="str">
        <f>IF(P2373&lt;&gt;"",
    IF(OR(O2373="", Q2373="", R2373=""),
        "Fill all the required columns",
        IFERROR(
            IF(OR(
                AND(R2373="Marine Protected", VLOOKUP(O2373, Reference!$A$2:$D$34, 4, FALSE) &lt;= P2373),
                AND(R2373="General Use", VLOOKUP(O2373, Reference!$A$2:$D$34, 3, FALSE) &lt;= P2373)
            ),
                "Exceeded",
                "OK"
            ),
            "No Regulation defined"
        )
    ),
    ""
)</f>
        <v/>
      </c>
      <c r="AB2373" s="62" t="str">
        <f t="shared" si="37"/>
        <v/>
      </c>
    </row>
    <row r="2374" spans="19:28" x14ac:dyDescent="0.2">
      <c r="S2374" s="34"/>
      <c r="T2374" s="60" t="str">
        <f>IF(P2374&lt;&gt;"",
    IF(OR(O2374="", Q2374="", R2374=""),
        "Fill all the required columns",
        IFERROR(
            IF(OR(
                AND(R2374="Marine Protected", VLOOKUP(O2374, Reference!$A$2:$D$34, 4, FALSE) &lt;= P2374),
                AND(R2374="General Use", VLOOKUP(O2374, Reference!$A$2:$D$34, 3, FALSE) &lt;= P2374)
            ),
                "Exceeded",
                "OK"
            ),
            "No Regulation defined"
        )
    ),
    ""
)</f>
        <v/>
      </c>
      <c r="AB2374" s="62" t="str">
        <f t="shared" si="37"/>
        <v/>
      </c>
    </row>
    <row r="2375" spans="19:28" x14ac:dyDescent="0.2">
      <c r="S2375" s="34"/>
      <c r="T2375" s="60" t="str">
        <f>IF(P2375&lt;&gt;"",
    IF(OR(O2375="", Q2375="", R2375=""),
        "Fill all the required columns",
        IFERROR(
            IF(OR(
                AND(R2375="Marine Protected", VLOOKUP(O2375, Reference!$A$2:$D$34, 4, FALSE) &lt;= P2375),
                AND(R2375="General Use", VLOOKUP(O2375, Reference!$A$2:$D$34, 3, FALSE) &lt;= P2375)
            ),
                "Exceeded",
                "OK"
            ),
            "No Regulation defined"
        )
    ),
    ""
)</f>
        <v/>
      </c>
      <c r="AB2375" s="62" t="str">
        <f t="shared" si="37"/>
        <v/>
      </c>
    </row>
    <row r="2376" spans="19:28" x14ac:dyDescent="0.2">
      <c r="S2376" s="34"/>
      <c r="T2376" s="60" t="str">
        <f>IF(P2376&lt;&gt;"",
    IF(OR(O2376="", Q2376="", R2376=""),
        "Fill all the required columns",
        IFERROR(
            IF(OR(
                AND(R2376="Marine Protected", VLOOKUP(O2376, Reference!$A$2:$D$34, 4, FALSE) &lt;= P2376),
                AND(R2376="General Use", VLOOKUP(O2376, Reference!$A$2:$D$34, 3, FALSE) &lt;= P2376)
            ),
                "Exceeded",
                "OK"
            ),
            "No Regulation defined"
        )
    ),
    ""
)</f>
        <v/>
      </c>
      <c r="AB2376" s="62" t="str">
        <f t="shared" si="37"/>
        <v/>
      </c>
    </row>
    <row r="2377" spans="19:28" x14ac:dyDescent="0.2">
      <c r="S2377" s="34"/>
      <c r="T2377" s="60" t="str">
        <f>IF(P2377&lt;&gt;"",
    IF(OR(O2377="", Q2377="", R2377=""),
        "Fill all the required columns",
        IFERROR(
            IF(OR(
                AND(R2377="Marine Protected", VLOOKUP(O2377, Reference!$A$2:$D$34, 4, FALSE) &lt;= P2377),
                AND(R2377="General Use", VLOOKUP(O2377, Reference!$A$2:$D$34, 3, FALSE) &lt;= P2377)
            ),
                "Exceeded",
                "OK"
            ),
            "No Regulation defined"
        )
    ),
    ""
)</f>
        <v/>
      </c>
      <c r="AB2377" s="62" t="str">
        <f t="shared" si="37"/>
        <v/>
      </c>
    </row>
    <row r="2378" spans="19:28" x14ac:dyDescent="0.2">
      <c r="S2378" s="34"/>
      <c r="T2378" s="60" t="str">
        <f>IF(P2378&lt;&gt;"",
    IF(OR(O2378="", Q2378="", R2378=""),
        "Fill all the required columns",
        IFERROR(
            IF(OR(
                AND(R2378="Marine Protected", VLOOKUP(O2378, Reference!$A$2:$D$34, 4, FALSE) &lt;= P2378),
                AND(R2378="General Use", VLOOKUP(O2378, Reference!$A$2:$D$34, 3, FALSE) &lt;= P2378)
            ),
                "Exceeded",
                "OK"
            ),
            "No Regulation defined"
        )
    ),
    ""
)</f>
        <v/>
      </c>
      <c r="AB2378" s="62" t="str">
        <f t="shared" si="37"/>
        <v/>
      </c>
    </row>
    <row r="2379" spans="19:28" x14ac:dyDescent="0.2">
      <c r="S2379" s="34"/>
      <c r="T2379" s="60" t="str">
        <f>IF(P2379&lt;&gt;"",
    IF(OR(O2379="", Q2379="", R2379=""),
        "Fill all the required columns",
        IFERROR(
            IF(OR(
                AND(R2379="Marine Protected", VLOOKUP(O2379, Reference!$A$2:$D$34, 4, FALSE) &lt;= P2379),
                AND(R2379="General Use", VLOOKUP(O2379, Reference!$A$2:$D$34, 3, FALSE) &lt;= P2379)
            ),
                "Exceeded",
                "OK"
            ),
            "No Regulation defined"
        )
    ),
    ""
)</f>
        <v/>
      </c>
      <c r="AB2379" s="62" t="str">
        <f t="shared" si="37"/>
        <v/>
      </c>
    </row>
    <row r="2380" spans="19:28" x14ac:dyDescent="0.2">
      <c r="S2380" s="34"/>
      <c r="T2380" s="60" t="str">
        <f>IF(P2380&lt;&gt;"",
    IF(OR(O2380="", Q2380="", R2380=""),
        "Fill all the required columns",
        IFERROR(
            IF(OR(
                AND(R2380="Marine Protected", VLOOKUP(O2380, Reference!$A$2:$D$34, 4, FALSE) &lt;= P2380),
                AND(R2380="General Use", VLOOKUP(O2380, Reference!$A$2:$D$34, 3, FALSE) &lt;= P2380)
            ),
                "Exceeded",
                "OK"
            ),
            "No Regulation defined"
        )
    ),
    ""
)</f>
        <v/>
      </c>
      <c r="AB2380" s="62" t="str">
        <f t="shared" si="37"/>
        <v/>
      </c>
    </row>
    <row r="2381" spans="19:28" x14ac:dyDescent="0.2">
      <c r="S2381" s="34"/>
      <c r="T2381" s="60" t="str">
        <f>IF(P2381&lt;&gt;"",
    IF(OR(O2381="", Q2381="", R2381=""),
        "Fill all the required columns",
        IFERROR(
            IF(OR(
                AND(R2381="Marine Protected", VLOOKUP(O2381, Reference!$A$2:$D$34, 4, FALSE) &lt;= P2381),
                AND(R2381="General Use", VLOOKUP(O2381, Reference!$A$2:$D$34, 3, FALSE) &lt;= P2381)
            ),
                "Exceeded",
                "OK"
            ),
            "No Regulation defined"
        )
    ),
    ""
)</f>
        <v/>
      </c>
      <c r="AB2381" s="62" t="str">
        <f t="shared" si="37"/>
        <v/>
      </c>
    </row>
    <row r="2382" spans="19:28" x14ac:dyDescent="0.2">
      <c r="S2382" s="34"/>
      <c r="T2382" s="60" t="str">
        <f>IF(P2382&lt;&gt;"",
    IF(OR(O2382="", Q2382="", R2382=""),
        "Fill all the required columns",
        IFERROR(
            IF(OR(
                AND(R2382="Marine Protected", VLOOKUP(O2382, Reference!$A$2:$D$34, 4, FALSE) &lt;= P2382),
                AND(R2382="General Use", VLOOKUP(O2382, Reference!$A$2:$D$34, 3, FALSE) &lt;= P2382)
            ),
                "Exceeded",
                "OK"
            ),
            "No Regulation defined"
        )
    ),
    ""
)</f>
        <v/>
      </c>
      <c r="AB2382" s="62" t="str">
        <f t="shared" si="37"/>
        <v/>
      </c>
    </row>
    <row r="2383" spans="19:28" x14ac:dyDescent="0.2">
      <c r="S2383" s="34"/>
      <c r="T2383" s="60" t="str">
        <f>IF(P2383&lt;&gt;"",
    IF(OR(O2383="", Q2383="", R2383=""),
        "Fill all the required columns",
        IFERROR(
            IF(OR(
                AND(R2383="Marine Protected", VLOOKUP(O2383, Reference!$A$2:$D$34, 4, FALSE) &lt;= P2383),
                AND(R2383="General Use", VLOOKUP(O2383, Reference!$A$2:$D$34, 3, FALSE) &lt;= P2383)
            ),
                "Exceeded",
                "OK"
            ),
            "No Regulation defined"
        )
    ),
    ""
)</f>
        <v/>
      </c>
      <c r="AB2383" s="62" t="str">
        <f t="shared" si="37"/>
        <v/>
      </c>
    </row>
    <row r="2384" spans="19:28" x14ac:dyDescent="0.2">
      <c r="S2384" s="34"/>
      <c r="T2384" s="60" t="str">
        <f>IF(P2384&lt;&gt;"",
    IF(OR(O2384="", Q2384="", R2384=""),
        "Fill all the required columns",
        IFERROR(
            IF(OR(
                AND(R2384="Marine Protected", VLOOKUP(O2384, Reference!$A$2:$D$34, 4, FALSE) &lt;= P2384),
                AND(R2384="General Use", VLOOKUP(O2384, Reference!$A$2:$D$34, 3, FALSE) &lt;= P2384)
            ),
                "Exceeded",
                "OK"
            ),
            "No Regulation defined"
        )
    ),
    ""
)</f>
        <v/>
      </c>
      <c r="AB2384" s="62" t="str">
        <f t="shared" si="37"/>
        <v/>
      </c>
    </row>
    <row r="2385" spans="19:28" x14ac:dyDescent="0.2">
      <c r="S2385" s="34"/>
      <c r="T2385" s="60" t="str">
        <f>IF(P2385&lt;&gt;"",
    IF(OR(O2385="", Q2385="", R2385=""),
        "Fill all the required columns",
        IFERROR(
            IF(OR(
                AND(R2385="Marine Protected", VLOOKUP(O2385, Reference!$A$2:$D$34, 4, FALSE) &lt;= P2385),
                AND(R2385="General Use", VLOOKUP(O2385, Reference!$A$2:$D$34, 3, FALSE) &lt;= P2385)
            ),
                "Exceeded",
                "OK"
            ),
            "No Regulation defined"
        )
    ),
    ""
)</f>
        <v/>
      </c>
      <c r="AB2385" s="62" t="str">
        <f t="shared" si="37"/>
        <v/>
      </c>
    </row>
    <row r="2386" spans="19:28" x14ac:dyDescent="0.2">
      <c r="S2386" s="34"/>
      <c r="T2386" s="60" t="str">
        <f>IF(P2386&lt;&gt;"",
    IF(OR(O2386="", Q2386="", R2386=""),
        "Fill all the required columns",
        IFERROR(
            IF(OR(
                AND(R2386="Marine Protected", VLOOKUP(O2386, Reference!$A$2:$D$34, 4, FALSE) &lt;= P2386),
                AND(R2386="General Use", VLOOKUP(O2386, Reference!$A$2:$D$34, 3, FALSE) &lt;= P2386)
            ),
                "Exceeded",
                "OK"
            ),
            "No Regulation defined"
        )
    ),
    ""
)</f>
        <v/>
      </c>
      <c r="AB2386" s="62" t="str">
        <f t="shared" si="37"/>
        <v/>
      </c>
    </row>
    <row r="2387" spans="19:28" x14ac:dyDescent="0.2">
      <c r="S2387" s="34"/>
      <c r="T2387" s="60" t="str">
        <f>IF(P2387&lt;&gt;"",
    IF(OR(O2387="", Q2387="", R2387=""),
        "Fill all the required columns",
        IFERROR(
            IF(OR(
                AND(R2387="Marine Protected", VLOOKUP(O2387, Reference!$A$2:$D$34, 4, FALSE) &lt;= P2387),
                AND(R2387="General Use", VLOOKUP(O2387, Reference!$A$2:$D$34, 3, FALSE) &lt;= P2387)
            ),
                "Exceeded",
                "OK"
            ),
            "No Regulation defined"
        )
    ),
    ""
)</f>
        <v/>
      </c>
      <c r="AB2387" s="62" t="str">
        <f t="shared" si="37"/>
        <v/>
      </c>
    </row>
    <row r="2388" spans="19:28" x14ac:dyDescent="0.2">
      <c r="S2388" s="34"/>
      <c r="T2388" s="60" t="str">
        <f>IF(P2388&lt;&gt;"",
    IF(OR(O2388="", Q2388="", R2388=""),
        "Fill all the required columns",
        IFERROR(
            IF(OR(
                AND(R2388="Marine Protected", VLOOKUP(O2388, Reference!$A$2:$D$34, 4, FALSE) &lt;= P2388),
                AND(R2388="General Use", VLOOKUP(O2388, Reference!$A$2:$D$34, 3, FALSE) &lt;= P2388)
            ),
                "Exceeded",
                "OK"
            ),
            "No Regulation defined"
        )
    ),
    ""
)</f>
        <v/>
      </c>
      <c r="AB2388" s="62" t="str">
        <f t="shared" si="37"/>
        <v/>
      </c>
    </row>
    <row r="2389" spans="19:28" x14ac:dyDescent="0.2">
      <c r="S2389" s="34"/>
      <c r="T2389" s="60" t="str">
        <f>IF(P2389&lt;&gt;"",
    IF(OR(O2389="", Q2389="", R2389=""),
        "Fill all the required columns",
        IFERROR(
            IF(OR(
                AND(R2389="Marine Protected", VLOOKUP(O2389, Reference!$A$2:$D$34, 4, FALSE) &lt;= P2389),
                AND(R2389="General Use", VLOOKUP(O2389, Reference!$A$2:$D$34, 3, FALSE) &lt;= P2389)
            ),
                "Exceeded",
                "OK"
            ),
            "No Regulation defined"
        )
    ),
    ""
)</f>
        <v/>
      </c>
      <c r="AB2389" s="62" t="str">
        <f t="shared" si="37"/>
        <v/>
      </c>
    </row>
    <row r="2390" spans="19:28" x14ac:dyDescent="0.2">
      <c r="S2390" s="34"/>
      <c r="T2390" s="60" t="str">
        <f>IF(P2390&lt;&gt;"",
    IF(OR(O2390="", Q2390="", R2390=""),
        "Fill all the required columns",
        IFERROR(
            IF(OR(
                AND(R2390="Marine Protected", VLOOKUP(O2390, Reference!$A$2:$D$34, 4, FALSE) &lt;= P2390),
                AND(R2390="General Use", VLOOKUP(O2390, Reference!$A$2:$D$34, 3, FALSE) &lt;= P2390)
            ),
                "Exceeded",
                "OK"
            ),
            "No Regulation defined"
        )
    ),
    ""
)</f>
        <v/>
      </c>
      <c r="AB2390" s="62" t="str">
        <f t="shared" si="37"/>
        <v/>
      </c>
    </row>
    <row r="2391" spans="19:28" x14ac:dyDescent="0.2">
      <c r="S2391" s="34"/>
      <c r="T2391" s="60" t="str">
        <f>IF(P2391&lt;&gt;"",
    IF(OR(O2391="", Q2391="", R2391=""),
        "Fill all the required columns",
        IFERROR(
            IF(OR(
                AND(R2391="Marine Protected", VLOOKUP(O2391, Reference!$A$2:$D$34, 4, FALSE) &lt;= P2391),
                AND(R2391="General Use", VLOOKUP(O2391, Reference!$A$2:$D$34, 3, FALSE) &lt;= P2391)
            ),
                "Exceeded",
                "OK"
            ),
            "No Regulation defined"
        )
    ),
    ""
)</f>
        <v/>
      </c>
      <c r="AB2391" s="62" t="str">
        <f t="shared" si="37"/>
        <v/>
      </c>
    </row>
    <row r="2392" spans="19:28" x14ac:dyDescent="0.2">
      <c r="S2392" s="34"/>
      <c r="T2392" s="60" t="str">
        <f>IF(P2392&lt;&gt;"",
    IF(OR(O2392="", Q2392="", R2392=""),
        "Fill all the required columns",
        IFERROR(
            IF(OR(
                AND(R2392="Marine Protected", VLOOKUP(O2392, Reference!$A$2:$D$34, 4, FALSE) &lt;= P2392),
                AND(R2392="General Use", VLOOKUP(O2392, Reference!$A$2:$D$34, 3, FALSE) &lt;= P2392)
            ),
                "Exceeded",
                "OK"
            ),
            "No Regulation defined"
        )
    ),
    ""
)</f>
        <v/>
      </c>
      <c r="AB2392" s="62" t="str">
        <f t="shared" si="37"/>
        <v/>
      </c>
    </row>
    <row r="2393" spans="19:28" x14ac:dyDescent="0.2">
      <c r="S2393" s="34"/>
      <c r="T2393" s="60" t="str">
        <f>IF(P2393&lt;&gt;"",
    IF(OR(O2393="", Q2393="", R2393=""),
        "Fill all the required columns",
        IFERROR(
            IF(OR(
                AND(R2393="Marine Protected", VLOOKUP(O2393, Reference!$A$2:$D$34, 4, FALSE) &lt;= P2393),
                AND(R2393="General Use", VLOOKUP(O2393, Reference!$A$2:$D$34, 3, FALSE) &lt;= P2393)
            ),
                "Exceeded",
                "OK"
            ),
            "No Regulation defined"
        )
    ),
    ""
)</f>
        <v/>
      </c>
      <c r="AB2393" s="62" t="str">
        <f t="shared" si="37"/>
        <v/>
      </c>
    </row>
    <row r="2394" spans="19:28" x14ac:dyDescent="0.2">
      <c r="S2394" s="34"/>
      <c r="T2394" s="60" t="str">
        <f>IF(P2394&lt;&gt;"",
    IF(OR(O2394="", Q2394="", R2394=""),
        "Fill all the required columns",
        IFERROR(
            IF(OR(
                AND(R2394="Marine Protected", VLOOKUP(O2394, Reference!$A$2:$D$34, 4, FALSE) &lt;= P2394),
                AND(R2394="General Use", VLOOKUP(O2394, Reference!$A$2:$D$34, 3, FALSE) &lt;= P2394)
            ),
                "Exceeded",
                "OK"
            ),
            "No Regulation defined"
        )
    ),
    ""
)</f>
        <v/>
      </c>
      <c r="AB2394" s="62" t="str">
        <f t="shared" si="37"/>
        <v/>
      </c>
    </row>
    <row r="2395" spans="19:28" x14ac:dyDescent="0.2">
      <c r="S2395" s="34"/>
      <c r="T2395" s="60" t="str">
        <f>IF(P2395&lt;&gt;"",
    IF(OR(O2395="", Q2395="", R2395=""),
        "Fill all the required columns",
        IFERROR(
            IF(OR(
                AND(R2395="Marine Protected", VLOOKUP(O2395, Reference!$A$2:$D$34, 4, FALSE) &lt;= P2395),
                AND(R2395="General Use", VLOOKUP(O2395, Reference!$A$2:$D$34, 3, FALSE) &lt;= P2395)
            ),
                "Exceeded",
                "OK"
            ),
            "No Regulation defined"
        )
    ),
    ""
)</f>
        <v/>
      </c>
      <c r="AB2395" s="62" t="str">
        <f t="shared" si="37"/>
        <v/>
      </c>
    </row>
    <row r="2396" spans="19:28" x14ac:dyDescent="0.2">
      <c r="S2396" s="34"/>
      <c r="T2396" s="60" t="str">
        <f>IF(P2396&lt;&gt;"",
    IF(OR(O2396="", Q2396="", R2396=""),
        "Fill all the required columns",
        IFERROR(
            IF(OR(
                AND(R2396="Marine Protected", VLOOKUP(O2396, Reference!$A$2:$D$34, 4, FALSE) &lt;= P2396),
                AND(R2396="General Use", VLOOKUP(O2396, Reference!$A$2:$D$34, 3, FALSE) &lt;= P2396)
            ),
                "Exceeded",
                "OK"
            ),
            "No Regulation defined"
        )
    ),
    ""
)</f>
        <v/>
      </c>
      <c r="AB2396" s="62" t="str">
        <f t="shared" si="37"/>
        <v/>
      </c>
    </row>
    <row r="2397" spans="19:28" x14ac:dyDescent="0.2">
      <c r="S2397" s="34"/>
      <c r="T2397" s="60" t="str">
        <f>IF(P2397&lt;&gt;"",
    IF(OR(O2397="", Q2397="", R2397=""),
        "Fill all the required columns",
        IFERROR(
            IF(OR(
                AND(R2397="Marine Protected", VLOOKUP(O2397, Reference!$A$2:$D$34, 4, FALSE) &lt;= P2397),
                AND(R2397="General Use", VLOOKUP(O2397, Reference!$A$2:$D$34, 3, FALSE) &lt;= P2397)
            ),
                "Exceeded",
                "OK"
            ),
            "No Regulation defined"
        )
    ),
    ""
)</f>
        <v/>
      </c>
      <c r="AB2397" s="62" t="str">
        <f t="shared" si="37"/>
        <v/>
      </c>
    </row>
    <row r="2398" spans="19:28" x14ac:dyDescent="0.2">
      <c r="S2398" s="34"/>
      <c r="T2398" s="60" t="str">
        <f>IF(P2398&lt;&gt;"",
    IF(OR(O2398="", Q2398="", R2398=""),
        "Fill all the required columns",
        IFERROR(
            IF(OR(
                AND(R2398="Marine Protected", VLOOKUP(O2398, Reference!$A$2:$D$34, 4, FALSE) &lt;= P2398),
                AND(R2398="General Use", VLOOKUP(O2398, Reference!$A$2:$D$34, 3, FALSE) &lt;= P2398)
            ),
                "Exceeded",
                "OK"
            ),
            "No Regulation defined"
        )
    ),
    ""
)</f>
        <v/>
      </c>
      <c r="AB2398" s="62" t="str">
        <f t="shared" si="37"/>
        <v/>
      </c>
    </row>
    <row r="2399" spans="19:28" x14ac:dyDescent="0.2">
      <c r="S2399" s="34"/>
      <c r="T2399" s="60" t="str">
        <f>IF(P2399&lt;&gt;"",
    IF(OR(O2399="", Q2399="", R2399=""),
        "Fill all the required columns",
        IFERROR(
            IF(OR(
                AND(R2399="Marine Protected", VLOOKUP(O2399, Reference!$A$2:$D$34, 4, FALSE) &lt;= P2399),
                AND(R2399="General Use", VLOOKUP(O2399, Reference!$A$2:$D$34, 3, FALSE) &lt;= P2399)
            ),
                "Exceeded",
                "OK"
            ),
            "No Regulation defined"
        )
    ),
    ""
)</f>
        <v/>
      </c>
      <c r="AB2399" s="62" t="str">
        <f t="shared" si="37"/>
        <v/>
      </c>
    </row>
    <row r="2400" spans="19:28" x14ac:dyDescent="0.2">
      <c r="S2400" s="34"/>
      <c r="T2400" s="60" t="str">
        <f>IF(P2400&lt;&gt;"",
    IF(OR(O2400="", Q2400="", R2400=""),
        "Fill all the required columns",
        IFERROR(
            IF(OR(
                AND(R2400="Marine Protected", VLOOKUP(O2400, Reference!$A$2:$D$34, 4, FALSE) &lt;= P2400),
                AND(R2400="General Use", VLOOKUP(O2400, Reference!$A$2:$D$34, 3, FALSE) &lt;= P2400)
            ),
                "Exceeded",
                "OK"
            ),
            "No Regulation defined"
        )
    ),
    ""
)</f>
        <v/>
      </c>
      <c r="AB2400" s="62" t="str">
        <f t="shared" si="37"/>
        <v/>
      </c>
    </row>
    <row r="2401" spans="19:28" x14ac:dyDescent="0.2">
      <c r="S2401" s="34"/>
      <c r="T2401" s="60" t="str">
        <f>IF(P2401&lt;&gt;"",
    IF(OR(O2401="", Q2401="", R2401=""),
        "Fill all the required columns",
        IFERROR(
            IF(OR(
                AND(R2401="Marine Protected", VLOOKUP(O2401, Reference!$A$2:$D$34, 4, FALSE) &lt;= P2401),
                AND(R2401="General Use", VLOOKUP(O2401, Reference!$A$2:$D$34, 3, FALSE) &lt;= P2401)
            ),
                "Exceeded",
                "OK"
            ),
            "No Regulation defined"
        )
    ),
    ""
)</f>
        <v/>
      </c>
      <c r="AB2401" s="62" t="str">
        <f t="shared" si="37"/>
        <v/>
      </c>
    </row>
    <row r="2402" spans="19:28" x14ac:dyDescent="0.2">
      <c r="S2402" s="34"/>
      <c r="T2402" s="60" t="str">
        <f>IF(P2402&lt;&gt;"",
    IF(OR(O2402="", Q2402="", R2402=""),
        "Fill all the required columns",
        IFERROR(
            IF(OR(
                AND(R2402="Marine Protected", VLOOKUP(O2402, Reference!$A$2:$D$34, 4, FALSE) &lt;= P2402),
                AND(R2402="General Use", VLOOKUP(O2402, Reference!$A$2:$D$34, 3, FALSE) &lt;= P2402)
            ),
                "Exceeded",
                "OK"
            ),
            "No Regulation defined"
        )
    ),
    ""
)</f>
        <v/>
      </c>
      <c r="AB2402" s="62" t="str">
        <f t="shared" si="37"/>
        <v/>
      </c>
    </row>
    <row r="2403" spans="19:28" x14ac:dyDescent="0.2">
      <c r="S2403" s="34"/>
      <c r="T2403" s="60" t="str">
        <f>IF(P2403&lt;&gt;"",
    IF(OR(O2403="", Q2403="", R2403=""),
        "Fill all the required columns",
        IFERROR(
            IF(OR(
                AND(R2403="Marine Protected", VLOOKUP(O2403, Reference!$A$2:$D$34, 4, FALSE) &lt;= P2403),
                AND(R2403="General Use", VLOOKUP(O2403, Reference!$A$2:$D$34, 3, FALSE) &lt;= P2403)
            ),
                "Exceeded",
                "OK"
            ),
            "No Regulation defined"
        )
    ),
    ""
)</f>
        <v/>
      </c>
      <c r="AB2403" s="62" t="str">
        <f t="shared" si="37"/>
        <v/>
      </c>
    </row>
    <row r="2404" spans="19:28" x14ac:dyDescent="0.2">
      <c r="S2404" s="34"/>
      <c r="T2404" s="60" t="str">
        <f>IF(P2404&lt;&gt;"",
    IF(OR(O2404="", Q2404="", R2404=""),
        "Fill all the required columns",
        IFERROR(
            IF(OR(
                AND(R2404="Marine Protected", VLOOKUP(O2404, Reference!$A$2:$D$34, 4, FALSE) &lt;= P2404),
                AND(R2404="General Use", VLOOKUP(O2404, Reference!$A$2:$D$34, 3, FALSE) &lt;= P2404)
            ),
                "Exceeded",
                "OK"
            ),
            "No Regulation defined"
        )
    ),
    ""
)</f>
        <v/>
      </c>
      <c r="AB2404" s="62" t="str">
        <f t="shared" si="37"/>
        <v/>
      </c>
    </row>
    <row r="2405" spans="19:28" x14ac:dyDescent="0.2">
      <c r="S2405" s="34"/>
      <c r="T2405" s="60" t="str">
        <f>IF(P2405&lt;&gt;"",
    IF(OR(O2405="", Q2405="", R2405=""),
        "Fill all the required columns",
        IFERROR(
            IF(OR(
                AND(R2405="Marine Protected", VLOOKUP(O2405, Reference!$A$2:$D$34, 4, FALSE) &lt;= P2405),
                AND(R2405="General Use", VLOOKUP(O2405, Reference!$A$2:$D$34, 3, FALSE) &lt;= P2405)
            ),
                "Exceeded",
                "OK"
            ),
            "No Regulation defined"
        )
    ),
    ""
)</f>
        <v/>
      </c>
      <c r="AB2405" s="62" t="str">
        <f t="shared" si="37"/>
        <v/>
      </c>
    </row>
    <row r="2406" spans="19:28" x14ac:dyDescent="0.2">
      <c r="S2406" s="34"/>
      <c r="T2406" s="60" t="str">
        <f>IF(P2406&lt;&gt;"",
    IF(OR(O2406="", Q2406="", R2406=""),
        "Fill all the required columns",
        IFERROR(
            IF(OR(
                AND(R2406="Marine Protected", VLOOKUP(O2406, Reference!$A$2:$D$34, 4, FALSE) &lt;= P2406),
                AND(R2406="General Use", VLOOKUP(O2406, Reference!$A$2:$D$34, 3, FALSE) &lt;= P2406)
            ),
                "Exceeded",
                "OK"
            ),
            "No Regulation defined"
        )
    ),
    ""
)</f>
        <v/>
      </c>
      <c r="AB2406" s="62" t="str">
        <f t="shared" si="37"/>
        <v/>
      </c>
    </row>
    <row r="2407" spans="19:28" x14ac:dyDescent="0.2">
      <c r="S2407" s="34"/>
      <c r="T2407" s="60" t="str">
        <f>IF(P2407&lt;&gt;"",
    IF(OR(O2407="", Q2407="", R2407=""),
        "Fill all the required columns",
        IFERROR(
            IF(OR(
                AND(R2407="Marine Protected", VLOOKUP(O2407, Reference!$A$2:$D$34, 4, FALSE) &lt;= P2407),
                AND(R2407="General Use", VLOOKUP(O2407, Reference!$A$2:$D$34, 3, FALSE) &lt;= P2407)
            ),
                "Exceeded",
                "OK"
            ),
            "No Regulation defined"
        )
    ),
    ""
)</f>
        <v/>
      </c>
      <c r="AB2407" s="62" t="str">
        <f t="shared" si="37"/>
        <v/>
      </c>
    </row>
    <row r="2408" spans="19:28" x14ac:dyDescent="0.2">
      <c r="S2408" s="34"/>
      <c r="T2408" s="60" t="str">
        <f>IF(P2408&lt;&gt;"",
    IF(OR(O2408="", Q2408="", R2408=""),
        "Fill all the required columns",
        IFERROR(
            IF(OR(
                AND(R2408="Marine Protected", VLOOKUP(O2408, Reference!$A$2:$D$34, 4, FALSE) &lt;= P2408),
                AND(R2408="General Use", VLOOKUP(O2408, Reference!$A$2:$D$34, 3, FALSE) &lt;= P2408)
            ),
                "Exceeded",
                "OK"
            ),
            "No Regulation defined"
        )
    ),
    ""
)</f>
        <v/>
      </c>
      <c r="AB2408" s="62" t="str">
        <f t="shared" si="37"/>
        <v/>
      </c>
    </row>
    <row r="2409" spans="19:28" x14ac:dyDescent="0.2">
      <c r="S2409" s="34"/>
      <c r="T2409" s="60" t="str">
        <f>IF(P2409&lt;&gt;"",
    IF(OR(O2409="", Q2409="", R2409=""),
        "Fill all the required columns",
        IFERROR(
            IF(OR(
                AND(R2409="Marine Protected", VLOOKUP(O2409, Reference!$A$2:$D$34, 4, FALSE) &lt;= P2409),
                AND(R2409="General Use", VLOOKUP(O2409, Reference!$A$2:$D$34, 3, FALSE) &lt;= P2409)
            ),
                "Exceeded",
                "OK"
            ),
            "No Regulation defined"
        )
    ),
    ""
)</f>
        <v/>
      </c>
      <c r="AB2409" s="62" t="str">
        <f t="shared" si="37"/>
        <v/>
      </c>
    </row>
    <row r="2410" spans="19:28" x14ac:dyDescent="0.2">
      <c r="S2410" s="34"/>
      <c r="T2410" s="60" t="str">
        <f>IF(P2410&lt;&gt;"",
    IF(OR(O2410="", Q2410="", R2410=""),
        "Fill all the required columns",
        IFERROR(
            IF(OR(
                AND(R2410="Marine Protected", VLOOKUP(O2410, Reference!$A$2:$D$34, 4, FALSE) &lt;= P2410),
                AND(R2410="General Use", VLOOKUP(O2410, Reference!$A$2:$D$34, 3, FALSE) &lt;= P2410)
            ),
                "Exceeded",
                "OK"
            ),
            "No Regulation defined"
        )
    ),
    ""
)</f>
        <v/>
      </c>
      <c r="AB2410" s="62" t="str">
        <f t="shared" si="37"/>
        <v/>
      </c>
    </row>
    <row r="2411" spans="19:28" x14ac:dyDescent="0.2">
      <c r="S2411" s="34"/>
      <c r="T2411" s="60" t="str">
        <f>IF(P2411&lt;&gt;"",
    IF(OR(O2411="", Q2411="", R2411=""),
        "Fill all the required columns",
        IFERROR(
            IF(OR(
                AND(R2411="Marine Protected", VLOOKUP(O2411, Reference!$A$2:$D$34, 4, FALSE) &lt;= P2411),
                AND(R2411="General Use", VLOOKUP(O2411, Reference!$A$2:$D$34, 3, FALSE) &lt;= P2411)
            ),
                "Exceeded",
                "OK"
            ),
            "No Regulation defined"
        )
    ),
    ""
)</f>
        <v/>
      </c>
      <c r="AB2411" s="62" t="str">
        <f t="shared" si="37"/>
        <v/>
      </c>
    </row>
    <row r="2412" spans="19:28" x14ac:dyDescent="0.2">
      <c r="S2412" s="34"/>
      <c r="T2412" s="60" t="str">
        <f>IF(P2412&lt;&gt;"",
    IF(OR(O2412="", Q2412="", R2412=""),
        "Fill all the required columns",
        IFERROR(
            IF(OR(
                AND(R2412="Marine Protected", VLOOKUP(O2412, Reference!$A$2:$D$34, 4, FALSE) &lt;= P2412),
                AND(R2412="General Use", VLOOKUP(O2412, Reference!$A$2:$D$34, 3, FALSE) &lt;= P2412)
            ),
                "Exceeded",
                "OK"
            ),
            "No Regulation defined"
        )
    ),
    ""
)</f>
        <v/>
      </c>
      <c r="AB2412" s="62" t="str">
        <f t="shared" si="37"/>
        <v/>
      </c>
    </row>
    <row r="2413" spans="19:28" x14ac:dyDescent="0.2">
      <c r="S2413" s="34"/>
      <c r="T2413" s="60" t="str">
        <f>IF(P2413&lt;&gt;"",
    IF(OR(O2413="", Q2413="", R2413=""),
        "Fill all the required columns",
        IFERROR(
            IF(OR(
                AND(R2413="Marine Protected", VLOOKUP(O2413, Reference!$A$2:$D$34, 4, FALSE) &lt;= P2413),
                AND(R2413="General Use", VLOOKUP(O2413, Reference!$A$2:$D$34, 3, FALSE) &lt;= P2413)
            ),
                "Exceeded",
                "OK"
            ),
            "No Regulation defined"
        )
    ),
    ""
)</f>
        <v/>
      </c>
      <c r="AB2413" s="62" t="str">
        <f t="shared" si="37"/>
        <v/>
      </c>
    </row>
    <row r="2414" spans="19:28" x14ac:dyDescent="0.2">
      <c r="S2414" s="34"/>
      <c r="T2414" s="60" t="str">
        <f>IF(P2414&lt;&gt;"",
    IF(OR(O2414="", Q2414="", R2414=""),
        "Fill all the required columns",
        IFERROR(
            IF(OR(
                AND(R2414="Marine Protected", VLOOKUP(O2414, Reference!$A$2:$D$34, 4, FALSE) &lt;= P2414),
                AND(R2414="General Use", VLOOKUP(O2414, Reference!$A$2:$D$34, 3, FALSE) &lt;= P2414)
            ),
                "Exceeded",
                "OK"
            ),
            "No Regulation defined"
        )
    ),
    ""
)</f>
        <v/>
      </c>
      <c r="AB2414" s="62" t="str">
        <f t="shared" si="37"/>
        <v/>
      </c>
    </row>
    <row r="2415" spans="19:28" x14ac:dyDescent="0.2">
      <c r="S2415" s="34"/>
      <c r="T2415" s="60" t="str">
        <f>IF(P2415&lt;&gt;"",
    IF(OR(O2415="", Q2415="", R2415=""),
        "Fill all the required columns",
        IFERROR(
            IF(OR(
                AND(R2415="Marine Protected", VLOOKUP(O2415, Reference!$A$2:$D$34, 4, FALSE) &lt;= P2415),
                AND(R2415="General Use", VLOOKUP(O2415, Reference!$A$2:$D$34, 3, FALSE) &lt;= P2415)
            ),
                "Exceeded",
                "OK"
            ),
            "No Regulation defined"
        )
    ),
    ""
)</f>
        <v/>
      </c>
      <c r="AB2415" s="62" t="str">
        <f t="shared" si="37"/>
        <v/>
      </c>
    </row>
    <row r="2416" spans="19:28" x14ac:dyDescent="0.2">
      <c r="S2416" s="34"/>
      <c r="T2416" s="60" t="str">
        <f>IF(P2416&lt;&gt;"",
    IF(OR(O2416="", Q2416="", R2416=""),
        "Fill all the required columns",
        IFERROR(
            IF(OR(
                AND(R2416="Marine Protected", VLOOKUP(O2416, Reference!$A$2:$D$34, 4, FALSE) &lt;= P2416),
                AND(R2416="General Use", VLOOKUP(O2416, Reference!$A$2:$D$34, 3, FALSE) &lt;= P2416)
            ),
                "Exceeded",
                "OK"
            ),
            "No Regulation defined"
        )
    ),
    ""
)</f>
        <v/>
      </c>
      <c r="AB2416" s="62" t="str">
        <f t="shared" si="37"/>
        <v/>
      </c>
    </row>
    <row r="2417" spans="19:28" x14ac:dyDescent="0.2">
      <c r="S2417" s="34"/>
      <c r="T2417" s="60" t="str">
        <f>IF(P2417&lt;&gt;"",
    IF(OR(O2417="", Q2417="", R2417=""),
        "Fill all the required columns",
        IFERROR(
            IF(OR(
                AND(R2417="Marine Protected", VLOOKUP(O2417, Reference!$A$2:$D$34, 4, FALSE) &lt;= P2417),
                AND(R2417="General Use", VLOOKUP(O2417, Reference!$A$2:$D$34, 3, FALSE) &lt;= P2417)
            ),
                "Exceeded",
                "OK"
            ),
            "No Regulation defined"
        )
    ),
    ""
)</f>
        <v/>
      </c>
      <c r="AB2417" s="62" t="str">
        <f t="shared" si="37"/>
        <v/>
      </c>
    </row>
    <row r="2418" spans="19:28" x14ac:dyDescent="0.2">
      <c r="S2418" s="34"/>
      <c r="T2418" s="60" t="str">
        <f>IF(P2418&lt;&gt;"",
    IF(OR(O2418="", Q2418="", R2418=""),
        "Fill all the required columns",
        IFERROR(
            IF(OR(
                AND(R2418="Marine Protected", VLOOKUP(O2418, Reference!$A$2:$D$34, 4, FALSE) &lt;= P2418),
                AND(R2418="General Use", VLOOKUP(O2418, Reference!$A$2:$D$34, 3, FALSE) &lt;= P2418)
            ),
                "Exceeded",
                "OK"
            ),
            "No Regulation defined"
        )
    ),
    ""
)</f>
        <v/>
      </c>
      <c r="AB2418" s="62" t="str">
        <f t="shared" si="37"/>
        <v/>
      </c>
    </row>
    <row r="2419" spans="19:28" x14ac:dyDescent="0.2">
      <c r="S2419" s="34"/>
      <c r="T2419" s="60" t="str">
        <f>IF(P2419&lt;&gt;"",
    IF(OR(O2419="", Q2419="", R2419=""),
        "Fill all the required columns",
        IFERROR(
            IF(OR(
                AND(R2419="Marine Protected", VLOOKUP(O2419, Reference!$A$2:$D$34, 4, FALSE) &lt;= P2419),
                AND(R2419="General Use", VLOOKUP(O2419, Reference!$A$2:$D$34, 3, FALSE) &lt;= P2419)
            ),
                "Exceeded",
                "OK"
            ),
            "No Regulation defined"
        )
    ),
    ""
)</f>
        <v/>
      </c>
      <c r="AB2419" s="62" t="str">
        <f t="shared" si="37"/>
        <v/>
      </c>
    </row>
    <row r="2420" spans="19:28" x14ac:dyDescent="0.2">
      <c r="S2420" s="34"/>
      <c r="T2420" s="60" t="str">
        <f>IF(P2420&lt;&gt;"",
    IF(OR(O2420="", Q2420="", R2420=""),
        "Fill all the required columns",
        IFERROR(
            IF(OR(
                AND(R2420="Marine Protected", VLOOKUP(O2420, Reference!$A$2:$D$34, 4, FALSE) &lt;= P2420),
                AND(R2420="General Use", VLOOKUP(O2420, Reference!$A$2:$D$34, 3, FALSE) &lt;= P2420)
            ),
                "Exceeded",
                "OK"
            ),
            "No Regulation defined"
        )
    ),
    ""
)</f>
        <v/>
      </c>
      <c r="AB2420" s="62" t="str">
        <f t="shared" si="37"/>
        <v/>
      </c>
    </row>
    <row r="2421" spans="19:28" x14ac:dyDescent="0.2">
      <c r="S2421" s="34"/>
      <c r="T2421" s="60" t="str">
        <f>IF(P2421&lt;&gt;"",
    IF(OR(O2421="", Q2421="", R2421=""),
        "Fill all the required columns",
        IFERROR(
            IF(OR(
                AND(R2421="Marine Protected", VLOOKUP(O2421, Reference!$A$2:$D$34, 4, FALSE) &lt;= P2421),
                AND(R2421="General Use", VLOOKUP(O2421, Reference!$A$2:$D$34, 3, FALSE) &lt;= P2421)
            ),
                "Exceeded",
                "OK"
            ),
            "No Regulation defined"
        )
    ),
    ""
)</f>
        <v/>
      </c>
      <c r="AB2421" s="62" t="str">
        <f t="shared" si="37"/>
        <v/>
      </c>
    </row>
    <row r="2422" spans="19:28" x14ac:dyDescent="0.2">
      <c r="S2422" s="34"/>
      <c r="T2422" s="60" t="str">
        <f>IF(P2422&lt;&gt;"",
    IF(OR(O2422="", Q2422="", R2422=""),
        "Fill all the required columns",
        IFERROR(
            IF(OR(
                AND(R2422="Marine Protected", VLOOKUP(O2422, Reference!$A$2:$D$34, 4, FALSE) &lt;= P2422),
                AND(R2422="General Use", VLOOKUP(O2422, Reference!$A$2:$D$34, 3, FALSE) &lt;= P2422)
            ),
                "Exceeded",
                "OK"
            ),
            "No Regulation defined"
        )
    ),
    ""
)</f>
        <v/>
      </c>
      <c r="AB2422" s="62" t="str">
        <f t="shared" si="37"/>
        <v/>
      </c>
    </row>
    <row r="2423" spans="19:28" x14ac:dyDescent="0.2">
      <c r="S2423" s="34"/>
      <c r="T2423" s="60" t="str">
        <f>IF(P2423&lt;&gt;"",
    IF(OR(O2423="", Q2423="", R2423=""),
        "Fill all the required columns",
        IFERROR(
            IF(OR(
                AND(R2423="Marine Protected", VLOOKUP(O2423, Reference!$A$2:$D$34, 4, FALSE) &lt;= P2423),
                AND(R2423="General Use", VLOOKUP(O2423, Reference!$A$2:$D$34, 3, FALSE) &lt;= P2423)
            ),
                "Exceeded",
                "OK"
            ),
            "No Regulation defined"
        )
    ),
    ""
)</f>
        <v/>
      </c>
      <c r="AB2423" s="62" t="str">
        <f t="shared" si="37"/>
        <v/>
      </c>
    </row>
    <row r="2424" spans="19:28" x14ac:dyDescent="0.2">
      <c r="S2424" s="34"/>
      <c r="T2424" s="60" t="str">
        <f>IF(P2424&lt;&gt;"",
    IF(OR(O2424="", Q2424="", R2424=""),
        "Fill all the required columns",
        IFERROR(
            IF(OR(
                AND(R2424="Marine Protected", VLOOKUP(O2424, Reference!$A$2:$D$34, 4, FALSE) &lt;= P2424),
                AND(R2424="General Use", VLOOKUP(O2424, Reference!$A$2:$D$34, 3, FALSE) &lt;= P2424)
            ),
                "Exceeded",
                "OK"
            ),
            "No Regulation defined"
        )
    ),
    ""
)</f>
        <v/>
      </c>
      <c r="AB2424" s="62" t="str">
        <f t="shared" si="37"/>
        <v/>
      </c>
    </row>
    <row r="2425" spans="19:28" x14ac:dyDescent="0.2">
      <c r="S2425" s="34"/>
      <c r="T2425" s="60" t="str">
        <f>IF(P2425&lt;&gt;"",
    IF(OR(O2425="", Q2425="", R2425=""),
        "Fill all the required columns",
        IFERROR(
            IF(OR(
                AND(R2425="Marine Protected", VLOOKUP(O2425, Reference!$A$2:$D$34, 4, FALSE) &lt;= P2425),
                AND(R2425="General Use", VLOOKUP(O2425, Reference!$A$2:$D$34, 3, FALSE) &lt;= P2425)
            ),
                "Exceeded",
                "OK"
            ),
            "No Regulation defined"
        )
    ),
    ""
)</f>
        <v/>
      </c>
      <c r="AB2425" s="62" t="str">
        <f t="shared" si="37"/>
        <v/>
      </c>
    </row>
    <row r="2426" spans="19:28" x14ac:dyDescent="0.2">
      <c r="S2426" s="34"/>
      <c r="T2426" s="60" t="str">
        <f>IF(P2426&lt;&gt;"",
    IF(OR(O2426="", Q2426="", R2426=""),
        "Fill all the required columns",
        IFERROR(
            IF(OR(
                AND(R2426="Marine Protected", VLOOKUP(O2426, Reference!$A$2:$D$34, 4, FALSE) &lt;= P2426),
                AND(R2426="General Use", VLOOKUP(O2426, Reference!$A$2:$D$34, 3, FALSE) &lt;= P2426)
            ),
                "Exceeded",
                "OK"
            ),
            "No Regulation defined"
        )
    ),
    ""
)</f>
        <v/>
      </c>
      <c r="AB2426" s="62" t="str">
        <f t="shared" si="37"/>
        <v/>
      </c>
    </row>
    <row r="2427" spans="19:28" x14ac:dyDescent="0.2">
      <c r="S2427" s="34"/>
      <c r="T2427" s="60" t="str">
        <f>IF(P2427&lt;&gt;"",
    IF(OR(O2427="", Q2427="", R2427=""),
        "Fill all the required columns",
        IFERROR(
            IF(OR(
                AND(R2427="Marine Protected", VLOOKUP(O2427, Reference!$A$2:$D$34, 4, FALSE) &lt;= P2427),
                AND(R2427="General Use", VLOOKUP(O2427, Reference!$A$2:$D$34, 3, FALSE) &lt;= P2427)
            ),
                "Exceeded",
                "OK"
            ),
            "No Regulation defined"
        )
    ),
    ""
)</f>
        <v/>
      </c>
      <c r="AB2427" s="62" t="str">
        <f t="shared" si="37"/>
        <v/>
      </c>
    </row>
    <row r="2428" spans="19:28" x14ac:dyDescent="0.2">
      <c r="S2428" s="34"/>
      <c r="T2428" s="60" t="str">
        <f>IF(P2428&lt;&gt;"",
    IF(OR(O2428="", Q2428="", R2428=""),
        "Fill all the required columns",
        IFERROR(
            IF(OR(
                AND(R2428="Marine Protected", VLOOKUP(O2428, Reference!$A$2:$D$34, 4, FALSE) &lt;= P2428),
                AND(R2428="General Use", VLOOKUP(O2428, Reference!$A$2:$D$34, 3, FALSE) &lt;= P2428)
            ),
                "Exceeded",
                "OK"
            ),
            "No Regulation defined"
        )
    ),
    ""
)</f>
        <v/>
      </c>
      <c r="AB2428" s="62" t="str">
        <f t="shared" si="37"/>
        <v/>
      </c>
    </row>
    <row r="2429" spans="19:28" x14ac:dyDescent="0.2">
      <c r="S2429" s="34"/>
      <c r="T2429" s="60" t="str">
        <f>IF(P2429&lt;&gt;"",
    IF(OR(O2429="", Q2429="", R2429=""),
        "Fill all the required columns",
        IFERROR(
            IF(OR(
                AND(R2429="Marine Protected", VLOOKUP(O2429, Reference!$A$2:$D$34, 4, FALSE) &lt;= P2429),
                AND(R2429="General Use", VLOOKUP(O2429, Reference!$A$2:$D$34, 3, FALSE) &lt;= P2429)
            ),
                "Exceeded",
                "OK"
            ),
            "No Regulation defined"
        )
    ),
    ""
)</f>
        <v/>
      </c>
      <c r="AB2429" s="62" t="str">
        <f t="shared" si="37"/>
        <v/>
      </c>
    </row>
    <row r="2430" spans="19:28" x14ac:dyDescent="0.2">
      <c r="S2430" s="34"/>
      <c r="T2430" s="60" t="str">
        <f>IF(P2430&lt;&gt;"",
    IF(OR(O2430="", Q2430="", R2430=""),
        "Fill all the required columns",
        IFERROR(
            IF(OR(
                AND(R2430="Marine Protected", VLOOKUP(O2430, Reference!$A$2:$D$34, 4, FALSE) &lt;= P2430),
                AND(R2430="General Use", VLOOKUP(O2430, Reference!$A$2:$D$34, 3, FALSE) &lt;= P2430)
            ),
                "Exceeded",
                "OK"
            ),
            "No Regulation defined"
        )
    ),
    ""
)</f>
        <v/>
      </c>
      <c r="AB2430" s="62" t="str">
        <f t="shared" si="37"/>
        <v/>
      </c>
    </row>
    <row r="2431" spans="19:28" x14ac:dyDescent="0.2">
      <c r="S2431" s="34"/>
      <c r="T2431" s="60" t="str">
        <f>IF(P2431&lt;&gt;"",
    IF(OR(O2431="", Q2431="", R2431=""),
        "Fill all the required columns",
        IFERROR(
            IF(OR(
                AND(R2431="Marine Protected", VLOOKUP(O2431, Reference!$A$2:$D$34, 4, FALSE) &lt;= P2431),
                AND(R2431="General Use", VLOOKUP(O2431, Reference!$A$2:$D$34, 3, FALSE) &lt;= P2431)
            ),
                "Exceeded",
                "OK"
            ),
            "No Regulation defined"
        )
    ),
    ""
)</f>
        <v/>
      </c>
      <c r="AB2431" s="62" t="str">
        <f t="shared" si="37"/>
        <v/>
      </c>
    </row>
    <row r="2432" spans="19:28" x14ac:dyDescent="0.2">
      <c r="S2432" s="34"/>
      <c r="T2432" s="60" t="str">
        <f>IF(P2432&lt;&gt;"",
    IF(OR(O2432="", Q2432="", R2432=""),
        "Fill all the required columns",
        IFERROR(
            IF(OR(
                AND(R2432="Marine Protected", VLOOKUP(O2432, Reference!$A$2:$D$34, 4, FALSE) &lt;= P2432),
                AND(R2432="General Use", VLOOKUP(O2432, Reference!$A$2:$D$34, 3, FALSE) &lt;= P2432)
            ),
                "Exceeded",
                "OK"
            ),
            "No Regulation defined"
        )
    ),
    ""
)</f>
        <v/>
      </c>
      <c r="AB2432" s="62" t="str">
        <f t="shared" si="37"/>
        <v/>
      </c>
    </row>
    <row r="2433" spans="19:28" x14ac:dyDescent="0.2">
      <c r="S2433" s="34"/>
      <c r="T2433" s="60" t="str">
        <f>IF(P2433&lt;&gt;"",
    IF(OR(O2433="", Q2433="", R2433=""),
        "Fill all the required columns",
        IFERROR(
            IF(OR(
                AND(R2433="Marine Protected", VLOOKUP(O2433, Reference!$A$2:$D$34, 4, FALSE) &lt;= P2433),
                AND(R2433="General Use", VLOOKUP(O2433, Reference!$A$2:$D$34, 3, FALSE) &lt;= P2433)
            ),
                "Exceeded",
                "OK"
            ),
            "No Regulation defined"
        )
    ),
    ""
)</f>
        <v/>
      </c>
      <c r="AB2433" s="62" t="str">
        <f t="shared" si="37"/>
        <v/>
      </c>
    </row>
    <row r="2434" spans="19:28" x14ac:dyDescent="0.2">
      <c r="S2434" s="34"/>
      <c r="T2434" s="60" t="str">
        <f>IF(P2434&lt;&gt;"",
    IF(OR(O2434="", Q2434="", R2434=""),
        "Fill all the required columns",
        IFERROR(
            IF(OR(
                AND(R2434="Marine Protected", VLOOKUP(O2434, Reference!$A$2:$D$34, 4, FALSE) &lt;= P2434),
                AND(R2434="General Use", VLOOKUP(O2434, Reference!$A$2:$D$34, 3, FALSE) &lt;= P2434)
            ),
                "Exceeded",
                "OK"
            ),
            "No Regulation defined"
        )
    ),
    ""
)</f>
        <v/>
      </c>
      <c r="AB2434" s="62" t="str">
        <f t="shared" si="37"/>
        <v/>
      </c>
    </row>
    <row r="2435" spans="19:28" x14ac:dyDescent="0.2">
      <c r="S2435" s="34"/>
      <c r="T2435" s="60" t="str">
        <f>IF(P2435&lt;&gt;"",
    IF(OR(O2435="", Q2435="", R2435=""),
        "Fill all the required columns",
        IFERROR(
            IF(OR(
                AND(R2435="Marine Protected", VLOOKUP(O2435, Reference!$A$2:$D$34, 4, FALSE) &lt;= P2435),
                AND(R2435="General Use", VLOOKUP(O2435, Reference!$A$2:$D$34, 3, FALSE) &lt;= P2435)
            ),
                "Exceeded",
                "OK"
            ),
            "No Regulation defined"
        )
    ),
    ""
)</f>
        <v/>
      </c>
      <c r="AB2435" s="62" t="str">
        <f t="shared" ref="AB2435:AB2498" si="38">IF(COUNTA(A2435, E2435, F2435, H2435, I2435, O2435, P2435, Q2435, R2435,S2435) = 0, "", IF(COUNTA(A2435, E2435, F2435, H2435, I2435, O2435, P2435, Q2435, R2435,S2435) = 10, "OK", "Incomplete"))</f>
        <v/>
      </c>
    </row>
    <row r="2436" spans="19:28" x14ac:dyDescent="0.2">
      <c r="S2436" s="34"/>
      <c r="T2436" s="60" t="str">
        <f>IF(P2436&lt;&gt;"",
    IF(OR(O2436="", Q2436="", R2436=""),
        "Fill all the required columns",
        IFERROR(
            IF(OR(
                AND(R2436="Marine Protected", VLOOKUP(O2436, Reference!$A$2:$D$34, 4, FALSE) &lt;= P2436),
                AND(R2436="General Use", VLOOKUP(O2436, Reference!$A$2:$D$34, 3, FALSE) &lt;= P2436)
            ),
                "Exceeded",
                "OK"
            ),
            "No Regulation defined"
        )
    ),
    ""
)</f>
        <v/>
      </c>
      <c r="AB2436" s="62" t="str">
        <f t="shared" si="38"/>
        <v/>
      </c>
    </row>
    <row r="2437" spans="19:28" x14ac:dyDescent="0.2">
      <c r="S2437" s="34"/>
      <c r="T2437" s="60" t="str">
        <f>IF(P2437&lt;&gt;"",
    IF(OR(O2437="", Q2437="", R2437=""),
        "Fill all the required columns",
        IFERROR(
            IF(OR(
                AND(R2437="Marine Protected", VLOOKUP(O2437, Reference!$A$2:$D$34, 4, FALSE) &lt;= P2437),
                AND(R2437="General Use", VLOOKUP(O2437, Reference!$A$2:$D$34, 3, FALSE) &lt;= P2437)
            ),
                "Exceeded",
                "OK"
            ),
            "No Regulation defined"
        )
    ),
    ""
)</f>
        <v/>
      </c>
      <c r="AB2437" s="62" t="str">
        <f t="shared" si="38"/>
        <v/>
      </c>
    </row>
    <row r="2438" spans="19:28" x14ac:dyDescent="0.2">
      <c r="S2438" s="34"/>
      <c r="T2438" s="60" t="str">
        <f>IF(P2438&lt;&gt;"",
    IF(OR(O2438="", Q2438="", R2438=""),
        "Fill all the required columns",
        IFERROR(
            IF(OR(
                AND(R2438="Marine Protected", VLOOKUP(O2438, Reference!$A$2:$D$34, 4, FALSE) &lt;= P2438),
                AND(R2438="General Use", VLOOKUP(O2438, Reference!$A$2:$D$34, 3, FALSE) &lt;= P2438)
            ),
                "Exceeded",
                "OK"
            ),
            "No Regulation defined"
        )
    ),
    ""
)</f>
        <v/>
      </c>
      <c r="AB2438" s="62" t="str">
        <f t="shared" si="38"/>
        <v/>
      </c>
    </row>
    <row r="2439" spans="19:28" x14ac:dyDescent="0.2">
      <c r="S2439" s="34"/>
      <c r="T2439" s="60" t="str">
        <f>IF(P2439&lt;&gt;"",
    IF(OR(O2439="", Q2439="", R2439=""),
        "Fill all the required columns",
        IFERROR(
            IF(OR(
                AND(R2439="Marine Protected", VLOOKUP(O2439, Reference!$A$2:$D$34, 4, FALSE) &lt;= P2439),
                AND(R2439="General Use", VLOOKUP(O2439, Reference!$A$2:$D$34, 3, FALSE) &lt;= P2439)
            ),
                "Exceeded",
                "OK"
            ),
            "No Regulation defined"
        )
    ),
    ""
)</f>
        <v/>
      </c>
      <c r="AB2439" s="62" t="str">
        <f t="shared" si="38"/>
        <v/>
      </c>
    </row>
    <row r="2440" spans="19:28" x14ac:dyDescent="0.2">
      <c r="S2440" s="34"/>
      <c r="T2440" s="60" t="str">
        <f>IF(P2440&lt;&gt;"",
    IF(OR(O2440="", Q2440="", R2440=""),
        "Fill all the required columns",
        IFERROR(
            IF(OR(
                AND(R2440="Marine Protected", VLOOKUP(O2440, Reference!$A$2:$D$34, 4, FALSE) &lt;= P2440),
                AND(R2440="General Use", VLOOKUP(O2440, Reference!$A$2:$D$34, 3, FALSE) &lt;= P2440)
            ),
                "Exceeded",
                "OK"
            ),
            "No Regulation defined"
        )
    ),
    ""
)</f>
        <v/>
      </c>
      <c r="AB2440" s="62" t="str">
        <f t="shared" si="38"/>
        <v/>
      </c>
    </row>
    <row r="2441" spans="19:28" x14ac:dyDescent="0.2">
      <c r="S2441" s="34"/>
      <c r="T2441" s="60" t="str">
        <f>IF(P2441&lt;&gt;"",
    IF(OR(O2441="", Q2441="", R2441=""),
        "Fill all the required columns",
        IFERROR(
            IF(OR(
                AND(R2441="Marine Protected", VLOOKUP(O2441, Reference!$A$2:$D$34, 4, FALSE) &lt;= P2441),
                AND(R2441="General Use", VLOOKUP(O2441, Reference!$A$2:$D$34, 3, FALSE) &lt;= P2441)
            ),
                "Exceeded",
                "OK"
            ),
            "No Regulation defined"
        )
    ),
    ""
)</f>
        <v/>
      </c>
      <c r="AB2441" s="62" t="str">
        <f t="shared" si="38"/>
        <v/>
      </c>
    </row>
    <row r="2442" spans="19:28" x14ac:dyDescent="0.2">
      <c r="S2442" s="34"/>
      <c r="T2442" s="60" t="str">
        <f>IF(P2442&lt;&gt;"",
    IF(OR(O2442="", Q2442="", R2442=""),
        "Fill all the required columns",
        IFERROR(
            IF(OR(
                AND(R2442="Marine Protected", VLOOKUP(O2442, Reference!$A$2:$D$34, 4, FALSE) &lt;= P2442),
                AND(R2442="General Use", VLOOKUP(O2442, Reference!$A$2:$D$34, 3, FALSE) &lt;= P2442)
            ),
                "Exceeded",
                "OK"
            ),
            "No Regulation defined"
        )
    ),
    ""
)</f>
        <v/>
      </c>
      <c r="AB2442" s="62" t="str">
        <f t="shared" si="38"/>
        <v/>
      </c>
    </row>
    <row r="2443" spans="19:28" x14ac:dyDescent="0.2">
      <c r="S2443" s="34"/>
      <c r="T2443" s="60" t="str">
        <f>IF(P2443&lt;&gt;"",
    IF(OR(O2443="", Q2443="", R2443=""),
        "Fill all the required columns",
        IFERROR(
            IF(OR(
                AND(R2443="Marine Protected", VLOOKUP(O2443, Reference!$A$2:$D$34, 4, FALSE) &lt;= P2443),
                AND(R2443="General Use", VLOOKUP(O2443, Reference!$A$2:$D$34, 3, FALSE) &lt;= P2443)
            ),
                "Exceeded",
                "OK"
            ),
            "No Regulation defined"
        )
    ),
    ""
)</f>
        <v/>
      </c>
      <c r="AB2443" s="62" t="str">
        <f t="shared" si="38"/>
        <v/>
      </c>
    </row>
    <row r="2444" spans="19:28" x14ac:dyDescent="0.2">
      <c r="T2444" s="60" t="str">
        <f>IF(P2444&lt;&gt;"",
    IF(OR(O2444="", Q2444="", R2444=""),
        "Fill all the required columns",
        IFERROR(
            IF(OR(
                AND(R2444="Marine Protected", VLOOKUP(O2444, Reference!$A$2:$D$34, 4, FALSE) &lt;= P2444),
                AND(R2444="General Use", VLOOKUP(O2444, Reference!$A$2:$D$34, 3, FALSE) &lt;= P2444)
            ),
                "Exceeded",
                "OK"
            ),
            "No Regulation defined"
        )
    ),
    ""
)</f>
        <v/>
      </c>
      <c r="AB2444" s="62" t="str">
        <f t="shared" si="38"/>
        <v/>
      </c>
    </row>
    <row r="2445" spans="19:28" x14ac:dyDescent="0.2">
      <c r="T2445" s="60" t="str">
        <f>IF(P2445&lt;&gt;"",
    IF(OR(O2445="", Q2445="", R2445=""),
        "Fill all the required columns",
        IFERROR(
            IF(OR(
                AND(R2445="Marine Protected", VLOOKUP(O2445, Reference!$A$2:$D$34, 4, FALSE) &lt;= P2445),
                AND(R2445="General Use", VLOOKUP(O2445, Reference!$A$2:$D$34, 3, FALSE) &lt;= P2445)
            ),
                "Exceeded",
                "OK"
            ),
            "No Regulation defined"
        )
    ),
    ""
)</f>
        <v/>
      </c>
      <c r="AB2445" s="62" t="str">
        <f t="shared" si="38"/>
        <v/>
      </c>
    </row>
    <row r="2446" spans="19:28" x14ac:dyDescent="0.2">
      <c r="T2446" s="60" t="str">
        <f>IF(P2446&lt;&gt;"",
    IF(OR(O2446="", Q2446="", R2446=""),
        "Fill all the required columns",
        IFERROR(
            IF(OR(
                AND(R2446="Marine Protected", VLOOKUP(O2446, Reference!$A$2:$D$34, 4, FALSE) &lt;= P2446),
                AND(R2446="General Use", VLOOKUP(O2446, Reference!$A$2:$D$34, 3, FALSE) &lt;= P2446)
            ),
                "Exceeded",
                "OK"
            ),
            "No Regulation defined"
        )
    ),
    ""
)</f>
        <v/>
      </c>
      <c r="AB2446" s="62" t="str">
        <f t="shared" si="38"/>
        <v/>
      </c>
    </row>
    <row r="2447" spans="19:28" x14ac:dyDescent="0.2">
      <c r="T2447" s="60" t="str">
        <f>IF(P2447&lt;&gt;"",
    IF(OR(O2447="", Q2447="", R2447=""),
        "Fill all the required columns",
        IFERROR(
            IF(OR(
                AND(R2447="Marine Protected", VLOOKUP(O2447, Reference!$A$2:$D$34, 4, FALSE) &lt;= P2447),
                AND(R2447="General Use", VLOOKUP(O2447, Reference!$A$2:$D$34, 3, FALSE) &lt;= P2447)
            ),
                "Exceeded",
                "OK"
            ),
            "No Regulation defined"
        )
    ),
    ""
)</f>
        <v/>
      </c>
      <c r="AB2447" s="62" t="str">
        <f t="shared" si="38"/>
        <v/>
      </c>
    </row>
    <row r="2448" spans="19:28" x14ac:dyDescent="0.2">
      <c r="T2448" s="60" t="str">
        <f>IF(P2448&lt;&gt;"",
    IF(OR(O2448="", Q2448="", R2448=""),
        "Fill all the required columns",
        IFERROR(
            IF(OR(
                AND(R2448="Marine Protected", VLOOKUP(O2448, Reference!$A$2:$D$34, 4, FALSE) &lt;= P2448),
                AND(R2448="General Use", VLOOKUP(O2448, Reference!$A$2:$D$34, 3, FALSE) &lt;= P2448)
            ),
                "Exceeded",
                "OK"
            ),
            "No Regulation defined"
        )
    ),
    ""
)</f>
        <v/>
      </c>
      <c r="AB2448" s="62" t="str">
        <f t="shared" si="38"/>
        <v/>
      </c>
    </row>
    <row r="2449" spans="20:28" x14ac:dyDescent="0.2">
      <c r="T2449" s="60" t="str">
        <f>IF(P2449&lt;&gt;"",
    IF(OR(O2449="", Q2449="", R2449=""),
        "Fill all the required columns",
        IFERROR(
            IF(OR(
                AND(R2449="Marine Protected", VLOOKUP(O2449, Reference!$A$2:$D$34, 4, FALSE) &lt;= P2449),
                AND(R2449="General Use", VLOOKUP(O2449, Reference!$A$2:$D$34, 3, FALSE) &lt;= P2449)
            ),
                "Exceeded",
                "OK"
            ),
            "No Regulation defined"
        )
    ),
    ""
)</f>
        <v/>
      </c>
      <c r="AB2449" s="62" t="str">
        <f t="shared" si="38"/>
        <v/>
      </c>
    </row>
    <row r="2450" spans="20:28" x14ac:dyDescent="0.2">
      <c r="T2450" s="60" t="str">
        <f>IF(P2450&lt;&gt;"",
    IF(OR(O2450="", Q2450="", R2450=""),
        "Fill all the required columns",
        IFERROR(
            IF(OR(
                AND(R2450="Marine Protected", VLOOKUP(O2450, Reference!$A$2:$D$34, 4, FALSE) &lt;= P2450),
                AND(R2450="General Use", VLOOKUP(O2450, Reference!$A$2:$D$34, 3, FALSE) &lt;= P2450)
            ),
                "Exceeded",
                "OK"
            ),
            "No Regulation defined"
        )
    ),
    ""
)</f>
        <v/>
      </c>
      <c r="AB2450" s="62" t="str">
        <f t="shared" si="38"/>
        <v/>
      </c>
    </row>
    <row r="2451" spans="20:28" x14ac:dyDescent="0.2">
      <c r="T2451" s="60" t="str">
        <f>IF(P2451&lt;&gt;"",
    IF(OR(O2451="", Q2451="", R2451=""),
        "Fill all the required columns",
        IFERROR(
            IF(OR(
                AND(R2451="Marine Protected", VLOOKUP(O2451, Reference!$A$2:$D$34, 4, FALSE) &lt;= P2451),
                AND(R2451="General Use", VLOOKUP(O2451, Reference!$A$2:$D$34, 3, FALSE) &lt;= P2451)
            ),
                "Exceeded",
                "OK"
            ),
            "No Regulation defined"
        )
    ),
    ""
)</f>
        <v/>
      </c>
      <c r="AB2451" s="62" t="str">
        <f t="shared" si="38"/>
        <v/>
      </c>
    </row>
    <row r="2452" spans="20:28" x14ac:dyDescent="0.2">
      <c r="T2452" s="60" t="str">
        <f>IF(P2452&lt;&gt;"",
    IF(OR(O2452="", Q2452="", R2452=""),
        "Fill all the required columns",
        IFERROR(
            IF(OR(
                AND(R2452="Marine Protected", VLOOKUP(O2452, Reference!$A$2:$D$34, 4, FALSE) &lt;= P2452),
                AND(R2452="General Use", VLOOKUP(O2452, Reference!$A$2:$D$34, 3, FALSE) &lt;= P2452)
            ),
                "Exceeded",
                "OK"
            ),
            "No Regulation defined"
        )
    ),
    ""
)</f>
        <v/>
      </c>
      <c r="AB2452" s="62" t="str">
        <f t="shared" si="38"/>
        <v/>
      </c>
    </row>
    <row r="2453" spans="20:28" x14ac:dyDescent="0.2">
      <c r="T2453" s="60" t="str">
        <f>IF(P2453&lt;&gt;"",
    IF(OR(O2453="", Q2453="", R2453=""),
        "Fill all the required columns",
        IFERROR(
            IF(OR(
                AND(R2453="Marine Protected", VLOOKUP(O2453, Reference!$A$2:$D$34, 4, FALSE) &lt;= P2453),
                AND(R2453="General Use", VLOOKUP(O2453, Reference!$A$2:$D$34, 3, FALSE) &lt;= P2453)
            ),
                "Exceeded",
                "OK"
            ),
            "No Regulation defined"
        )
    ),
    ""
)</f>
        <v/>
      </c>
      <c r="AB2453" s="62" t="str">
        <f t="shared" si="38"/>
        <v/>
      </c>
    </row>
    <row r="2454" spans="20:28" x14ac:dyDescent="0.2">
      <c r="T2454" s="60" t="str">
        <f>IF(P2454&lt;&gt;"",
    IF(OR(O2454="", Q2454="", R2454=""),
        "Fill all the required columns",
        IFERROR(
            IF(OR(
                AND(R2454="Marine Protected", VLOOKUP(O2454, Reference!$A$2:$D$34, 4, FALSE) &lt;= P2454),
                AND(R2454="General Use", VLOOKUP(O2454, Reference!$A$2:$D$34, 3, FALSE) &lt;= P2454)
            ),
                "Exceeded",
                "OK"
            ),
            "No Regulation defined"
        )
    ),
    ""
)</f>
        <v/>
      </c>
      <c r="AB2454" s="62" t="str">
        <f t="shared" si="38"/>
        <v/>
      </c>
    </row>
    <row r="2455" spans="20:28" x14ac:dyDescent="0.2">
      <c r="T2455" s="60" t="str">
        <f>IF(P2455&lt;&gt;"",
    IF(OR(O2455="", Q2455="", R2455=""),
        "Fill all the required columns",
        IFERROR(
            IF(OR(
                AND(R2455="Marine Protected", VLOOKUP(O2455, Reference!$A$2:$D$34, 4, FALSE) &lt;= P2455),
                AND(R2455="General Use", VLOOKUP(O2455, Reference!$A$2:$D$34, 3, FALSE) &lt;= P2455)
            ),
                "Exceeded",
                "OK"
            ),
            "No Regulation defined"
        )
    ),
    ""
)</f>
        <v/>
      </c>
      <c r="AB2455" s="62" t="str">
        <f t="shared" si="38"/>
        <v/>
      </c>
    </row>
    <row r="2456" spans="20:28" x14ac:dyDescent="0.2">
      <c r="T2456" s="60" t="str">
        <f>IF(P2456&lt;&gt;"",
    IF(OR(O2456="", Q2456="", R2456=""),
        "Fill all the required columns",
        IFERROR(
            IF(OR(
                AND(R2456="Marine Protected", VLOOKUP(O2456, Reference!$A$2:$D$34, 4, FALSE) &lt;= P2456),
                AND(R2456="General Use", VLOOKUP(O2456, Reference!$A$2:$D$34, 3, FALSE) &lt;= P2456)
            ),
                "Exceeded",
                "OK"
            ),
            "No Regulation defined"
        )
    ),
    ""
)</f>
        <v/>
      </c>
      <c r="AB2456" s="62" t="str">
        <f t="shared" si="38"/>
        <v/>
      </c>
    </row>
    <row r="2457" spans="20:28" x14ac:dyDescent="0.2">
      <c r="T2457" s="60" t="str">
        <f>IF(P2457&lt;&gt;"",
    IF(OR(O2457="", Q2457="", R2457=""),
        "Fill all the required columns",
        IFERROR(
            IF(OR(
                AND(R2457="Marine Protected", VLOOKUP(O2457, Reference!$A$2:$D$34, 4, FALSE) &lt;= P2457),
                AND(R2457="General Use", VLOOKUP(O2457, Reference!$A$2:$D$34, 3, FALSE) &lt;= P2457)
            ),
                "Exceeded",
                "OK"
            ),
            "No Regulation defined"
        )
    ),
    ""
)</f>
        <v/>
      </c>
      <c r="AB2457" s="62" t="str">
        <f t="shared" si="38"/>
        <v/>
      </c>
    </row>
    <row r="2458" spans="20:28" x14ac:dyDescent="0.2">
      <c r="T2458" s="60" t="str">
        <f>IF(P2458&lt;&gt;"",
    IF(OR(O2458="", Q2458="", R2458=""),
        "Fill all the required columns",
        IFERROR(
            IF(OR(
                AND(R2458="Marine Protected", VLOOKUP(O2458, Reference!$A$2:$D$34, 4, FALSE) &lt;= P2458),
                AND(R2458="General Use", VLOOKUP(O2458, Reference!$A$2:$D$34, 3, FALSE) &lt;= P2458)
            ),
                "Exceeded",
                "OK"
            ),
            "No Regulation defined"
        )
    ),
    ""
)</f>
        <v/>
      </c>
      <c r="AB2458" s="62" t="str">
        <f t="shared" si="38"/>
        <v/>
      </c>
    </row>
    <row r="2459" spans="20:28" x14ac:dyDescent="0.2">
      <c r="T2459" s="60" t="str">
        <f>IF(P2459&lt;&gt;"",
    IF(OR(O2459="", Q2459="", R2459=""),
        "Fill all the required columns",
        IFERROR(
            IF(OR(
                AND(R2459="Marine Protected", VLOOKUP(O2459, Reference!$A$2:$D$34, 4, FALSE) &lt;= P2459),
                AND(R2459="General Use", VLOOKUP(O2459, Reference!$A$2:$D$34, 3, FALSE) &lt;= P2459)
            ),
                "Exceeded",
                "OK"
            ),
            "No Regulation defined"
        )
    ),
    ""
)</f>
        <v/>
      </c>
      <c r="AB2459" s="62" t="str">
        <f t="shared" si="38"/>
        <v/>
      </c>
    </row>
    <row r="2460" spans="20:28" x14ac:dyDescent="0.2">
      <c r="T2460" s="60" t="str">
        <f>IF(P2460&lt;&gt;"",
    IF(OR(O2460="", Q2460="", R2460=""),
        "Fill all the required columns",
        IFERROR(
            IF(OR(
                AND(R2460="Marine Protected", VLOOKUP(O2460, Reference!$A$2:$D$34, 4, FALSE) &lt;= P2460),
                AND(R2460="General Use", VLOOKUP(O2460, Reference!$A$2:$D$34, 3, FALSE) &lt;= P2460)
            ),
                "Exceeded",
                "OK"
            ),
            "No Regulation defined"
        )
    ),
    ""
)</f>
        <v/>
      </c>
      <c r="AB2460" s="62" t="str">
        <f t="shared" si="38"/>
        <v/>
      </c>
    </row>
    <row r="2461" spans="20:28" x14ac:dyDescent="0.2">
      <c r="T2461" s="60" t="str">
        <f>IF(P2461&lt;&gt;"",
    IF(OR(O2461="", Q2461="", R2461=""),
        "Fill all the required columns",
        IFERROR(
            IF(OR(
                AND(R2461="Marine Protected", VLOOKUP(O2461, Reference!$A$2:$D$34, 4, FALSE) &lt;= P2461),
                AND(R2461="General Use", VLOOKUP(O2461, Reference!$A$2:$D$34, 3, FALSE) &lt;= P2461)
            ),
                "Exceeded",
                "OK"
            ),
            "No Regulation defined"
        )
    ),
    ""
)</f>
        <v/>
      </c>
      <c r="AB2461" s="62" t="str">
        <f t="shared" si="38"/>
        <v/>
      </c>
    </row>
    <row r="2462" spans="20:28" x14ac:dyDescent="0.2">
      <c r="T2462" s="60" t="str">
        <f>IF(P2462&lt;&gt;"",
    IF(OR(O2462="", Q2462="", R2462=""),
        "Fill all the required columns",
        IFERROR(
            IF(OR(
                AND(R2462="Marine Protected", VLOOKUP(O2462, Reference!$A$2:$D$34, 4, FALSE) &lt;= P2462),
                AND(R2462="General Use", VLOOKUP(O2462, Reference!$A$2:$D$34, 3, FALSE) &lt;= P2462)
            ),
                "Exceeded",
                "OK"
            ),
            "No Regulation defined"
        )
    ),
    ""
)</f>
        <v/>
      </c>
      <c r="AB2462" s="62" t="str">
        <f t="shared" si="38"/>
        <v/>
      </c>
    </row>
    <row r="2463" spans="20:28" x14ac:dyDescent="0.2">
      <c r="T2463" s="60" t="str">
        <f>IF(P2463&lt;&gt;"",
    IF(OR(O2463="", Q2463="", R2463=""),
        "Fill all the required columns",
        IFERROR(
            IF(OR(
                AND(R2463="Marine Protected", VLOOKUP(O2463, Reference!$A$2:$D$34, 4, FALSE) &lt;= P2463),
                AND(R2463="General Use", VLOOKUP(O2463, Reference!$A$2:$D$34, 3, FALSE) &lt;= P2463)
            ),
                "Exceeded",
                "OK"
            ),
            "No Regulation defined"
        )
    ),
    ""
)</f>
        <v/>
      </c>
      <c r="AB2463" s="62" t="str">
        <f t="shared" si="38"/>
        <v/>
      </c>
    </row>
    <row r="2464" spans="20:28" x14ac:dyDescent="0.2">
      <c r="T2464" s="60" t="str">
        <f>IF(P2464&lt;&gt;"",
    IF(OR(O2464="", Q2464="", R2464=""),
        "Fill all the required columns",
        IFERROR(
            IF(OR(
                AND(R2464="Marine Protected", VLOOKUP(O2464, Reference!$A$2:$D$34, 4, FALSE) &lt;= P2464),
                AND(R2464="General Use", VLOOKUP(O2464, Reference!$A$2:$D$34, 3, FALSE) &lt;= P2464)
            ),
                "Exceeded",
                "OK"
            ),
            "No Regulation defined"
        )
    ),
    ""
)</f>
        <v/>
      </c>
      <c r="AB2464" s="62" t="str">
        <f t="shared" si="38"/>
        <v/>
      </c>
    </row>
    <row r="2465" spans="20:28" x14ac:dyDescent="0.2">
      <c r="T2465" s="60" t="str">
        <f>IF(P2465&lt;&gt;"",
    IF(OR(O2465="", Q2465="", R2465=""),
        "Fill all the required columns",
        IFERROR(
            IF(OR(
                AND(R2465="Marine Protected", VLOOKUP(O2465, Reference!$A$2:$D$34, 4, FALSE) &lt;= P2465),
                AND(R2465="General Use", VLOOKUP(O2465, Reference!$A$2:$D$34, 3, FALSE) &lt;= P2465)
            ),
                "Exceeded",
                "OK"
            ),
            "No Regulation defined"
        )
    ),
    ""
)</f>
        <v/>
      </c>
      <c r="AB2465" s="62" t="str">
        <f t="shared" si="38"/>
        <v/>
      </c>
    </row>
    <row r="2466" spans="20:28" x14ac:dyDescent="0.2">
      <c r="T2466" s="60" t="str">
        <f>IF(P2466&lt;&gt;"",
    IF(OR(O2466="", Q2466="", R2466=""),
        "Fill all the required columns",
        IFERROR(
            IF(OR(
                AND(R2466="Marine Protected", VLOOKUP(O2466, Reference!$A$2:$D$34, 4, FALSE) &lt;= P2466),
                AND(R2466="General Use", VLOOKUP(O2466, Reference!$A$2:$D$34, 3, FALSE) &lt;= P2466)
            ),
                "Exceeded",
                "OK"
            ),
            "No Regulation defined"
        )
    ),
    ""
)</f>
        <v/>
      </c>
      <c r="AB2466" s="62" t="str">
        <f t="shared" si="38"/>
        <v/>
      </c>
    </row>
    <row r="2467" spans="20:28" x14ac:dyDescent="0.2">
      <c r="T2467" s="60" t="str">
        <f>IF(P2467&lt;&gt;"",
    IF(OR(O2467="", Q2467="", R2467=""),
        "Fill all the required columns",
        IFERROR(
            IF(OR(
                AND(R2467="Marine Protected", VLOOKUP(O2467, Reference!$A$2:$D$34, 4, FALSE) &lt;= P2467),
                AND(R2467="General Use", VLOOKUP(O2467, Reference!$A$2:$D$34, 3, FALSE) &lt;= P2467)
            ),
                "Exceeded",
                "OK"
            ),
            "No Regulation defined"
        )
    ),
    ""
)</f>
        <v/>
      </c>
      <c r="AB2467" s="62" t="str">
        <f t="shared" si="38"/>
        <v/>
      </c>
    </row>
    <row r="2468" spans="20:28" x14ac:dyDescent="0.2">
      <c r="T2468" s="60" t="str">
        <f>IF(P2468&lt;&gt;"",
    IF(OR(O2468="", Q2468="", R2468=""),
        "Fill all the required columns",
        IFERROR(
            IF(OR(
                AND(R2468="Marine Protected", VLOOKUP(O2468, Reference!$A$2:$D$34, 4, FALSE) &lt;= P2468),
                AND(R2468="General Use", VLOOKUP(O2468, Reference!$A$2:$D$34, 3, FALSE) &lt;= P2468)
            ),
                "Exceeded",
                "OK"
            ),
            "No Regulation defined"
        )
    ),
    ""
)</f>
        <v/>
      </c>
      <c r="AB2468" s="62" t="str">
        <f t="shared" si="38"/>
        <v/>
      </c>
    </row>
    <row r="2469" spans="20:28" x14ac:dyDescent="0.2">
      <c r="T2469" s="60" t="str">
        <f>IF(P2469&lt;&gt;"",
    IF(OR(O2469="", Q2469="", R2469=""),
        "Fill all the required columns",
        IFERROR(
            IF(OR(
                AND(R2469="Marine Protected", VLOOKUP(O2469, Reference!$A$2:$D$34, 4, FALSE) &lt;= P2469),
                AND(R2469="General Use", VLOOKUP(O2469, Reference!$A$2:$D$34, 3, FALSE) &lt;= P2469)
            ),
                "Exceeded",
                "OK"
            ),
            "No Regulation defined"
        )
    ),
    ""
)</f>
        <v/>
      </c>
      <c r="AB2469" s="62" t="str">
        <f t="shared" si="38"/>
        <v/>
      </c>
    </row>
    <row r="2470" spans="20:28" x14ac:dyDescent="0.2">
      <c r="T2470" s="60" t="str">
        <f>IF(P2470&lt;&gt;"",
    IF(OR(O2470="", Q2470="", R2470=""),
        "Fill all the required columns",
        IFERROR(
            IF(OR(
                AND(R2470="Marine Protected", VLOOKUP(O2470, Reference!$A$2:$D$34, 4, FALSE) &lt;= P2470),
                AND(R2470="General Use", VLOOKUP(O2470, Reference!$A$2:$D$34, 3, FALSE) &lt;= P2470)
            ),
                "Exceeded",
                "OK"
            ),
            "No Regulation defined"
        )
    ),
    ""
)</f>
        <v/>
      </c>
      <c r="AB2470" s="62" t="str">
        <f t="shared" si="38"/>
        <v/>
      </c>
    </row>
    <row r="2471" spans="20:28" x14ac:dyDescent="0.2">
      <c r="T2471" s="60" t="str">
        <f>IF(P2471&lt;&gt;"",
    IF(OR(O2471="", Q2471="", R2471=""),
        "Fill all the required columns",
        IFERROR(
            IF(OR(
                AND(R2471="Marine Protected", VLOOKUP(O2471, Reference!$A$2:$D$34, 4, FALSE) &lt;= P2471),
                AND(R2471="General Use", VLOOKUP(O2471, Reference!$A$2:$D$34, 3, FALSE) &lt;= P2471)
            ),
                "Exceeded",
                "OK"
            ),
            "No Regulation defined"
        )
    ),
    ""
)</f>
        <v/>
      </c>
      <c r="AB2471" s="62" t="str">
        <f t="shared" si="38"/>
        <v/>
      </c>
    </row>
    <row r="2472" spans="20:28" x14ac:dyDescent="0.2">
      <c r="T2472" s="60" t="str">
        <f>IF(P2472&lt;&gt;"",
    IF(OR(O2472="", Q2472="", R2472=""),
        "Fill all the required columns",
        IFERROR(
            IF(OR(
                AND(R2472="Marine Protected", VLOOKUP(O2472, Reference!$A$2:$D$34, 4, FALSE) &lt;= P2472),
                AND(R2472="General Use", VLOOKUP(O2472, Reference!$A$2:$D$34, 3, FALSE) &lt;= P2472)
            ),
                "Exceeded",
                "OK"
            ),
            "No Regulation defined"
        )
    ),
    ""
)</f>
        <v/>
      </c>
      <c r="AB2472" s="62" t="str">
        <f t="shared" si="38"/>
        <v/>
      </c>
    </row>
    <row r="2473" spans="20:28" x14ac:dyDescent="0.2">
      <c r="T2473" s="60" t="str">
        <f>IF(P2473&lt;&gt;"",
    IF(OR(O2473="", Q2473="", R2473=""),
        "Fill all the required columns",
        IFERROR(
            IF(OR(
                AND(R2473="Marine Protected", VLOOKUP(O2473, Reference!$A$2:$D$34, 4, FALSE) &lt;= P2473),
                AND(R2473="General Use", VLOOKUP(O2473, Reference!$A$2:$D$34, 3, FALSE) &lt;= P2473)
            ),
                "Exceeded",
                "OK"
            ),
            "No Regulation defined"
        )
    ),
    ""
)</f>
        <v/>
      </c>
      <c r="AB2473" s="62" t="str">
        <f t="shared" si="38"/>
        <v/>
      </c>
    </row>
    <row r="2474" spans="20:28" x14ac:dyDescent="0.2">
      <c r="T2474" s="60" t="str">
        <f>IF(P2474&lt;&gt;"",
    IF(OR(O2474="", Q2474="", R2474=""),
        "Fill all the required columns",
        IFERROR(
            IF(OR(
                AND(R2474="Marine Protected", VLOOKUP(O2474, Reference!$A$2:$D$34, 4, FALSE) &lt;= P2474),
                AND(R2474="General Use", VLOOKUP(O2474, Reference!$A$2:$D$34, 3, FALSE) &lt;= P2474)
            ),
                "Exceeded",
                "OK"
            ),
            "No Regulation defined"
        )
    ),
    ""
)</f>
        <v/>
      </c>
      <c r="AB2474" s="62" t="str">
        <f t="shared" si="38"/>
        <v/>
      </c>
    </row>
    <row r="2475" spans="20:28" x14ac:dyDescent="0.2">
      <c r="T2475" s="60" t="str">
        <f>IF(P2475&lt;&gt;"",
    IF(OR(O2475="", Q2475="", R2475=""),
        "Fill all the required columns",
        IFERROR(
            IF(OR(
                AND(R2475="Marine Protected", VLOOKUP(O2475, Reference!$A$2:$D$34, 4, FALSE) &lt;= P2475),
                AND(R2475="General Use", VLOOKUP(O2475, Reference!$A$2:$D$34, 3, FALSE) &lt;= P2475)
            ),
                "Exceeded",
                "OK"
            ),
            "No Regulation defined"
        )
    ),
    ""
)</f>
        <v/>
      </c>
      <c r="AB2475" s="62" t="str">
        <f t="shared" si="38"/>
        <v/>
      </c>
    </row>
    <row r="2476" spans="20:28" x14ac:dyDescent="0.2">
      <c r="T2476" s="60" t="str">
        <f>IF(P2476&lt;&gt;"",
    IF(OR(O2476="", Q2476="", R2476=""),
        "Fill all the required columns",
        IFERROR(
            IF(OR(
                AND(R2476="Marine Protected", VLOOKUP(O2476, Reference!$A$2:$D$34, 4, FALSE) &lt;= P2476),
                AND(R2476="General Use", VLOOKUP(O2476, Reference!$A$2:$D$34, 3, FALSE) &lt;= P2476)
            ),
                "Exceeded",
                "OK"
            ),
            "No Regulation defined"
        )
    ),
    ""
)</f>
        <v/>
      </c>
      <c r="AB2476" s="62" t="str">
        <f t="shared" si="38"/>
        <v/>
      </c>
    </row>
    <row r="2477" spans="20:28" x14ac:dyDescent="0.2">
      <c r="T2477" s="60" t="str">
        <f>IF(P2477&lt;&gt;"",
    IF(OR(O2477="", Q2477="", R2477=""),
        "Fill all the required columns",
        IFERROR(
            IF(OR(
                AND(R2477="Marine Protected", VLOOKUP(O2477, Reference!$A$2:$D$34, 4, FALSE) &lt;= P2477),
                AND(R2477="General Use", VLOOKUP(O2477, Reference!$A$2:$D$34, 3, FALSE) &lt;= P2477)
            ),
                "Exceeded",
                "OK"
            ),
            "No Regulation defined"
        )
    ),
    ""
)</f>
        <v/>
      </c>
      <c r="AB2477" s="62" t="str">
        <f t="shared" si="38"/>
        <v/>
      </c>
    </row>
    <row r="2478" spans="20:28" x14ac:dyDescent="0.2">
      <c r="T2478" s="60" t="str">
        <f>IF(P2478&lt;&gt;"",
    IF(OR(O2478="", Q2478="", R2478=""),
        "Fill all the required columns",
        IFERROR(
            IF(OR(
                AND(R2478="Marine Protected", VLOOKUP(O2478, Reference!$A$2:$D$34, 4, FALSE) &lt;= P2478),
                AND(R2478="General Use", VLOOKUP(O2478, Reference!$A$2:$D$34, 3, FALSE) &lt;= P2478)
            ),
                "Exceeded",
                "OK"
            ),
            "No Regulation defined"
        )
    ),
    ""
)</f>
        <v/>
      </c>
      <c r="AB2478" s="62" t="str">
        <f t="shared" si="38"/>
        <v/>
      </c>
    </row>
    <row r="2479" spans="20:28" x14ac:dyDescent="0.2">
      <c r="T2479" s="60" t="str">
        <f>IF(P2479&lt;&gt;"",
    IF(OR(O2479="", Q2479="", R2479=""),
        "Fill all the required columns",
        IFERROR(
            IF(OR(
                AND(R2479="Marine Protected", VLOOKUP(O2479, Reference!$A$2:$D$34, 4, FALSE) &lt;= P2479),
                AND(R2479="General Use", VLOOKUP(O2479, Reference!$A$2:$D$34, 3, FALSE) &lt;= P2479)
            ),
                "Exceeded",
                "OK"
            ),
            "No Regulation defined"
        )
    ),
    ""
)</f>
        <v/>
      </c>
      <c r="AB2479" s="62" t="str">
        <f t="shared" si="38"/>
        <v/>
      </c>
    </row>
    <row r="2480" spans="20:28" x14ac:dyDescent="0.2">
      <c r="T2480" s="60" t="str">
        <f>IF(P2480&lt;&gt;"",
    IF(OR(O2480="", Q2480="", R2480=""),
        "Fill all the required columns",
        IFERROR(
            IF(OR(
                AND(R2480="Marine Protected", VLOOKUP(O2480, Reference!$A$2:$D$34, 4, FALSE) &lt;= P2480),
                AND(R2480="General Use", VLOOKUP(O2480, Reference!$A$2:$D$34, 3, FALSE) &lt;= P2480)
            ),
                "Exceeded",
                "OK"
            ),
            "No Regulation defined"
        )
    ),
    ""
)</f>
        <v/>
      </c>
      <c r="AB2480" s="62" t="str">
        <f t="shared" si="38"/>
        <v/>
      </c>
    </row>
    <row r="2481" spans="20:28" x14ac:dyDescent="0.2">
      <c r="T2481" s="60" t="str">
        <f>IF(P2481&lt;&gt;"",
    IF(OR(O2481="", Q2481="", R2481=""),
        "Fill all the required columns",
        IFERROR(
            IF(OR(
                AND(R2481="Marine Protected", VLOOKUP(O2481, Reference!$A$2:$D$34, 4, FALSE) &lt;= P2481),
                AND(R2481="General Use", VLOOKUP(O2481, Reference!$A$2:$D$34, 3, FALSE) &lt;= P2481)
            ),
                "Exceeded",
                "OK"
            ),
            "No Regulation defined"
        )
    ),
    ""
)</f>
        <v/>
      </c>
      <c r="AB2481" s="62" t="str">
        <f t="shared" si="38"/>
        <v/>
      </c>
    </row>
    <row r="2482" spans="20:28" x14ac:dyDescent="0.2">
      <c r="T2482" s="60" t="str">
        <f>IF(P2482&lt;&gt;"",
    IF(OR(O2482="", Q2482="", R2482=""),
        "Fill all the required columns",
        IFERROR(
            IF(OR(
                AND(R2482="Marine Protected", VLOOKUP(O2482, Reference!$A$2:$D$34, 4, FALSE) &lt;= P2482),
                AND(R2482="General Use", VLOOKUP(O2482, Reference!$A$2:$D$34, 3, FALSE) &lt;= P2482)
            ),
                "Exceeded",
                "OK"
            ),
            "No Regulation defined"
        )
    ),
    ""
)</f>
        <v/>
      </c>
      <c r="AB2482" s="62" t="str">
        <f t="shared" si="38"/>
        <v/>
      </c>
    </row>
    <row r="2483" spans="20:28" x14ac:dyDescent="0.2">
      <c r="T2483" s="60" t="str">
        <f>IF(P2483&lt;&gt;"",
    IF(OR(O2483="", Q2483="", R2483=""),
        "Fill all the required columns",
        IFERROR(
            IF(OR(
                AND(R2483="Marine Protected", VLOOKUP(O2483, Reference!$A$2:$D$34, 4, FALSE) &lt;= P2483),
                AND(R2483="General Use", VLOOKUP(O2483, Reference!$A$2:$D$34, 3, FALSE) &lt;= P2483)
            ),
                "Exceeded",
                "OK"
            ),
            "No Regulation defined"
        )
    ),
    ""
)</f>
        <v/>
      </c>
      <c r="AB2483" s="62" t="str">
        <f t="shared" si="38"/>
        <v/>
      </c>
    </row>
    <row r="2484" spans="20:28" x14ac:dyDescent="0.2">
      <c r="T2484" s="60" t="str">
        <f>IF(P2484&lt;&gt;"",
    IF(OR(O2484="", Q2484="", R2484=""),
        "Fill all the required columns",
        IFERROR(
            IF(OR(
                AND(R2484="Marine Protected", VLOOKUP(O2484, Reference!$A$2:$D$34, 4, FALSE) &lt;= P2484),
                AND(R2484="General Use", VLOOKUP(O2484, Reference!$A$2:$D$34, 3, FALSE) &lt;= P2484)
            ),
                "Exceeded",
                "OK"
            ),
            "No Regulation defined"
        )
    ),
    ""
)</f>
        <v/>
      </c>
      <c r="AB2484" s="62" t="str">
        <f t="shared" si="38"/>
        <v/>
      </c>
    </row>
    <row r="2485" spans="20:28" x14ac:dyDescent="0.2">
      <c r="T2485" s="60" t="str">
        <f>IF(P2485&lt;&gt;"",
    IF(OR(O2485="", Q2485="", R2485=""),
        "Fill all the required columns",
        IFERROR(
            IF(OR(
                AND(R2485="Marine Protected", VLOOKUP(O2485, Reference!$A$2:$D$34, 4, FALSE) &lt;= P2485),
                AND(R2485="General Use", VLOOKUP(O2485, Reference!$A$2:$D$34, 3, FALSE) &lt;= P2485)
            ),
                "Exceeded",
                "OK"
            ),
            "No Regulation defined"
        )
    ),
    ""
)</f>
        <v/>
      </c>
      <c r="AB2485" s="62" t="str">
        <f t="shared" si="38"/>
        <v/>
      </c>
    </row>
    <row r="2486" spans="20:28" x14ac:dyDescent="0.2">
      <c r="T2486" s="60" t="str">
        <f>IF(P2486&lt;&gt;"",
    IF(OR(O2486="", Q2486="", R2486=""),
        "Fill all the required columns",
        IFERROR(
            IF(OR(
                AND(R2486="Marine Protected", VLOOKUP(O2486, Reference!$A$2:$D$34, 4, FALSE) &lt;= P2486),
                AND(R2486="General Use", VLOOKUP(O2486, Reference!$A$2:$D$34, 3, FALSE) &lt;= P2486)
            ),
                "Exceeded",
                "OK"
            ),
            "No Regulation defined"
        )
    ),
    ""
)</f>
        <v/>
      </c>
      <c r="AB2486" s="62" t="str">
        <f t="shared" si="38"/>
        <v/>
      </c>
    </row>
    <row r="2487" spans="20:28" x14ac:dyDescent="0.2">
      <c r="T2487" s="60" t="str">
        <f>IF(P2487&lt;&gt;"",
    IF(OR(O2487="", Q2487="", R2487=""),
        "Fill all the required columns",
        IFERROR(
            IF(OR(
                AND(R2487="Marine Protected", VLOOKUP(O2487, Reference!$A$2:$D$34, 4, FALSE) &lt;= P2487),
                AND(R2487="General Use", VLOOKUP(O2487, Reference!$A$2:$D$34, 3, FALSE) &lt;= P2487)
            ),
                "Exceeded",
                "OK"
            ),
            "No Regulation defined"
        )
    ),
    ""
)</f>
        <v/>
      </c>
      <c r="AB2487" s="62" t="str">
        <f t="shared" si="38"/>
        <v/>
      </c>
    </row>
    <row r="2488" spans="20:28" x14ac:dyDescent="0.2">
      <c r="T2488" s="60" t="str">
        <f>IF(P2488&lt;&gt;"",
    IF(OR(O2488="", Q2488="", R2488=""),
        "Fill all the required columns",
        IFERROR(
            IF(OR(
                AND(R2488="Marine Protected", VLOOKUP(O2488, Reference!$A$2:$D$34, 4, FALSE) &lt;= P2488),
                AND(R2488="General Use", VLOOKUP(O2488, Reference!$A$2:$D$34, 3, FALSE) &lt;= P2488)
            ),
                "Exceeded",
                "OK"
            ),
            "No Regulation defined"
        )
    ),
    ""
)</f>
        <v/>
      </c>
      <c r="AB2488" s="62" t="str">
        <f t="shared" si="38"/>
        <v/>
      </c>
    </row>
    <row r="2489" spans="20:28" x14ac:dyDescent="0.2">
      <c r="T2489" s="60" t="str">
        <f>IF(P2489&lt;&gt;"",
    IF(OR(O2489="", Q2489="", R2489=""),
        "Fill all the required columns",
        IFERROR(
            IF(OR(
                AND(R2489="Marine Protected", VLOOKUP(O2489, Reference!$A$2:$D$34, 4, FALSE) &lt;= P2489),
                AND(R2489="General Use", VLOOKUP(O2489, Reference!$A$2:$D$34, 3, FALSE) &lt;= P2489)
            ),
                "Exceeded",
                "OK"
            ),
            "No Regulation defined"
        )
    ),
    ""
)</f>
        <v/>
      </c>
      <c r="AB2489" s="62" t="str">
        <f t="shared" si="38"/>
        <v/>
      </c>
    </row>
    <row r="2490" spans="20:28" x14ac:dyDescent="0.2">
      <c r="T2490" s="60" t="str">
        <f>IF(P2490&lt;&gt;"",
    IF(OR(O2490="", Q2490="", R2490=""),
        "Fill all the required columns",
        IFERROR(
            IF(OR(
                AND(R2490="Marine Protected", VLOOKUP(O2490, Reference!$A$2:$D$34, 4, FALSE) &lt;= P2490),
                AND(R2490="General Use", VLOOKUP(O2490, Reference!$A$2:$D$34, 3, FALSE) &lt;= P2490)
            ),
                "Exceeded",
                "OK"
            ),
            "No Regulation defined"
        )
    ),
    ""
)</f>
        <v/>
      </c>
      <c r="AB2490" s="62" t="str">
        <f t="shared" si="38"/>
        <v/>
      </c>
    </row>
    <row r="2491" spans="20:28" x14ac:dyDescent="0.2">
      <c r="T2491" s="60" t="str">
        <f>IF(P2491&lt;&gt;"",
    IF(OR(O2491="", Q2491="", R2491=""),
        "Fill all the required columns",
        IFERROR(
            IF(OR(
                AND(R2491="Marine Protected", VLOOKUP(O2491, Reference!$A$2:$D$34, 4, FALSE) &lt;= P2491),
                AND(R2491="General Use", VLOOKUP(O2491, Reference!$A$2:$D$34, 3, FALSE) &lt;= P2491)
            ),
                "Exceeded",
                "OK"
            ),
            "No Regulation defined"
        )
    ),
    ""
)</f>
        <v/>
      </c>
      <c r="AB2491" s="62" t="str">
        <f t="shared" si="38"/>
        <v/>
      </c>
    </row>
    <row r="2492" spans="20:28" x14ac:dyDescent="0.2">
      <c r="T2492" s="60" t="str">
        <f>IF(P2492&lt;&gt;"",
    IF(OR(O2492="", Q2492="", R2492=""),
        "Fill all the required columns",
        IFERROR(
            IF(OR(
                AND(R2492="Marine Protected", VLOOKUP(O2492, Reference!$A$2:$D$34, 4, FALSE) &lt;= P2492),
                AND(R2492="General Use", VLOOKUP(O2492, Reference!$A$2:$D$34, 3, FALSE) &lt;= P2492)
            ),
                "Exceeded",
                "OK"
            ),
            "No Regulation defined"
        )
    ),
    ""
)</f>
        <v/>
      </c>
      <c r="AB2492" s="62" t="str">
        <f t="shared" si="38"/>
        <v/>
      </c>
    </row>
    <row r="2493" spans="20:28" x14ac:dyDescent="0.2">
      <c r="T2493" s="60" t="str">
        <f>IF(P2493&lt;&gt;"",
    IF(OR(O2493="", Q2493="", R2493=""),
        "Fill all the required columns",
        IFERROR(
            IF(OR(
                AND(R2493="Marine Protected", VLOOKUP(O2493, Reference!$A$2:$D$34, 4, FALSE) &lt;= P2493),
                AND(R2493="General Use", VLOOKUP(O2493, Reference!$A$2:$D$34, 3, FALSE) &lt;= P2493)
            ),
                "Exceeded",
                "OK"
            ),
            "No Regulation defined"
        )
    ),
    ""
)</f>
        <v/>
      </c>
      <c r="AB2493" s="62" t="str">
        <f t="shared" si="38"/>
        <v/>
      </c>
    </row>
    <row r="2494" spans="20:28" x14ac:dyDescent="0.2">
      <c r="T2494" s="60" t="str">
        <f>IF(P2494&lt;&gt;"",
    IF(OR(O2494="", Q2494="", R2494=""),
        "Fill all the required columns",
        IFERROR(
            IF(OR(
                AND(R2494="Marine Protected", VLOOKUP(O2494, Reference!$A$2:$D$34, 4, FALSE) &lt;= P2494),
                AND(R2494="General Use", VLOOKUP(O2494, Reference!$A$2:$D$34, 3, FALSE) &lt;= P2494)
            ),
                "Exceeded",
                "OK"
            ),
            "No Regulation defined"
        )
    ),
    ""
)</f>
        <v/>
      </c>
      <c r="AB2494" s="62" t="str">
        <f t="shared" si="38"/>
        <v/>
      </c>
    </row>
    <row r="2495" spans="20:28" x14ac:dyDescent="0.2">
      <c r="T2495" s="60" t="str">
        <f>IF(P2495&lt;&gt;"",
    IF(OR(O2495="", Q2495="", R2495=""),
        "Fill all the required columns",
        IFERROR(
            IF(OR(
                AND(R2495="Marine Protected", VLOOKUP(O2495, Reference!$A$2:$D$34, 4, FALSE) &lt;= P2495),
                AND(R2495="General Use", VLOOKUP(O2495, Reference!$A$2:$D$34, 3, FALSE) &lt;= P2495)
            ),
                "Exceeded",
                "OK"
            ),
            "No Regulation defined"
        )
    ),
    ""
)</f>
        <v/>
      </c>
      <c r="AB2495" s="62" t="str">
        <f t="shared" si="38"/>
        <v/>
      </c>
    </row>
    <row r="2496" spans="20:28" x14ac:dyDescent="0.2">
      <c r="T2496" s="60" t="str">
        <f>IF(P2496&lt;&gt;"",
    IF(OR(O2496="", Q2496="", R2496=""),
        "Fill all the required columns",
        IFERROR(
            IF(OR(
                AND(R2496="Marine Protected", VLOOKUP(O2496, Reference!$A$2:$D$34, 4, FALSE) &lt;= P2496),
                AND(R2496="General Use", VLOOKUP(O2496, Reference!$A$2:$D$34, 3, FALSE) &lt;= P2496)
            ),
                "Exceeded",
                "OK"
            ),
            "No Regulation defined"
        )
    ),
    ""
)</f>
        <v/>
      </c>
      <c r="AB2496" s="62" t="str">
        <f t="shared" si="38"/>
        <v/>
      </c>
    </row>
    <row r="2497" spans="20:28" x14ac:dyDescent="0.2">
      <c r="T2497" s="60" t="str">
        <f>IF(P2497&lt;&gt;"",
    IF(OR(O2497="", Q2497="", R2497=""),
        "Fill all the required columns",
        IFERROR(
            IF(OR(
                AND(R2497="Marine Protected", VLOOKUP(O2497, Reference!$A$2:$D$34, 4, FALSE) &lt;= P2497),
                AND(R2497="General Use", VLOOKUP(O2497, Reference!$A$2:$D$34, 3, FALSE) &lt;= P2497)
            ),
                "Exceeded",
                "OK"
            ),
            "No Regulation defined"
        )
    ),
    ""
)</f>
        <v/>
      </c>
      <c r="AB2497" s="62" t="str">
        <f t="shared" si="38"/>
        <v/>
      </c>
    </row>
    <row r="2498" spans="20:28" x14ac:dyDescent="0.2">
      <c r="T2498" s="60" t="str">
        <f>IF(P2498&lt;&gt;"",
    IF(OR(O2498="", Q2498="", R2498=""),
        "Fill all the required columns",
        IFERROR(
            IF(OR(
                AND(R2498="Marine Protected", VLOOKUP(O2498, Reference!$A$2:$D$34, 4, FALSE) &lt;= P2498),
                AND(R2498="General Use", VLOOKUP(O2498, Reference!$A$2:$D$34, 3, FALSE) &lt;= P2498)
            ),
                "Exceeded",
                "OK"
            ),
            "No Regulation defined"
        )
    ),
    ""
)</f>
        <v/>
      </c>
      <c r="AB2498" s="62" t="str">
        <f t="shared" si="38"/>
        <v/>
      </c>
    </row>
    <row r="2499" spans="20:28" x14ac:dyDescent="0.2">
      <c r="T2499" s="60" t="str">
        <f>IF(P2499&lt;&gt;"",
    IF(OR(O2499="", Q2499="", R2499=""),
        "Fill all the required columns",
        IFERROR(
            IF(OR(
                AND(R2499="Marine Protected", VLOOKUP(O2499, Reference!$A$2:$D$34, 4, FALSE) &lt;= P2499),
                AND(R2499="General Use", VLOOKUP(O2499, Reference!$A$2:$D$34, 3, FALSE) &lt;= P2499)
            ),
                "Exceeded",
                "OK"
            ),
            "No Regulation defined"
        )
    ),
    ""
)</f>
        <v/>
      </c>
      <c r="AB2499" s="62" t="str">
        <f t="shared" ref="AB2499:AB2562" si="39">IF(COUNTA(A2499, E2499, F2499, H2499, I2499, O2499, P2499, Q2499, R2499,S2499) = 0, "", IF(COUNTA(A2499, E2499, F2499, H2499, I2499, O2499, P2499, Q2499, R2499,S2499) = 10, "OK", "Incomplete"))</f>
        <v/>
      </c>
    </row>
    <row r="2500" spans="20:28" x14ac:dyDescent="0.2">
      <c r="T2500" s="60" t="str">
        <f>IF(P2500&lt;&gt;"",
    IF(OR(O2500="", Q2500="", R2500=""),
        "Fill all the required columns",
        IFERROR(
            IF(OR(
                AND(R2500="Marine Protected", VLOOKUP(O2500, Reference!$A$2:$D$34, 4, FALSE) &lt;= P2500),
                AND(R2500="General Use", VLOOKUP(O2500, Reference!$A$2:$D$34, 3, FALSE) &lt;= P2500)
            ),
                "Exceeded",
                "OK"
            ),
            "No Regulation defined"
        )
    ),
    ""
)</f>
        <v/>
      </c>
      <c r="AB2500" s="62" t="str">
        <f t="shared" si="39"/>
        <v/>
      </c>
    </row>
    <row r="2501" spans="20:28" x14ac:dyDescent="0.2">
      <c r="T2501" s="60" t="str">
        <f>IF(P2501&lt;&gt;"",
    IF(OR(O2501="", Q2501="", R2501=""),
        "Fill all the required columns",
        IFERROR(
            IF(OR(
                AND(R2501="Marine Protected", VLOOKUP(O2501, Reference!$A$2:$D$34, 4, FALSE) &lt;= P2501),
                AND(R2501="General Use", VLOOKUP(O2501, Reference!$A$2:$D$34, 3, FALSE) &lt;= P2501)
            ),
                "Exceeded",
                "OK"
            ),
            "No Regulation defined"
        )
    ),
    ""
)</f>
        <v/>
      </c>
      <c r="AB2501" s="62" t="str">
        <f t="shared" si="39"/>
        <v/>
      </c>
    </row>
    <row r="2502" spans="20:28" x14ac:dyDescent="0.2">
      <c r="T2502" s="60" t="str">
        <f>IF(P2502&lt;&gt;"",
    IF(OR(O2502="", Q2502="", R2502=""),
        "Fill all the required columns",
        IFERROR(
            IF(OR(
                AND(R2502="Marine Protected", VLOOKUP(O2502, Reference!$A$2:$D$34, 4, FALSE) &lt;= P2502),
                AND(R2502="General Use", VLOOKUP(O2502, Reference!$A$2:$D$34, 3, FALSE) &lt;= P2502)
            ),
                "Exceeded",
                "OK"
            ),
            "No Regulation defined"
        )
    ),
    ""
)</f>
        <v/>
      </c>
      <c r="AB2502" s="62" t="str">
        <f t="shared" si="39"/>
        <v/>
      </c>
    </row>
    <row r="2503" spans="20:28" x14ac:dyDescent="0.2">
      <c r="T2503" s="60" t="str">
        <f>IF(P2503&lt;&gt;"",
    IF(OR(O2503="", Q2503="", R2503=""),
        "Fill all the required columns",
        IFERROR(
            IF(OR(
                AND(R2503="Marine Protected", VLOOKUP(O2503, Reference!$A$2:$D$34, 4, FALSE) &lt;= P2503),
                AND(R2503="General Use", VLOOKUP(O2503, Reference!$A$2:$D$34, 3, FALSE) &lt;= P2503)
            ),
                "Exceeded",
                "OK"
            ),
            "No Regulation defined"
        )
    ),
    ""
)</f>
        <v/>
      </c>
      <c r="AB2503" s="62" t="str">
        <f t="shared" si="39"/>
        <v/>
      </c>
    </row>
    <row r="2504" spans="20:28" x14ac:dyDescent="0.2">
      <c r="T2504" s="60" t="str">
        <f>IF(P2504&lt;&gt;"",
    IF(OR(O2504="", Q2504="", R2504=""),
        "Fill all the required columns",
        IFERROR(
            IF(OR(
                AND(R2504="Marine Protected", VLOOKUP(O2504, Reference!$A$2:$D$34, 4, FALSE) &lt;= P2504),
                AND(R2504="General Use", VLOOKUP(O2504, Reference!$A$2:$D$34, 3, FALSE) &lt;= P2504)
            ),
                "Exceeded",
                "OK"
            ),
            "No Regulation defined"
        )
    ),
    ""
)</f>
        <v/>
      </c>
      <c r="AB2504" s="62" t="str">
        <f t="shared" si="39"/>
        <v/>
      </c>
    </row>
    <row r="2505" spans="20:28" x14ac:dyDescent="0.2">
      <c r="T2505" s="60" t="str">
        <f>IF(P2505&lt;&gt;"",
    IF(OR(O2505="", Q2505="", R2505=""),
        "Fill all the required columns",
        IFERROR(
            IF(OR(
                AND(R2505="Marine Protected", VLOOKUP(O2505, Reference!$A$2:$D$34, 4, FALSE) &lt;= P2505),
                AND(R2505="General Use", VLOOKUP(O2505, Reference!$A$2:$D$34, 3, FALSE) &lt;= P2505)
            ),
                "Exceeded",
                "OK"
            ),
            "No Regulation defined"
        )
    ),
    ""
)</f>
        <v/>
      </c>
      <c r="AB2505" s="62" t="str">
        <f t="shared" si="39"/>
        <v/>
      </c>
    </row>
    <row r="2506" spans="20:28" x14ac:dyDescent="0.2">
      <c r="T2506" s="60" t="str">
        <f>IF(P2506&lt;&gt;"",
    IF(OR(O2506="", Q2506="", R2506=""),
        "Fill all the required columns",
        IFERROR(
            IF(OR(
                AND(R2506="Marine Protected", VLOOKUP(O2506, Reference!$A$2:$D$34, 4, FALSE) &lt;= P2506),
                AND(R2506="General Use", VLOOKUP(O2506, Reference!$A$2:$D$34, 3, FALSE) &lt;= P2506)
            ),
                "Exceeded",
                "OK"
            ),
            "No Regulation defined"
        )
    ),
    ""
)</f>
        <v/>
      </c>
      <c r="AB2506" s="62" t="str">
        <f t="shared" si="39"/>
        <v/>
      </c>
    </row>
    <row r="2507" spans="20:28" x14ac:dyDescent="0.2">
      <c r="T2507" s="60" t="str">
        <f>IF(P2507&lt;&gt;"",
    IF(OR(O2507="", Q2507="", R2507=""),
        "Fill all the required columns",
        IFERROR(
            IF(OR(
                AND(R2507="Marine Protected", VLOOKUP(O2507, Reference!$A$2:$D$34, 4, FALSE) &lt;= P2507),
                AND(R2507="General Use", VLOOKUP(O2507, Reference!$A$2:$D$34, 3, FALSE) &lt;= P2507)
            ),
                "Exceeded",
                "OK"
            ),
            "No Regulation defined"
        )
    ),
    ""
)</f>
        <v/>
      </c>
      <c r="AB2507" s="62" t="str">
        <f t="shared" si="39"/>
        <v/>
      </c>
    </row>
    <row r="2508" spans="20:28" x14ac:dyDescent="0.2">
      <c r="T2508" s="60" t="str">
        <f>IF(P2508&lt;&gt;"",
    IF(OR(O2508="", Q2508="", R2508=""),
        "Fill all the required columns",
        IFERROR(
            IF(OR(
                AND(R2508="Marine Protected", VLOOKUP(O2508, Reference!$A$2:$D$34, 4, FALSE) &lt;= P2508),
                AND(R2508="General Use", VLOOKUP(O2508, Reference!$A$2:$D$34, 3, FALSE) &lt;= P2508)
            ),
                "Exceeded",
                "OK"
            ),
            "No Regulation defined"
        )
    ),
    ""
)</f>
        <v/>
      </c>
      <c r="AB2508" s="62" t="str">
        <f t="shared" si="39"/>
        <v/>
      </c>
    </row>
    <row r="2509" spans="20:28" x14ac:dyDescent="0.2">
      <c r="T2509" s="60" t="str">
        <f>IF(P2509&lt;&gt;"",
    IF(OR(O2509="", Q2509="", R2509=""),
        "Fill all the required columns",
        IFERROR(
            IF(OR(
                AND(R2509="Marine Protected", VLOOKUP(O2509, Reference!$A$2:$D$34, 4, FALSE) &lt;= P2509),
                AND(R2509="General Use", VLOOKUP(O2509, Reference!$A$2:$D$34, 3, FALSE) &lt;= P2509)
            ),
                "Exceeded",
                "OK"
            ),
            "No Regulation defined"
        )
    ),
    ""
)</f>
        <v/>
      </c>
      <c r="AB2509" s="62" t="str">
        <f t="shared" si="39"/>
        <v/>
      </c>
    </row>
    <row r="2510" spans="20:28" x14ac:dyDescent="0.2">
      <c r="T2510" s="60" t="str">
        <f>IF(P2510&lt;&gt;"",
    IF(OR(O2510="", Q2510="", R2510=""),
        "Fill all the required columns",
        IFERROR(
            IF(OR(
                AND(R2510="Marine Protected", VLOOKUP(O2510, Reference!$A$2:$D$34, 4, FALSE) &lt;= P2510),
                AND(R2510="General Use", VLOOKUP(O2510, Reference!$A$2:$D$34, 3, FALSE) &lt;= P2510)
            ),
                "Exceeded",
                "OK"
            ),
            "No Regulation defined"
        )
    ),
    ""
)</f>
        <v/>
      </c>
      <c r="AB2510" s="62" t="str">
        <f t="shared" si="39"/>
        <v/>
      </c>
    </row>
    <row r="2511" spans="20:28" x14ac:dyDescent="0.2">
      <c r="T2511" s="60" t="str">
        <f>IF(P2511&lt;&gt;"",
    IF(OR(O2511="", Q2511="", R2511=""),
        "Fill all the required columns",
        IFERROR(
            IF(OR(
                AND(R2511="Marine Protected", VLOOKUP(O2511, Reference!$A$2:$D$34, 4, FALSE) &lt;= P2511),
                AND(R2511="General Use", VLOOKUP(O2511, Reference!$A$2:$D$34, 3, FALSE) &lt;= P2511)
            ),
                "Exceeded",
                "OK"
            ),
            "No Regulation defined"
        )
    ),
    ""
)</f>
        <v/>
      </c>
      <c r="AB2511" s="62" t="str">
        <f t="shared" si="39"/>
        <v/>
      </c>
    </row>
    <row r="2512" spans="20:28" x14ac:dyDescent="0.2">
      <c r="T2512" s="60" t="str">
        <f>IF(P2512&lt;&gt;"",
    IF(OR(O2512="", Q2512="", R2512=""),
        "Fill all the required columns",
        IFERROR(
            IF(OR(
                AND(R2512="Marine Protected", VLOOKUP(O2512, Reference!$A$2:$D$34, 4, FALSE) &lt;= P2512),
                AND(R2512="General Use", VLOOKUP(O2512, Reference!$A$2:$D$34, 3, FALSE) &lt;= P2512)
            ),
                "Exceeded",
                "OK"
            ),
            "No Regulation defined"
        )
    ),
    ""
)</f>
        <v/>
      </c>
      <c r="AB2512" s="62" t="str">
        <f t="shared" si="39"/>
        <v/>
      </c>
    </row>
    <row r="2513" spans="20:28" x14ac:dyDescent="0.2">
      <c r="T2513" s="60" t="str">
        <f>IF(P2513&lt;&gt;"",
    IF(OR(O2513="", Q2513="", R2513=""),
        "Fill all the required columns",
        IFERROR(
            IF(OR(
                AND(R2513="Marine Protected", VLOOKUP(O2513, Reference!$A$2:$D$34, 4, FALSE) &lt;= P2513),
                AND(R2513="General Use", VLOOKUP(O2513, Reference!$A$2:$D$34, 3, FALSE) &lt;= P2513)
            ),
                "Exceeded",
                "OK"
            ),
            "No Regulation defined"
        )
    ),
    ""
)</f>
        <v/>
      </c>
      <c r="AB2513" s="62" t="str">
        <f t="shared" si="39"/>
        <v/>
      </c>
    </row>
    <row r="2514" spans="20:28" x14ac:dyDescent="0.2">
      <c r="T2514" s="60" t="str">
        <f>IF(P2514&lt;&gt;"",
    IF(OR(O2514="", Q2514="", R2514=""),
        "Fill all the required columns",
        IFERROR(
            IF(OR(
                AND(R2514="Marine Protected", VLOOKUP(O2514, Reference!$A$2:$D$34, 4, FALSE) &lt;= P2514),
                AND(R2514="General Use", VLOOKUP(O2514, Reference!$A$2:$D$34, 3, FALSE) &lt;= P2514)
            ),
                "Exceeded",
                "OK"
            ),
            "No Regulation defined"
        )
    ),
    ""
)</f>
        <v/>
      </c>
      <c r="AB2514" s="62" t="str">
        <f t="shared" si="39"/>
        <v/>
      </c>
    </row>
    <row r="2515" spans="20:28" x14ac:dyDescent="0.2">
      <c r="T2515" s="60" t="str">
        <f>IF(P2515&lt;&gt;"",
    IF(OR(O2515="", Q2515="", R2515=""),
        "Fill all the required columns",
        IFERROR(
            IF(OR(
                AND(R2515="Marine Protected", VLOOKUP(O2515, Reference!$A$2:$D$34, 4, FALSE) &lt;= P2515),
                AND(R2515="General Use", VLOOKUP(O2515, Reference!$A$2:$D$34, 3, FALSE) &lt;= P2515)
            ),
                "Exceeded",
                "OK"
            ),
            "No Regulation defined"
        )
    ),
    ""
)</f>
        <v/>
      </c>
      <c r="AB2515" s="62" t="str">
        <f t="shared" si="39"/>
        <v/>
      </c>
    </row>
    <row r="2516" spans="20:28" x14ac:dyDescent="0.2">
      <c r="T2516" s="60" t="str">
        <f>IF(P2516&lt;&gt;"",
    IF(OR(O2516="", Q2516="", R2516=""),
        "Fill all the required columns",
        IFERROR(
            IF(OR(
                AND(R2516="Marine Protected", VLOOKUP(O2516, Reference!$A$2:$D$34, 4, FALSE) &lt;= P2516),
                AND(R2516="General Use", VLOOKUP(O2516, Reference!$A$2:$D$34, 3, FALSE) &lt;= P2516)
            ),
                "Exceeded",
                "OK"
            ),
            "No Regulation defined"
        )
    ),
    ""
)</f>
        <v/>
      </c>
      <c r="AB2516" s="62" t="str">
        <f t="shared" si="39"/>
        <v/>
      </c>
    </row>
    <row r="2517" spans="20:28" x14ac:dyDescent="0.2">
      <c r="T2517" s="60" t="str">
        <f>IF(P2517&lt;&gt;"",
    IF(OR(O2517="", Q2517="", R2517=""),
        "Fill all the required columns",
        IFERROR(
            IF(OR(
                AND(R2517="Marine Protected", VLOOKUP(O2517, Reference!$A$2:$D$34, 4, FALSE) &lt;= P2517),
                AND(R2517="General Use", VLOOKUP(O2517, Reference!$A$2:$D$34, 3, FALSE) &lt;= P2517)
            ),
                "Exceeded",
                "OK"
            ),
            "No Regulation defined"
        )
    ),
    ""
)</f>
        <v/>
      </c>
      <c r="AB2517" s="62" t="str">
        <f t="shared" si="39"/>
        <v/>
      </c>
    </row>
    <row r="2518" spans="20:28" x14ac:dyDescent="0.2">
      <c r="T2518" s="60" t="str">
        <f>IF(P2518&lt;&gt;"",
    IF(OR(O2518="", Q2518="", R2518=""),
        "Fill all the required columns",
        IFERROR(
            IF(OR(
                AND(R2518="Marine Protected", VLOOKUP(O2518, Reference!$A$2:$D$34, 4, FALSE) &lt;= P2518),
                AND(R2518="General Use", VLOOKUP(O2518, Reference!$A$2:$D$34, 3, FALSE) &lt;= P2518)
            ),
                "Exceeded",
                "OK"
            ),
            "No Regulation defined"
        )
    ),
    ""
)</f>
        <v/>
      </c>
      <c r="AB2518" s="62" t="str">
        <f t="shared" si="39"/>
        <v/>
      </c>
    </row>
    <row r="2519" spans="20:28" x14ac:dyDescent="0.2">
      <c r="T2519" s="60" t="str">
        <f>IF(P2519&lt;&gt;"",
    IF(OR(O2519="", Q2519="", R2519=""),
        "Fill all the required columns",
        IFERROR(
            IF(OR(
                AND(R2519="Marine Protected", VLOOKUP(O2519, Reference!$A$2:$D$34, 4, FALSE) &lt;= P2519),
                AND(R2519="General Use", VLOOKUP(O2519, Reference!$A$2:$D$34, 3, FALSE) &lt;= P2519)
            ),
                "Exceeded",
                "OK"
            ),
            "No Regulation defined"
        )
    ),
    ""
)</f>
        <v/>
      </c>
      <c r="AB2519" s="62" t="str">
        <f t="shared" si="39"/>
        <v/>
      </c>
    </row>
    <row r="2520" spans="20:28" x14ac:dyDescent="0.2">
      <c r="T2520" s="60" t="str">
        <f>IF(P2520&lt;&gt;"",
    IF(OR(O2520="", Q2520="", R2520=""),
        "Fill all the required columns",
        IFERROR(
            IF(OR(
                AND(R2520="Marine Protected", VLOOKUP(O2520, Reference!$A$2:$D$34, 4, FALSE) &lt;= P2520),
                AND(R2520="General Use", VLOOKUP(O2520, Reference!$A$2:$D$34, 3, FALSE) &lt;= P2520)
            ),
                "Exceeded",
                "OK"
            ),
            "No Regulation defined"
        )
    ),
    ""
)</f>
        <v/>
      </c>
      <c r="AB2520" s="62" t="str">
        <f t="shared" si="39"/>
        <v/>
      </c>
    </row>
    <row r="2521" spans="20:28" x14ac:dyDescent="0.2">
      <c r="T2521" s="60" t="str">
        <f>IF(P2521&lt;&gt;"",
    IF(OR(O2521="", Q2521="", R2521=""),
        "Fill all the required columns",
        IFERROR(
            IF(OR(
                AND(R2521="Marine Protected", VLOOKUP(O2521, Reference!$A$2:$D$34, 4, FALSE) &lt;= P2521),
                AND(R2521="General Use", VLOOKUP(O2521, Reference!$A$2:$D$34, 3, FALSE) &lt;= P2521)
            ),
                "Exceeded",
                "OK"
            ),
            "No Regulation defined"
        )
    ),
    ""
)</f>
        <v/>
      </c>
      <c r="AB2521" s="62" t="str">
        <f t="shared" si="39"/>
        <v/>
      </c>
    </row>
    <row r="2522" spans="20:28" x14ac:dyDescent="0.2">
      <c r="T2522" s="60" t="str">
        <f>IF(P2522&lt;&gt;"",
    IF(OR(O2522="", Q2522="", R2522=""),
        "Fill all the required columns",
        IFERROR(
            IF(OR(
                AND(R2522="Marine Protected", VLOOKUP(O2522, Reference!$A$2:$D$34, 4, FALSE) &lt;= P2522),
                AND(R2522="General Use", VLOOKUP(O2522, Reference!$A$2:$D$34, 3, FALSE) &lt;= P2522)
            ),
                "Exceeded",
                "OK"
            ),
            "No Regulation defined"
        )
    ),
    ""
)</f>
        <v/>
      </c>
      <c r="AB2522" s="62" t="str">
        <f t="shared" si="39"/>
        <v/>
      </c>
    </row>
    <row r="2523" spans="20:28" x14ac:dyDescent="0.2">
      <c r="T2523" s="60" t="str">
        <f>IF(P2523&lt;&gt;"",
    IF(OR(O2523="", Q2523="", R2523=""),
        "Fill all the required columns",
        IFERROR(
            IF(OR(
                AND(R2523="Marine Protected", VLOOKUP(O2523, Reference!$A$2:$D$34, 4, FALSE) &lt;= P2523),
                AND(R2523="General Use", VLOOKUP(O2523, Reference!$A$2:$D$34, 3, FALSE) &lt;= P2523)
            ),
                "Exceeded",
                "OK"
            ),
            "No Regulation defined"
        )
    ),
    ""
)</f>
        <v/>
      </c>
      <c r="AB2523" s="62" t="str">
        <f t="shared" si="39"/>
        <v/>
      </c>
    </row>
    <row r="2524" spans="20:28" x14ac:dyDescent="0.2">
      <c r="T2524" s="60" t="str">
        <f>IF(P2524&lt;&gt;"",
    IF(OR(O2524="", Q2524="", R2524=""),
        "Fill all the required columns",
        IFERROR(
            IF(OR(
                AND(R2524="Marine Protected", VLOOKUP(O2524, Reference!$A$2:$D$34, 4, FALSE) &lt;= P2524),
                AND(R2524="General Use", VLOOKUP(O2524, Reference!$A$2:$D$34, 3, FALSE) &lt;= P2524)
            ),
                "Exceeded",
                "OK"
            ),
            "No Regulation defined"
        )
    ),
    ""
)</f>
        <v/>
      </c>
      <c r="AB2524" s="62" t="str">
        <f t="shared" si="39"/>
        <v/>
      </c>
    </row>
    <row r="2525" spans="20:28" x14ac:dyDescent="0.2">
      <c r="T2525" s="60" t="str">
        <f>IF(P2525&lt;&gt;"",
    IF(OR(O2525="", Q2525="", R2525=""),
        "Fill all the required columns",
        IFERROR(
            IF(OR(
                AND(R2525="Marine Protected", VLOOKUP(O2525, Reference!$A$2:$D$34, 4, FALSE) &lt;= P2525),
                AND(R2525="General Use", VLOOKUP(O2525, Reference!$A$2:$D$34, 3, FALSE) &lt;= P2525)
            ),
                "Exceeded",
                "OK"
            ),
            "No Regulation defined"
        )
    ),
    ""
)</f>
        <v/>
      </c>
      <c r="AB2525" s="62" t="str">
        <f t="shared" si="39"/>
        <v/>
      </c>
    </row>
    <row r="2526" spans="20:28" x14ac:dyDescent="0.2">
      <c r="T2526" s="60" t="str">
        <f>IF(P2526&lt;&gt;"",
    IF(OR(O2526="", Q2526="", R2526=""),
        "Fill all the required columns",
        IFERROR(
            IF(OR(
                AND(R2526="Marine Protected", VLOOKUP(O2526, Reference!$A$2:$D$34, 4, FALSE) &lt;= P2526),
                AND(R2526="General Use", VLOOKUP(O2526, Reference!$A$2:$D$34, 3, FALSE) &lt;= P2526)
            ),
                "Exceeded",
                "OK"
            ),
            "No Regulation defined"
        )
    ),
    ""
)</f>
        <v/>
      </c>
      <c r="AB2526" s="62" t="str">
        <f t="shared" si="39"/>
        <v/>
      </c>
    </row>
    <row r="2527" spans="20:28" x14ac:dyDescent="0.2">
      <c r="T2527" s="60" t="str">
        <f>IF(P2527&lt;&gt;"",
    IF(OR(O2527="", Q2527="", R2527=""),
        "Fill all the required columns",
        IFERROR(
            IF(OR(
                AND(R2527="Marine Protected", VLOOKUP(O2527, Reference!$A$2:$D$34, 4, FALSE) &lt;= P2527),
                AND(R2527="General Use", VLOOKUP(O2527, Reference!$A$2:$D$34, 3, FALSE) &lt;= P2527)
            ),
                "Exceeded",
                "OK"
            ),
            "No Regulation defined"
        )
    ),
    ""
)</f>
        <v/>
      </c>
      <c r="AB2527" s="62" t="str">
        <f t="shared" si="39"/>
        <v/>
      </c>
    </row>
    <row r="2528" spans="20:28" x14ac:dyDescent="0.2">
      <c r="T2528" s="60" t="str">
        <f>IF(P2528&lt;&gt;"",
    IF(OR(O2528="", Q2528="", R2528=""),
        "Fill all the required columns",
        IFERROR(
            IF(OR(
                AND(R2528="Marine Protected", VLOOKUP(O2528, Reference!$A$2:$D$34, 4, FALSE) &lt;= P2528),
                AND(R2528="General Use", VLOOKUP(O2528, Reference!$A$2:$D$34, 3, FALSE) &lt;= P2528)
            ),
                "Exceeded",
                "OK"
            ),
            "No Regulation defined"
        )
    ),
    ""
)</f>
        <v/>
      </c>
      <c r="AB2528" s="62" t="str">
        <f t="shared" si="39"/>
        <v/>
      </c>
    </row>
    <row r="2529" spans="20:28" x14ac:dyDescent="0.2">
      <c r="T2529" s="60" t="str">
        <f>IF(P2529&lt;&gt;"",
    IF(OR(O2529="", Q2529="", R2529=""),
        "Fill all the required columns",
        IFERROR(
            IF(OR(
                AND(R2529="Marine Protected", VLOOKUP(O2529, Reference!$A$2:$D$34, 4, FALSE) &lt;= P2529),
                AND(R2529="General Use", VLOOKUP(O2529, Reference!$A$2:$D$34, 3, FALSE) &lt;= P2529)
            ),
                "Exceeded",
                "OK"
            ),
            "No Regulation defined"
        )
    ),
    ""
)</f>
        <v/>
      </c>
      <c r="AB2529" s="62" t="str">
        <f t="shared" si="39"/>
        <v/>
      </c>
    </row>
    <row r="2530" spans="20:28" x14ac:dyDescent="0.2">
      <c r="T2530" s="60" t="str">
        <f>IF(P2530&lt;&gt;"",
    IF(OR(O2530="", Q2530="", R2530=""),
        "Fill all the required columns",
        IFERROR(
            IF(OR(
                AND(R2530="Marine Protected", VLOOKUP(O2530, Reference!$A$2:$D$34, 4, FALSE) &lt;= P2530),
                AND(R2530="General Use", VLOOKUP(O2530, Reference!$A$2:$D$34, 3, FALSE) &lt;= P2530)
            ),
                "Exceeded",
                "OK"
            ),
            "No Regulation defined"
        )
    ),
    ""
)</f>
        <v/>
      </c>
      <c r="AB2530" s="62" t="str">
        <f t="shared" si="39"/>
        <v/>
      </c>
    </row>
    <row r="2531" spans="20:28" x14ac:dyDescent="0.2">
      <c r="T2531" s="60" t="str">
        <f>IF(P2531&lt;&gt;"",
    IF(OR(O2531="", Q2531="", R2531=""),
        "Fill all the required columns",
        IFERROR(
            IF(OR(
                AND(R2531="Marine Protected", VLOOKUP(O2531, Reference!$A$2:$D$34, 4, FALSE) &lt;= P2531),
                AND(R2531="General Use", VLOOKUP(O2531, Reference!$A$2:$D$34, 3, FALSE) &lt;= P2531)
            ),
                "Exceeded",
                "OK"
            ),
            "No Regulation defined"
        )
    ),
    ""
)</f>
        <v/>
      </c>
      <c r="AB2531" s="62" t="str">
        <f t="shared" si="39"/>
        <v/>
      </c>
    </row>
    <row r="2532" spans="20:28" x14ac:dyDescent="0.2">
      <c r="T2532" s="60" t="str">
        <f>IF(P2532&lt;&gt;"",
    IF(OR(O2532="", Q2532="", R2532=""),
        "Fill all the required columns",
        IFERROR(
            IF(OR(
                AND(R2532="Marine Protected", VLOOKUP(O2532, Reference!$A$2:$D$34, 4, FALSE) &lt;= P2532),
                AND(R2532="General Use", VLOOKUP(O2532, Reference!$A$2:$D$34, 3, FALSE) &lt;= P2532)
            ),
                "Exceeded",
                "OK"
            ),
            "No Regulation defined"
        )
    ),
    ""
)</f>
        <v/>
      </c>
      <c r="AB2532" s="62" t="str">
        <f t="shared" si="39"/>
        <v/>
      </c>
    </row>
    <row r="2533" spans="20:28" x14ac:dyDescent="0.2">
      <c r="T2533" s="60" t="str">
        <f>IF(P2533&lt;&gt;"",
    IF(OR(O2533="", Q2533="", R2533=""),
        "Fill all the required columns",
        IFERROR(
            IF(OR(
                AND(R2533="Marine Protected", VLOOKUP(O2533, Reference!$A$2:$D$34, 4, FALSE) &lt;= P2533),
                AND(R2533="General Use", VLOOKUP(O2533, Reference!$A$2:$D$34, 3, FALSE) &lt;= P2533)
            ),
                "Exceeded",
                "OK"
            ),
            "No Regulation defined"
        )
    ),
    ""
)</f>
        <v/>
      </c>
      <c r="AB2533" s="62" t="str">
        <f t="shared" si="39"/>
        <v/>
      </c>
    </row>
    <row r="2534" spans="20:28" x14ac:dyDescent="0.2">
      <c r="T2534" s="60" t="str">
        <f>IF(P2534&lt;&gt;"",
    IF(OR(O2534="", Q2534="", R2534=""),
        "Fill all the required columns",
        IFERROR(
            IF(OR(
                AND(R2534="Marine Protected", VLOOKUP(O2534, Reference!$A$2:$D$34, 4, FALSE) &lt;= P2534),
                AND(R2534="General Use", VLOOKUP(O2534, Reference!$A$2:$D$34, 3, FALSE) &lt;= P2534)
            ),
                "Exceeded",
                "OK"
            ),
            "No Regulation defined"
        )
    ),
    ""
)</f>
        <v/>
      </c>
      <c r="AB2534" s="62" t="str">
        <f t="shared" si="39"/>
        <v/>
      </c>
    </row>
    <row r="2535" spans="20:28" x14ac:dyDescent="0.2">
      <c r="T2535" s="60" t="str">
        <f>IF(P2535&lt;&gt;"",
    IF(OR(O2535="", Q2535="", R2535=""),
        "Fill all the required columns",
        IFERROR(
            IF(OR(
                AND(R2535="Marine Protected", VLOOKUP(O2535, Reference!$A$2:$D$34, 4, FALSE) &lt;= P2535),
                AND(R2535="General Use", VLOOKUP(O2535, Reference!$A$2:$D$34, 3, FALSE) &lt;= P2535)
            ),
                "Exceeded",
                "OK"
            ),
            "No Regulation defined"
        )
    ),
    ""
)</f>
        <v/>
      </c>
      <c r="AB2535" s="62" t="str">
        <f t="shared" si="39"/>
        <v/>
      </c>
    </row>
    <row r="2536" spans="20:28" x14ac:dyDescent="0.2">
      <c r="T2536" s="60" t="str">
        <f>IF(P2536&lt;&gt;"",
    IF(OR(O2536="", Q2536="", R2536=""),
        "Fill all the required columns",
        IFERROR(
            IF(OR(
                AND(R2536="Marine Protected", VLOOKUP(O2536, Reference!$A$2:$D$34, 4, FALSE) &lt;= P2536),
                AND(R2536="General Use", VLOOKUP(O2536, Reference!$A$2:$D$34, 3, FALSE) &lt;= P2536)
            ),
                "Exceeded",
                "OK"
            ),
            "No Regulation defined"
        )
    ),
    ""
)</f>
        <v/>
      </c>
      <c r="AB2536" s="62" t="str">
        <f t="shared" si="39"/>
        <v/>
      </c>
    </row>
    <row r="2537" spans="20:28" x14ac:dyDescent="0.2">
      <c r="T2537" s="60" t="str">
        <f>IF(P2537&lt;&gt;"",
    IF(OR(O2537="", Q2537="", R2537=""),
        "Fill all the required columns",
        IFERROR(
            IF(OR(
                AND(R2537="Marine Protected", VLOOKUP(O2537, Reference!$A$2:$D$34, 4, FALSE) &lt;= P2537),
                AND(R2537="General Use", VLOOKUP(O2537, Reference!$A$2:$D$34, 3, FALSE) &lt;= P2537)
            ),
                "Exceeded",
                "OK"
            ),
            "No Regulation defined"
        )
    ),
    ""
)</f>
        <v/>
      </c>
      <c r="AB2537" s="62" t="str">
        <f t="shared" si="39"/>
        <v/>
      </c>
    </row>
    <row r="2538" spans="20:28" x14ac:dyDescent="0.2">
      <c r="T2538" s="60" t="str">
        <f>IF(P2538&lt;&gt;"",
    IF(OR(O2538="", Q2538="", R2538=""),
        "Fill all the required columns",
        IFERROR(
            IF(OR(
                AND(R2538="Marine Protected", VLOOKUP(O2538, Reference!$A$2:$D$34, 4, FALSE) &lt;= P2538),
                AND(R2538="General Use", VLOOKUP(O2538, Reference!$A$2:$D$34, 3, FALSE) &lt;= P2538)
            ),
                "Exceeded",
                "OK"
            ),
            "No Regulation defined"
        )
    ),
    ""
)</f>
        <v/>
      </c>
      <c r="AB2538" s="62" t="str">
        <f t="shared" si="39"/>
        <v/>
      </c>
    </row>
    <row r="2539" spans="20:28" x14ac:dyDescent="0.2">
      <c r="T2539" s="60" t="str">
        <f>IF(P2539&lt;&gt;"",
    IF(OR(O2539="", Q2539="", R2539=""),
        "Fill all the required columns",
        IFERROR(
            IF(OR(
                AND(R2539="Marine Protected", VLOOKUP(O2539, Reference!$A$2:$D$34, 4, FALSE) &lt;= P2539),
                AND(R2539="General Use", VLOOKUP(O2539, Reference!$A$2:$D$34, 3, FALSE) &lt;= P2539)
            ),
                "Exceeded",
                "OK"
            ),
            "No Regulation defined"
        )
    ),
    ""
)</f>
        <v/>
      </c>
      <c r="AB2539" s="62" t="str">
        <f t="shared" si="39"/>
        <v/>
      </c>
    </row>
    <row r="2540" spans="20:28" x14ac:dyDescent="0.2">
      <c r="T2540" s="60" t="str">
        <f>IF(P2540&lt;&gt;"",
    IF(OR(O2540="", Q2540="", R2540=""),
        "Fill all the required columns",
        IFERROR(
            IF(OR(
                AND(R2540="Marine Protected", VLOOKUP(O2540, Reference!$A$2:$D$34, 4, FALSE) &lt;= P2540),
                AND(R2540="General Use", VLOOKUP(O2540, Reference!$A$2:$D$34, 3, FALSE) &lt;= P2540)
            ),
                "Exceeded",
                "OK"
            ),
            "No Regulation defined"
        )
    ),
    ""
)</f>
        <v/>
      </c>
      <c r="AB2540" s="62" t="str">
        <f t="shared" si="39"/>
        <v/>
      </c>
    </row>
    <row r="2541" spans="20:28" x14ac:dyDescent="0.2">
      <c r="T2541" s="60" t="str">
        <f>IF(P2541&lt;&gt;"",
    IF(OR(O2541="", Q2541="", R2541=""),
        "Fill all the required columns",
        IFERROR(
            IF(OR(
                AND(R2541="Marine Protected", VLOOKUP(O2541, Reference!$A$2:$D$34, 4, FALSE) &lt;= P2541),
                AND(R2541="General Use", VLOOKUP(O2541, Reference!$A$2:$D$34, 3, FALSE) &lt;= P2541)
            ),
                "Exceeded",
                "OK"
            ),
            "No Regulation defined"
        )
    ),
    ""
)</f>
        <v/>
      </c>
      <c r="AB2541" s="62" t="str">
        <f t="shared" si="39"/>
        <v/>
      </c>
    </row>
    <row r="2542" spans="20:28" x14ac:dyDescent="0.2">
      <c r="T2542" s="60" t="str">
        <f>IF(P2542&lt;&gt;"",
    IF(OR(O2542="", Q2542="", R2542=""),
        "Fill all the required columns",
        IFERROR(
            IF(OR(
                AND(R2542="Marine Protected", VLOOKUP(O2542, Reference!$A$2:$D$34, 4, FALSE) &lt;= P2542),
                AND(R2542="General Use", VLOOKUP(O2542, Reference!$A$2:$D$34, 3, FALSE) &lt;= P2542)
            ),
                "Exceeded",
                "OK"
            ),
            "No Regulation defined"
        )
    ),
    ""
)</f>
        <v/>
      </c>
      <c r="AB2542" s="62" t="str">
        <f t="shared" si="39"/>
        <v/>
      </c>
    </row>
    <row r="2543" spans="20:28" x14ac:dyDescent="0.2">
      <c r="T2543" s="60" t="str">
        <f>IF(P2543&lt;&gt;"",
    IF(OR(O2543="", Q2543="", R2543=""),
        "Fill all the required columns",
        IFERROR(
            IF(OR(
                AND(R2543="Marine Protected", VLOOKUP(O2543, Reference!$A$2:$D$34, 4, FALSE) &lt;= P2543),
                AND(R2543="General Use", VLOOKUP(O2543, Reference!$A$2:$D$34, 3, FALSE) &lt;= P2543)
            ),
                "Exceeded",
                "OK"
            ),
            "No Regulation defined"
        )
    ),
    ""
)</f>
        <v/>
      </c>
      <c r="AB2543" s="62" t="str">
        <f t="shared" si="39"/>
        <v/>
      </c>
    </row>
    <row r="2544" spans="20:28" x14ac:dyDescent="0.2">
      <c r="T2544" s="60" t="str">
        <f>IF(P2544&lt;&gt;"",
    IF(OR(O2544="", Q2544="", R2544=""),
        "Fill all the required columns",
        IFERROR(
            IF(OR(
                AND(R2544="Marine Protected", VLOOKUP(O2544, Reference!$A$2:$D$34, 4, FALSE) &lt;= P2544),
                AND(R2544="General Use", VLOOKUP(O2544, Reference!$A$2:$D$34, 3, FALSE) &lt;= P2544)
            ),
                "Exceeded",
                "OK"
            ),
            "No Regulation defined"
        )
    ),
    ""
)</f>
        <v/>
      </c>
      <c r="AB2544" s="62" t="str">
        <f t="shared" si="39"/>
        <v/>
      </c>
    </row>
    <row r="2545" spans="20:28" x14ac:dyDescent="0.2">
      <c r="T2545" s="60" t="str">
        <f>IF(P2545&lt;&gt;"",
    IF(OR(O2545="", Q2545="", R2545=""),
        "Fill all the required columns",
        IFERROR(
            IF(OR(
                AND(R2545="Marine Protected", VLOOKUP(O2545, Reference!$A$2:$D$34, 4, FALSE) &lt;= P2545),
                AND(R2545="General Use", VLOOKUP(O2545, Reference!$A$2:$D$34, 3, FALSE) &lt;= P2545)
            ),
                "Exceeded",
                "OK"
            ),
            "No Regulation defined"
        )
    ),
    ""
)</f>
        <v/>
      </c>
      <c r="AB2545" s="62" t="str">
        <f t="shared" si="39"/>
        <v/>
      </c>
    </row>
    <row r="2546" spans="20:28" x14ac:dyDescent="0.2">
      <c r="T2546" s="60" t="str">
        <f>IF(P2546&lt;&gt;"",
    IF(OR(O2546="", Q2546="", R2546=""),
        "Fill all the required columns",
        IFERROR(
            IF(OR(
                AND(R2546="Marine Protected", VLOOKUP(O2546, Reference!$A$2:$D$34, 4, FALSE) &lt;= P2546),
                AND(R2546="General Use", VLOOKUP(O2546, Reference!$A$2:$D$34, 3, FALSE) &lt;= P2546)
            ),
                "Exceeded",
                "OK"
            ),
            "No Regulation defined"
        )
    ),
    ""
)</f>
        <v/>
      </c>
      <c r="AB2546" s="62" t="str">
        <f t="shared" si="39"/>
        <v/>
      </c>
    </row>
    <row r="2547" spans="20:28" x14ac:dyDescent="0.2">
      <c r="T2547" s="60" t="str">
        <f>IF(P2547&lt;&gt;"",
    IF(OR(O2547="", Q2547="", R2547=""),
        "Fill all the required columns",
        IFERROR(
            IF(OR(
                AND(R2547="Marine Protected", VLOOKUP(O2547, Reference!$A$2:$D$34, 4, FALSE) &lt;= P2547),
                AND(R2547="General Use", VLOOKUP(O2547, Reference!$A$2:$D$34, 3, FALSE) &lt;= P2547)
            ),
                "Exceeded",
                "OK"
            ),
            "No Regulation defined"
        )
    ),
    ""
)</f>
        <v/>
      </c>
      <c r="AB2547" s="62" t="str">
        <f t="shared" si="39"/>
        <v/>
      </c>
    </row>
    <row r="2548" spans="20:28" x14ac:dyDescent="0.2">
      <c r="T2548" s="60" t="str">
        <f>IF(P2548&lt;&gt;"",
    IF(OR(O2548="", Q2548="", R2548=""),
        "Fill all the required columns",
        IFERROR(
            IF(OR(
                AND(R2548="Marine Protected", VLOOKUP(O2548, Reference!$A$2:$D$34, 4, FALSE) &lt;= P2548),
                AND(R2548="General Use", VLOOKUP(O2548, Reference!$A$2:$D$34, 3, FALSE) &lt;= P2548)
            ),
                "Exceeded",
                "OK"
            ),
            "No Regulation defined"
        )
    ),
    ""
)</f>
        <v/>
      </c>
      <c r="AB2548" s="62" t="str">
        <f t="shared" si="39"/>
        <v/>
      </c>
    </row>
    <row r="2549" spans="20:28" x14ac:dyDescent="0.2">
      <c r="T2549" s="60" t="str">
        <f>IF(P2549&lt;&gt;"",
    IF(OR(O2549="", Q2549="", R2549=""),
        "Fill all the required columns",
        IFERROR(
            IF(OR(
                AND(R2549="Marine Protected", VLOOKUP(O2549, Reference!$A$2:$D$34, 4, FALSE) &lt;= P2549),
                AND(R2549="General Use", VLOOKUP(O2549, Reference!$A$2:$D$34, 3, FALSE) &lt;= P2549)
            ),
                "Exceeded",
                "OK"
            ),
            "No Regulation defined"
        )
    ),
    ""
)</f>
        <v/>
      </c>
      <c r="AB2549" s="62" t="str">
        <f t="shared" si="39"/>
        <v/>
      </c>
    </row>
    <row r="2550" spans="20:28" x14ac:dyDescent="0.2">
      <c r="T2550" s="60" t="str">
        <f>IF(P2550&lt;&gt;"",
    IF(OR(O2550="", Q2550="", R2550=""),
        "Fill all the required columns",
        IFERROR(
            IF(OR(
                AND(R2550="Marine Protected", VLOOKUP(O2550, Reference!$A$2:$D$34, 4, FALSE) &lt;= P2550),
                AND(R2550="General Use", VLOOKUP(O2550, Reference!$A$2:$D$34, 3, FALSE) &lt;= P2550)
            ),
                "Exceeded",
                "OK"
            ),
            "No Regulation defined"
        )
    ),
    ""
)</f>
        <v/>
      </c>
      <c r="AB2550" s="62" t="str">
        <f t="shared" si="39"/>
        <v/>
      </c>
    </row>
    <row r="2551" spans="20:28" x14ac:dyDescent="0.2">
      <c r="T2551" s="60" t="str">
        <f>IF(P2551&lt;&gt;"",
    IF(OR(O2551="", Q2551="", R2551=""),
        "Fill all the required columns",
        IFERROR(
            IF(OR(
                AND(R2551="Marine Protected", VLOOKUP(O2551, Reference!$A$2:$D$34, 4, FALSE) &lt;= P2551),
                AND(R2551="General Use", VLOOKUP(O2551, Reference!$A$2:$D$34, 3, FALSE) &lt;= P2551)
            ),
                "Exceeded",
                "OK"
            ),
            "No Regulation defined"
        )
    ),
    ""
)</f>
        <v/>
      </c>
      <c r="AB2551" s="62" t="str">
        <f t="shared" si="39"/>
        <v/>
      </c>
    </row>
    <row r="2552" spans="20:28" x14ac:dyDescent="0.2">
      <c r="T2552" s="60" t="str">
        <f>IF(P2552&lt;&gt;"",
    IF(OR(O2552="", Q2552="", R2552=""),
        "Fill all the required columns",
        IFERROR(
            IF(OR(
                AND(R2552="Marine Protected", VLOOKUP(O2552, Reference!$A$2:$D$34, 4, FALSE) &lt;= P2552),
                AND(R2552="General Use", VLOOKUP(O2552, Reference!$A$2:$D$34, 3, FALSE) &lt;= P2552)
            ),
                "Exceeded",
                "OK"
            ),
            "No Regulation defined"
        )
    ),
    ""
)</f>
        <v/>
      </c>
      <c r="AB2552" s="62" t="str">
        <f t="shared" si="39"/>
        <v/>
      </c>
    </row>
    <row r="2553" spans="20:28" x14ac:dyDescent="0.2">
      <c r="T2553" s="60" t="str">
        <f>IF(P2553&lt;&gt;"",
    IF(OR(O2553="", Q2553="", R2553=""),
        "Fill all the required columns",
        IFERROR(
            IF(OR(
                AND(R2553="Marine Protected", VLOOKUP(O2553, Reference!$A$2:$D$34, 4, FALSE) &lt;= P2553),
                AND(R2553="General Use", VLOOKUP(O2553, Reference!$A$2:$D$34, 3, FALSE) &lt;= P2553)
            ),
                "Exceeded",
                "OK"
            ),
            "No Regulation defined"
        )
    ),
    ""
)</f>
        <v/>
      </c>
      <c r="AB2553" s="62" t="str">
        <f t="shared" si="39"/>
        <v/>
      </c>
    </row>
    <row r="2554" spans="20:28" x14ac:dyDescent="0.2">
      <c r="T2554" s="60" t="str">
        <f>IF(P2554&lt;&gt;"",
    IF(OR(O2554="", Q2554="", R2554=""),
        "Fill all the required columns",
        IFERROR(
            IF(OR(
                AND(R2554="Marine Protected", VLOOKUP(O2554, Reference!$A$2:$D$34, 4, FALSE) &lt;= P2554),
                AND(R2554="General Use", VLOOKUP(O2554, Reference!$A$2:$D$34, 3, FALSE) &lt;= P2554)
            ),
                "Exceeded",
                "OK"
            ),
            "No Regulation defined"
        )
    ),
    ""
)</f>
        <v/>
      </c>
      <c r="AB2554" s="62" t="str">
        <f t="shared" si="39"/>
        <v/>
      </c>
    </row>
    <row r="2555" spans="20:28" x14ac:dyDescent="0.2">
      <c r="T2555" s="60" t="str">
        <f>IF(P2555&lt;&gt;"",
    IF(OR(O2555="", Q2555="", R2555=""),
        "Fill all the required columns",
        IFERROR(
            IF(OR(
                AND(R2555="Marine Protected", VLOOKUP(O2555, Reference!$A$2:$D$34, 4, FALSE) &lt;= P2555),
                AND(R2555="General Use", VLOOKUP(O2555, Reference!$A$2:$D$34, 3, FALSE) &lt;= P2555)
            ),
                "Exceeded",
                "OK"
            ),
            "No Regulation defined"
        )
    ),
    ""
)</f>
        <v/>
      </c>
      <c r="AB2555" s="62" t="str">
        <f t="shared" si="39"/>
        <v/>
      </c>
    </row>
    <row r="2556" spans="20:28" x14ac:dyDescent="0.2">
      <c r="T2556" s="60" t="str">
        <f>IF(P2556&lt;&gt;"",
    IF(OR(O2556="", Q2556="", R2556=""),
        "Fill all the required columns",
        IFERROR(
            IF(OR(
                AND(R2556="Marine Protected", VLOOKUP(O2556, Reference!$A$2:$D$34, 4, FALSE) &lt;= P2556),
                AND(R2556="General Use", VLOOKUP(O2556, Reference!$A$2:$D$34, 3, FALSE) &lt;= P2556)
            ),
                "Exceeded",
                "OK"
            ),
            "No Regulation defined"
        )
    ),
    ""
)</f>
        <v/>
      </c>
      <c r="AB2556" s="62" t="str">
        <f t="shared" si="39"/>
        <v/>
      </c>
    </row>
    <row r="2557" spans="20:28" x14ac:dyDescent="0.2">
      <c r="T2557" s="60" t="str">
        <f>IF(P2557&lt;&gt;"",
    IF(OR(O2557="", Q2557="", R2557=""),
        "Fill all the required columns",
        IFERROR(
            IF(OR(
                AND(R2557="Marine Protected", VLOOKUP(O2557, Reference!$A$2:$D$34, 4, FALSE) &lt;= P2557),
                AND(R2557="General Use", VLOOKUP(O2557, Reference!$A$2:$D$34, 3, FALSE) &lt;= P2557)
            ),
                "Exceeded",
                "OK"
            ),
            "No Regulation defined"
        )
    ),
    ""
)</f>
        <v/>
      </c>
      <c r="AB2557" s="62" t="str">
        <f t="shared" si="39"/>
        <v/>
      </c>
    </row>
    <row r="2558" spans="20:28" x14ac:dyDescent="0.2">
      <c r="T2558" s="60" t="str">
        <f>IF(P2558&lt;&gt;"",
    IF(OR(O2558="", Q2558="", R2558=""),
        "Fill all the required columns",
        IFERROR(
            IF(OR(
                AND(R2558="Marine Protected", VLOOKUP(O2558, Reference!$A$2:$D$34, 4, FALSE) &lt;= P2558),
                AND(R2558="General Use", VLOOKUP(O2558, Reference!$A$2:$D$34, 3, FALSE) &lt;= P2558)
            ),
                "Exceeded",
                "OK"
            ),
            "No Regulation defined"
        )
    ),
    ""
)</f>
        <v/>
      </c>
      <c r="AB2558" s="62" t="str">
        <f t="shared" si="39"/>
        <v/>
      </c>
    </row>
    <row r="2559" spans="20:28" x14ac:dyDescent="0.2">
      <c r="T2559" s="60" t="str">
        <f>IF(P2559&lt;&gt;"",
    IF(OR(O2559="", Q2559="", R2559=""),
        "Fill all the required columns",
        IFERROR(
            IF(OR(
                AND(R2559="Marine Protected", VLOOKUP(O2559, Reference!$A$2:$D$34, 4, FALSE) &lt;= P2559),
                AND(R2559="General Use", VLOOKUP(O2559, Reference!$A$2:$D$34, 3, FALSE) &lt;= P2559)
            ),
                "Exceeded",
                "OK"
            ),
            "No Regulation defined"
        )
    ),
    ""
)</f>
        <v/>
      </c>
      <c r="AB2559" s="62" t="str">
        <f t="shared" si="39"/>
        <v/>
      </c>
    </row>
    <row r="2560" spans="20:28" x14ac:dyDescent="0.2">
      <c r="T2560" s="60" t="str">
        <f>IF(P2560&lt;&gt;"",
    IF(OR(O2560="", Q2560="", R2560=""),
        "Fill all the required columns",
        IFERROR(
            IF(OR(
                AND(R2560="Marine Protected", VLOOKUP(O2560, Reference!$A$2:$D$34, 4, FALSE) &lt;= P2560),
                AND(R2560="General Use", VLOOKUP(O2560, Reference!$A$2:$D$34, 3, FALSE) &lt;= P2560)
            ),
                "Exceeded",
                "OK"
            ),
            "No Regulation defined"
        )
    ),
    ""
)</f>
        <v/>
      </c>
      <c r="AB2560" s="62" t="str">
        <f t="shared" si="39"/>
        <v/>
      </c>
    </row>
    <row r="2561" spans="20:28" x14ac:dyDescent="0.2">
      <c r="T2561" s="60" t="str">
        <f>IF(P2561&lt;&gt;"",
    IF(OR(O2561="", Q2561="", R2561=""),
        "Fill all the required columns",
        IFERROR(
            IF(OR(
                AND(R2561="Marine Protected", VLOOKUP(O2561, Reference!$A$2:$D$34, 4, FALSE) &lt;= P2561),
                AND(R2561="General Use", VLOOKUP(O2561, Reference!$A$2:$D$34, 3, FALSE) &lt;= P2561)
            ),
                "Exceeded",
                "OK"
            ),
            "No Regulation defined"
        )
    ),
    ""
)</f>
        <v/>
      </c>
      <c r="AB2561" s="62" t="str">
        <f t="shared" si="39"/>
        <v/>
      </c>
    </row>
    <row r="2562" spans="20:28" x14ac:dyDescent="0.2">
      <c r="T2562" s="60" t="str">
        <f>IF(P2562&lt;&gt;"",
    IF(OR(O2562="", Q2562="", R2562=""),
        "Fill all the required columns",
        IFERROR(
            IF(OR(
                AND(R2562="Marine Protected", VLOOKUP(O2562, Reference!$A$2:$D$34, 4, FALSE) &lt;= P2562),
                AND(R2562="General Use", VLOOKUP(O2562, Reference!$A$2:$D$34, 3, FALSE) &lt;= P2562)
            ),
                "Exceeded",
                "OK"
            ),
            "No Regulation defined"
        )
    ),
    ""
)</f>
        <v/>
      </c>
      <c r="AB2562" s="62" t="str">
        <f t="shared" si="39"/>
        <v/>
      </c>
    </row>
    <row r="2563" spans="20:28" x14ac:dyDescent="0.2">
      <c r="T2563" s="60" t="str">
        <f>IF(P2563&lt;&gt;"",
    IF(OR(O2563="", Q2563="", R2563=""),
        "Fill all the required columns",
        IFERROR(
            IF(OR(
                AND(R2563="Marine Protected", VLOOKUP(O2563, Reference!$A$2:$D$34, 4, FALSE) &lt;= P2563),
                AND(R2563="General Use", VLOOKUP(O2563, Reference!$A$2:$D$34, 3, FALSE) &lt;= P2563)
            ),
                "Exceeded",
                "OK"
            ),
            "No Regulation defined"
        )
    ),
    ""
)</f>
        <v/>
      </c>
      <c r="AB2563" s="62" t="str">
        <f t="shared" ref="AB2563:AB2626" si="40">IF(COUNTA(A2563, E2563, F2563, H2563, I2563, O2563, P2563, Q2563, R2563,S2563) = 0, "", IF(COUNTA(A2563, E2563, F2563, H2563, I2563, O2563, P2563, Q2563, R2563,S2563) = 10, "OK", "Incomplete"))</f>
        <v/>
      </c>
    </row>
    <row r="2564" spans="20:28" x14ac:dyDescent="0.2">
      <c r="T2564" s="60" t="str">
        <f>IF(P2564&lt;&gt;"",
    IF(OR(O2564="", Q2564="", R2564=""),
        "Fill all the required columns",
        IFERROR(
            IF(OR(
                AND(R2564="Marine Protected", VLOOKUP(O2564, Reference!$A$2:$D$34, 4, FALSE) &lt;= P2564),
                AND(R2564="General Use", VLOOKUP(O2564, Reference!$A$2:$D$34, 3, FALSE) &lt;= P2564)
            ),
                "Exceeded",
                "OK"
            ),
            "No Regulation defined"
        )
    ),
    ""
)</f>
        <v/>
      </c>
      <c r="AB2564" s="62" t="str">
        <f t="shared" si="40"/>
        <v/>
      </c>
    </row>
    <row r="2565" spans="20:28" x14ac:dyDescent="0.2">
      <c r="T2565" s="60" t="str">
        <f>IF(P2565&lt;&gt;"",
    IF(OR(O2565="", Q2565="", R2565=""),
        "Fill all the required columns",
        IFERROR(
            IF(OR(
                AND(R2565="Marine Protected", VLOOKUP(O2565, Reference!$A$2:$D$34, 4, FALSE) &lt;= P2565),
                AND(R2565="General Use", VLOOKUP(O2565, Reference!$A$2:$D$34, 3, FALSE) &lt;= P2565)
            ),
                "Exceeded",
                "OK"
            ),
            "No Regulation defined"
        )
    ),
    ""
)</f>
        <v/>
      </c>
      <c r="AB2565" s="62" t="str">
        <f t="shared" si="40"/>
        <v/>
      </c>
    </row>
    <row r="2566" spans="20:28" x14ac:dyDescent="0.2">
      <c r="T2566" s="60" t="str">
        <f>IF(P2566&lt;&gt;"",
    IF(OR(O2566="", Q2566="", R2566=""),
        "Fill all the required columns",
        IFERROR(
            IF(OR(
                AND(R2566="Marine Protected", VLOOKUP(O2566, Reference!$A$2:$D$34, 4, FALSE) &lt;= P2566),
                AND(R2566="General Use", VLOOKUP(O2566, Reference!$A$2:$D$34, 3, FALSE) &lt;= P2566)
            ),
                "Exceeded",
                "OK"
            ),
            "No Regulation defined"
        )
    ),
    ""
)</f>
        <v/>
      </c>
      <c r="AB2566" s="62" t="str">
        <f t="shared" si="40"/>
        <v/>
      </c>
    </row>
    <row r="2567" spans="20:28" x14ac:dyDescent="0.2">
      <c r="T2567" s="60" t="str">
        <f>IF(P2567&lt;&gt;"",
    IF(OR(O2567="", Q2567="", R2567=""),
        "Fill all the required columns",
        IFERROR(
            IF(OR(
                AND(R2567="Marine Protected", VLOOKUP(O2567, Reference!$A$2:$D$34, 4, FALSE) &lt;= P2567),
                AND(R2567="General Use", VLOOKUP(O2567, Reference!$A$2:$D$34, 3, FALSE) &lt;= P2567)
            ),
                "Exceeded",
                "OK"
            ),
            "No Regulation defined"
        )
    ),
    ""
)</f>
        <v/>
      </c>
      <c r="AB2567" s="62" t="str">
        <f t="shared" si="40"/>
        <v/>
      </c>
    </row>
    <row r="2568" spans="20:28" x14ac:dyDescent="0.2">
      <c r="T2568" s="60" t="str">
        <f>IF(P2568&lt;&gt;"",
    IF(OR(O2568="", Q2568="", R2568=""),
        "Fill all the required columns",
        IFERROR(
            IF(OR(
                AND(R2568="Marine Protected", VLOOKUP(O2568, Reference!$A$2:$D$34, 4, FALSE) &lt;= P2568),
                AND(R2568="General Use", VLOOKUP(O2568, Reference!$A$2:$D$34, 3, FALSE) &lt;= P2568)
            ),
                "Exceeded",
                "OK"
            ),
            "No Regulation defined"
        )
    ),
    ""
)</f>
        <v/>
      </c>
      <c r="AB2568" s="62" t="str">
        <f t="shared" si="40"/>
        <v/>
      </c>
    </row>
    <row r="2569" spans="20:28" x14ac:dyDescent="0.2">
      <c r="T2569" s="60" t="str">
        <f>IF(P2569&lt;&gt;"",
    IF(OR(O2569="", Q2569="", R2569=""),
        "Fill all the required columns",
        IFERROR(
            IF(OR(
                AND(R2569="Marine Protected", VLOOKUP(O2569, Reference!$A$2:$D$34, 4, FALSE) &lt;= P2569),
                AND(R2569="General Use", VLOOKUP(O2569, Reference!$A$2:$D$34, 3, FALSE) &lt;= P2569)
            ),
                "Exceeded",
                "OK"
            ),
            "No Regulation defined"
        )
    ),
    ""
)</f>
        <v/>
      </c>
      <c r="AB2569" s="62" t="str">
        <f t="shared" si="40"/>
        <v/>
      </c>
    </row>
    <row r="2570" spans="20:28" x14ac:dyDescent="0.2">
      <c r="T2570" s="60" t="str">
        <f>IF(P2570&lt;&gt;"",
    IF(OR(O2570="", Q2570="", R2570=""),
        "Fill all the required columns",
        IFERROR(
            IF(OR(
                AND(R2570="Marine Protected", VLOOKUP(O2570, Reference!$A$2:$D$34, 4, FALSE) &lt;= P2570),
                AND(R2570="General Use", VLOOKUP(O2570, Reference!$A$2:$D$34, 3, FALSE) &lt;= P2570)
            ),
                "Exceeded",
                "OK"
            ),
            "No Regulation defined"
        )
    ),
    ""
)</f>
        <v/>
      </c>
      <c r="AB2570" s="62" t="str">
        <f t="shared" si="40"/>
        <v/>
      </c>
    </row>
    <row r="2571" spans="20:28" x14ac:dyDescent="0.2">
      <c r="T2571" s="60" t="str">
        <f>IF(P2571&lt;&gt;"",
    IF(OR(O2571="", Q2571="", R2571=""),
        "Fill all the required columns",
        IFERROR(
            IF(OR(
                AND(R2571="Marine Protected", VLOOKUP(O2571, Reference!$A$2:$D$34, 4, FALSE) &lt;= P2571),
                AND(R2571="General Use", VLOOKUP(O2571, Reference!$A$2:$D$34, 3, FALSE) &lt;= P2571)
            ),
                "Exceeded",
                "OK"
            ),
            "No Regulation defined"
        )
    ),
    ""
)</f>
        <v/>
      </c>
      <c r="AB2571" s="62" t="str">
        <f t="shared" si="40"/>
        <v/>
      </c>
    </row>
    <row r="2572" spans="20:28" x14ac:dyDescent="0.2">
      <c r="T2572" s="60" t="str">
        <f>IF(P2572&lt;&gt;"",
    IF(OR(O2572="", Q2572="", R2572=""),
        "Fill all the required columns",
        IFERROR(
            IF(OR(
                AND(R2572="Marine Protected", VLOOKUP(O2572, Reference!$A$2:$D$34, 4, FALSE) &lt;= P2572),
                AND(R2572="General Use", VLOOKUP(O2572, Reference!$A$2:$D$34, 3, FALSE) &lt;= P2572)
            ),
                "Exceeded",
                "OK"
            ),
            "No Regulation defined"
        )
    ),
    ""
)</f>
        <v/>
      </c>
      <c r="AB2572" s="62" t="str">
        <f t="shared" si="40"/>
        <v/>
      </c>
    </row>
    <row r="2573" spans="20:28" x14ac:dyDescent="0.2">
      <c r="T2573" s="60" t="str">
        <f>IF(P2573&lt;&gt;"",
    IF(OR(O2573="", Q2573="", R2573=""),
        "Fill all the required columns",
        IFERROR(
            IF(OR(
                AND(R2573="Marine Protected", VLOOKUP(O2573, Reference!$A$2:$D$34, 4, FALSE) &lt;= P2573),
                AND(R2573="General Use", VLOOKUP(O2573, Reference!$A$2:$D$34, 3, FALSE) &lt;= P2573)
            ),
                "Exceeded",
                "OK"
            ),
            "No Regulation defined"
        )
    ),
    ""
)</f>
        <v/>
      </c>
      <c r="AB2573" s="62" t="str">
        <f t="shared" si="40"/>
        <v/>
      </c>
    </row>
    <row r="2574" spans="20:28" x14ac:dyDescent="0.2">
      <c r="T2574" s="60" t="str">
        <f>IF(P2574&lt;&gt;"",
    IF(OR(O2574="", Q2574="", R2574=""),
        "Fill all the required columns",
        IFERROR(
            IF(OR(
                AND(R2574="Marine Protected", VLOOKUP(O2574, Reference!$A$2:$D$34, 4, FALSE) &lt;= P2574),
                AND(R2574="General Use", VLOOKUP(O2574, Reference!$A$2:$D$34, 3, FALSE) &lt;= P2574)
            ),
                "Exceeded",
                "OK"
            ),
            "No Regulation defined"
        )
    ),
    ""
)</f>
        <v/>
      </c>
      <c r="AB2574" s="62" t="str">
        <f t="shared" si="40"/>
        <v/>
      </c>
    </row>
    <row r="2575" spans="20:28" x14ac:dyDescent="0.2">
      <c r="T2575" s="60" t="str">
        <f>IF(P2575&lt;&gt;"",
    IF(OR(O2575="", Q2575="", R2575=""),
        "Fill all the required columns",
        IFERROR(
            IF(OR(
                AND(R2575="Marine Protected", VLOOKUP(O2575, Reference!$A$2:$D$34, 4, FALSE) &lt;= P2575),
                AND(R2575="General Use", VLOOKUP(O2575, Reference!$A$2:$D$34, 3, FALSE) &lt;= P2575)
            ),
                "Exceeded",
                "OK"
            ),
            "No Regulation defined"
        )
    ),
    ""
)</f>
        <v/>
      </c>
      <c r="AB2575" s="62" t="str">
        <f t="shared" si="40"/>
        <v/>
      </c>
    </row>
    <row r="2576" spans="20:28" x14ac:dyDescent="0.2">
      <c r="T2576" s="60" t="str">
        <f>IF(P2576&lt;&gt;"",
    IF(OR(O2576="", Q2576="", R2576=""),
        "Fill all the required columns",
        IFERROR(
            IF(OR(
                AND(R2576="Marine Protected", VLOOKUP(O2576, Reference!$A$2:$D$34, 4, FALSE) &lt;= P2576),
                AND(R2576="General Use", VLOOKUP(O2576, Reference!$A$2:$D$34, 3, FALSE) &lt;= P2576)
            ),
                "Exceeded",
                "OK"
            ),
            "No Regulation defined"
        )
    ),
    ""
)</f>
        <v/>
      </c>
      <c r="AB2576" s="62" t="str">
        <f t="shared" si="40"/>
        <v/>
      </c>
    </row>
    <row r="2577" spans="20:28" x14ac:dyDescent="0.2">
      <c r="T2577" s="60" t="str">
        <f>IF(P2577&lt;&gt;"",
    IF(OR(O2577="", Q2577="", R2577=""),
        "Fill all the required columns",
        IFERROR(
            IF(OR(
                AND(R2577="Marine Protected", VLOOKUP(O2577, Reference!$A$2:$D$34, 4, FALSE) &lt;= P2577),
                AND(R2577="General Use", VLOOKUP(O2577, Reference!$A$2:$D$34, 3, FALSE) &lt;= P2577)
            ),
                "Exceeded",
                "OK"
            ),
            "No Regulation defined"
        )
    ),
    ""
)</f>
        <v/>
      </c>
      <c r="AB2577" s="62" t="str">
        <f t="shared" si="40"/>
        <v/>
      </c>
    </row>
    <row r="2578" spans="20:28" x14ac:dyDescent="0.2">
      <c r="T2578" s="60" t="str">
        <f>IF(P2578&lt;&gt;"",
    IF(OR(O2578="", Q2578="", R2578=""),
        "Fill all the required columns",
        IFERROR(
            IF(OR(
                AND(R2578="Marine Protected", VLOOKUP(O2578, Reference!$A$2:$D$34, 4, FALSE) &lt;= P2578),
                AND(R2578="General Use", VLOOKUP(O2578, Reference!$A$2:$D$34, 3, FALSE) &lt;= P2578)
            ),
                "Exceeded",
                "OK"
            ),
            "No Regulation defined"
        )
    ),
    ""
)</f>
        <v/>
      </c>
      <c r="AB2578" s="62" t="str">
        <f t="shared" si="40"/>
        <v/>
      </c>
    </row>
    <row r="2579" spans="20:28" x14ac:dyDescent="0.2">
      <c r="T2579" s="60" t="str">
        <f>IF(P2579&lt;&gt;"",
    IF(OR(O2579="", Q2579="", R2579=""),
        "Fill all the required columns",
        IFERROR(
            IF(OR(
                AND(R2579="Marine Protected", VLOOKUP(O2579, Reference!$A$2:$D$34, 4, FALSE) &lt;= P2579),
                AND(R2579="General Use", VLOOKUP(O2579, Reference!$A$2:$D$34, 3, FALSE) &lt;= P2579)
            ),
                "Exceeded",
                "OK"
            ),
            "No Regulation defined"
        )
    ),
    ""
)</f>
        <v/>
      </c>
      <c r="AB2579" s="62" t="str">
        <f t="shared" si="40"/>
        <v/>
      </c>
    </row>
    <row r="2580" spans="20:28" x14ac:dyDescent="0.2">
      <c r="T2580" s="60" t="str">
        <f>IF(P2580&lt;&gt;"",
    IF(OR(O2580="", Q2580="", R2580=""),
        "Fill all the required columns",
        IFERROR(
            IF(OR(
                AND(R2580="Marine Protected", VLOOKUP(O2580, Reference!$A$2:$D$34, 4, FALSE) &lt;= P2580),
                AND(R2580="General Use", VLOOKUP(O2580, Reference!$A$2:$D$34, 3, FALSE) &lt;= P2580)
            ),
                "Exceeded",
                "OK"
            ),
            "No Regulation defined"
        )
    ),
    ""
)</f>
        <v/>
      </c>
      <c r="AB2580" s="62" t="str">
        <f t="shared" si="40"/>
        <v/>
      </c>
    </row>
    <row r="2581" spans="20:28" x14ac:dyDescent="0.2">
      <c r="T2581" s="60" t="str">
        <f>IF(P2581&lt;&gt;"",
    IF(OR(O2581="", Q2581="", R2581=""),
        "Fill all the required columns",
        IFERROR(
            IF(OR(
                AND(R2581="Marine Protected", VLOOKUP(O2581, Reference!$A$2:$D$34, 4, FALSE) &lt;= P2581),
                AND(R2581="General Use", VLOOKUP(O2581, Reference!$A$2:$D$34, 3, FALSE) &lt;= P2581)
            ),
                "Exceeded",
                "OK"
            ),
            "No Regulation defined"
        )
    ),
    ""
)</f>
        <v/>
      </c>
      <c r="AB2581" s="62" t="str">
        <f t="shared" si="40"/>
        <v/>
      </c>
    </row>
    <row r="2582" spans="20:28" x14ac:dyDescent="0.2">
      <c r="T2582" s="60" t="str">
        <f>IF(P2582&lt;&gt;"",
    IF(OR(O2582="", Q2582="", R2582=""),
        "Fill all the required columns",
        IFERROR(
            IF(OR(
                AND(R2582="Marine Protected", VLOOKUP(O2582, Reference!$A$2:$D$34, 4, FALSE) &lt;= P2582),
                AND(R2582="General Use", VLOOKUP(O2582, Reference!$A$2:$D$34, 3, FALSE) &lt;= P2582)
            ),
                "Exceeded",
                "OK"
            ),
            "No Regulation defined"
        )
    ),
    ""
)</f>
        <v/>
      </c>
      <c r="AB2582" s="62" t="str">
        <f t="shared" si="40"/>
        <v/>
      </c>
    </row>
    <row r="2583" spans="20:28" x14ac:dyDescent="0.2">
      <c r="T2583" s="60" t="str">
        <f>IF(P2583&lt;&gt;"",
    IF(OR(O2583="", Q2583="", R2583=""),
        "Fill all the required columns",
        IFERROR(
            IF(OR(
                AND(R2583="Marine Protected", VLOOKUP(O2583, Reference!$A$2:$D$34, 4, FALSE) &lt;= P2583),
                AND(R2583="General Use", VLOOKUP(O2583, Reference!$A$2:$D$34, 3, FALSE) &lt;= P2583)
            ),
                "Exceeded",
                "OK"
            ),
            "No Regulation defined"
        )
    ),
    ""
)</f>
        <v/>
      </c>
      <c r="AB2583" s="62" t="str">
        <f t="shared" si="40"/>
        <v/>
      </c>
    </row>
    <row r="2584" spans="20:28" x14ac:dyDescent="0.2">
      <c r="T2584" s="60" t="str">
        <f>IF(P2584&lt;&gt;"",
    IF(OR(O2584="", Q2584="", R2584=""),
        "Fill all the required columns",
        IFERROR(
            IF(OR(
                AND(R2584="Marine Protected", VLOOKUP(O2584, Reference!$A$2:$D$34, 4, FALSE) &lt;= P2584),
                AND(R2584="General Use", VLOOKUP(O2584, Reference!$A$2:$D$34, 3, FALSE) &lt;= P2584)
            ),
                "Exceeded",
                "OK"
            ),
            "No Regulation defined"
        )
    ),
    ""
)</f>
        <v/>
      </c>
      <c r="AB2584" s="62" t="str">
        <f t="shared" si="40"/>
        <v/>
      </c>
    </row>
    <row r="2585" spans="20:28" x14ac:dyDescent="0.2">
      <c r="T2585" s="60" t="str">
        <f>IF(P2585&lt;&gt;"",
    IF(OR(O2585="", Q2585="", R2585=""),
        "Fill all the required columns",
        IFERROR(
            IF(OR(
                AND(R2585="Marine Protected", VLOOKUP(O2585, Reference!$A$2:$D$34, 4, FALSE) &lt;= P2585),
                AND(R2585="General Use", VLOOKUP(O2585, Reference!$A$2:$D$34, 3, FALSE) &lt;= P2585)
            ),
                "Exceeded",
                "OK"
            ),
            "No Regulation defined"
        )
    ),
    ""
)</f>
        <v/>
      </c>
      <c r="AB2585" s="62" t="str">
        <f t="shared" si="40"/>
        <v/>
      </c>
    </row>
    <row r="2586" spans="20:28" x14ac:dyDescent="0.2">
      <c r="T2586" s="60" t="str">
        <f>IF(P2586&lt;&gt;"",
    IF(OR(O2586="", Q2586="", R2586=""),
        "Fill all the required columns",
        IFERROR(
            IF(OR(
                AND(R2586="Marine Protected", VLOOKUP(O2586, Reference!$A$2:$D$34, 4, FALSE) &lt;= P2586),
                AND(R2586="General Use", VLOOKUP(O2586, Reference!$A$2:$D$34, 3, FALSE) &lt;= P2586)
            ),
                "Exceeded",
                "OK"
            ),
            "No Regulation defined"
        )
    ),
    ""
)</f>
        <v/>
      </c>
      <c r="AB2586" s="62" t="str">
        <f t="shared" si="40"/>
        <v/>
      </c>
    </row>
    <row r="2587" spans="20:28" x14ac:dyDescent="0.2">
      <c r="T2587" s="60" t="str">
        <f>IF(P2587&lt;&gt;"",
    IF(OR(O2587="", Q2587="", R2587=""),
        "Fill all the required columns",
        IFERROR(
            IF(OR(
                AND(R2587="Marine Protected", VLOOKUP(O2587, Reference!$A$2:$D$34, 4, FALSE) &lt;= P2587),
                AND(R2587="General Use", VLOOKUP(O2587, Reference!$A$2:$D$34, 3, FALSE) &lt;= P2587)
            ),
                "Exceeded",
                "OK"
            ),
            "No Regulation defined"
        )
    ),
    ""
)</f>
        <v/>
      </c>
      <c r="AB2587" s="62" t="str">
        <f t="shared" si="40"/>
        <v/>
      </c>
    </row>
    <row r="2588" spans="20:28" x14ac:dyDescent="0.2">
      <c r="T2588" s="60" t="str">
        <f>IF(P2588&lt;&gt;"",
    IF(OR(O2588="", Q2588="", R2588=""),
        "Fill all the required columns",
        IFERROR(
            IF(OR(
                AND(R2588="Marine Protected", VLOOKUP(O2588, Reference!$A$2:$D$34, 4, FALSE) &lt;= P2588),
                AND(R2588="General Use", VLOOKUP(O2588, Reference!$A$2:$D$34, 3, FALSE) &lt;= P2588)
            ),
                "Exceeded",
                "OK"
            ),
            "No Regulation defined"
        )
    ),
    ""
)</f>
        <v/>
      </c>
      <c r="AB2588" s="62" t="str">
        <f t="shared" si="40"/>
        <v/>
      </c>
    </row>
    <row r="2589" spans="20:28" x14ac:dyDescent="0.2">
      <c r="T2589" s="60" t="str">
        <f>IF(P2589&lt;&gt;"",
    IF(OR(O2589="", Q2589="", R2589=""),
        "Fill all the required columns",
        IFERROR(
            IF(OR(
                AND(R2589="Marine Protected", VLOOKUP(O2589, Reference!$A$2:$D$34, 4, FALSE) &lt;= P2589),
                AND(R2589="General Use", VLOOKUP(O2589, Reference!$A$2:$D$34, 3, FALSE) &lt;= P2589)
            ),
                "Exceeded",
                "OK"
            ),
            "No Regulation defined"
        )
    ),
    ""
)</f>
        <v/>
      </c>
      <c r="AB2589" s="62" t="str">
        <f t="shared" si="40"/>
        <v/>
      </c>
    </row>
    <row r="2590" spans="20:28" x14ac:dyDescent="0.2">
      <c r="T2590" s="60" t="str">
        <f>IF(P2590&lt;&gt;"",
    IF(OR(O2590="", Q2590="", R2590=""),
        "Fill all the required columns",
        IFERROR(
            IF(OR(
                AND(R2590="Marine Protected", VLOOKUP(O2590, Reference!$A$2:$D$34, 4, FALSE) &lt;= P2590),
                AND(R2590="General Use", VLOOKUP(O2590, Reference!$A$2:$D$34, 3, FALSE) &lt;= P2590)
            ),
                "Exceeded",
                "OK"
            ),
            "No Regulation defined"
        )
    ),
    ""
)</f>
        <v/>
      </c>
      <c r="AB2590" s="62" t="str">
        <f t="shared" si="40"/>
        <v/>
      </c>
    </row>
    <row r="2591" spans="20:28" x14ac:dyDescent="0.2">
      <c r="T2591" s="60" t="str">
        <f>IF(P2591&lt;&gt;"",
    IF(OR(O2591="", Q2591="", R2591=""),
        "Fill all the required columns",
        IFERROR(
            IF(OR(
                AND(R2591="Marine Protected", VLOOKUP(O2591, Reference!$A$2:$D$34, 4, FALSE) &lt;= P2591),
                AND(R2591="General Use", VLOOKUP(O2591, Reference!$A$2:$D$34, 3, FALSE) &lt;= P2591)
            ),
                "Exceeded",
                "OK"
            ),
            "No Regulation defined"
        )
    ),
    ""
)</f>
        <v/>
      </c>
      <c r="AB2591" s="62" t="str">
        <f t="shared" si="40"/>
        <v/>
      </c>
    </row>
    <row r="2592" spans="20:28" x14ac:dyDescent="0.2">
      <c r="T2592" s="60" t="str">
        <f>IF(P2592&lt;&gt;"",
    IF(OR(O2592="", Q2592="", R2592=""),
        "Fill all the required columns",
        IFERROR(
            IF(OR(
                AND(R2592="Marine Protected", VLOOKUP(O2592, Reference!$A$2:$D$34, 4, FALSE) &lt;= P2592),
                AND(R2592="General Use", VLOOKUP(O2592, Reference!$A$2:$D$34, 3, FALSE) &lt;= P2592)
            ),
                "Exceeded",
                "OK"
            ),
            "No Regulation defined"
        )
    ),
    ""
)</f>
        <v/>
      </c>
      <c r="AB2592" s="62" t="str">
        <f t="shared" si="40"/>
        <v/>
      </c>
    </row>
    <row r="2593" spans="20:28" x14ac:dyDescent="0.2">
      <c r="T2593" s="60" t="str">
        <f>IF(P2593&lt;&gt;"",
    IF(OR(O2593="", Q2593="", R2593=""),
        "Fill all the required columns",
        IFERROR(
            IF(OR(
                AND(R2593="Marine Protected", VLOOKUP(O2593, Reference!$A$2:$D$34, 4, FALSE) &lt;= P2593),
                AND(R2593="General Use", VLOOKUP(O2593, Reference!$A$2:$D$34, 3, FALSE) &lt;= P2593)
            ),
                "Exceeded",
                "OK"
            ),
            "No Regulation defined"
        )
    ),
    ""
)</f>
        <v/>
      </c>
      <c r="AB2593" s="62" t="str">
        <f t="shared" si="40"/>
        <v/>
      </c>
    </row>
    <row r="2594" spans="20:28" x14ac:dyDescent="0.2">
      <c r="T2594" s="60" t="str">
        <f>IF(P2594&lt;&gt;"",
    IF(OR(O2594="", Q2594="", R2594=""),
        "Fill all the required columns",
        IFERROR(
            IF(OR(
                AND(R2594="Marine Protected", VLOOKUP(O2594, Reference!$A$2:$D$34, 4, FALSE) &lt;= P2594),
                AND(R2594="General Use", VLOOKUP(O2594, Reference!$A$2:$D$34, 3, FALSE) &lt;= P2594)
            ),
                "Exceeded",
                "OK"
            ),
            "No Regulation defined"
        )
    ),
    ""
)</f>
        <v/>
      </c>
      <c r="AB2594" s="62" t="str">
        <f t="shared" si="40"/>
        <v/>
      </c>
    </row>
    <row r="2595" spans="20:28" x14ac:dyDescent="0.2">
      <c r="T2595" s="60" t="str">
        <f>IF(P2595&lt;&gt;"",
    IF(OR(O2595="", Q2595="", R2595=""),
        "Fill all the required columns",
        IFERROR(
            IF(OR(
                AND(R2595="Marine Protected", VLOOKUP(O2595, Reference!$A$2:$D$34, 4, FALSE) &lt;= P2595),
                AND(R2595="General Use", VLOOKUP(O2595, Reference!$A$2:$D$34, 3, FALSE) &lt;= P2595)
            ),
                "Exceeded",
                "OK"
            ),
            "No Regulation defined"
        )
    ),
    ""
)</f>
        <v/>
      </c>
      <c r="AB2595" s="62" t="str">
        <f t="shared" si="40"/>
        <v/>
      </c>
    </row>
    <row r="2596" spans="20:28" x14ac:dyDescent="0.2">
      <c r="T2596" s="60" t="str">
        <f>IF(P2596&lt;&gt;"",
    IF(OR(O2596="", Q2596="", R2596=""),
        "Fill all the required columns",
        IFERROR(
            IF(OR(
                AND(R2596="Marine Protected", VLOOKUP(O2596, Reference!$A$2:$D$34, 4, FALSE) &lt;= P2596),
                AND(R2596="General Use", VLOOKUP(O2596, Reference!$A$2:$D$34, 3, FALSE) &lt;= P2596)
            ),
                "Exceeded",
                "OK"
            ),
            "No Regulation defined"
        )
    ),
    ""
)</f>
        <v/>
      </c>
      <c r="AB2596" s="62" t="str">
        <f t="shared" si="40"/>
        <v/>
      </c>
    </row>
    <row r="2597" spans="20:28" x14ac:dyDescent="0.2">
      <c r="T2597" s="60" t="str">
        <f>IF(P2597&lt;&gt;"",
    IF(OR(O2597="", Q2597="", R2597=""),
        "Fill all the required columns",
        IFERROR(
            IF(OR(
                AND(R2597="Marine Protected", VLOOKUP(O2597, Reference!$A$2:$D$34, 4, FALSE) &lt;= P2597),
                AND(R2597="General Use", VLOOKUP(O2597, Reference!$A$2:$D$34, 3, FALSE) &lt;= P2597)
            ),
                "Exceeded",
                "OK"
            ),
            "No Regulation defined"
        )
    ),
    ""
)</f>
        <v/>
      </c>
      <c r="AB2597" s="62" t="str">
        <f t="shared" si="40"/>
        <v/>
      </c>
    </row>
    <row r="2598" spans="20:28" x14ac:dyDescent="0.2">
      <c r="T2598" s="60" t="str">
        <f>IF(P2598&lt;&gt;"",
    IF(OR(O2598="", Q2598="", R2598=""),
        "Fill all the required columns",
        IFERROR(
            IF(OR(
                AND(R2598="Marine Protected", VLOOKUP(O2598, Reference!$A$2:$D$34, 4, FALSE) &lt;= P2598),
                AND(R2598="General Use", VLOOKUP(O2598, Reference!$A$2:$D$34, 3, FALSE) &lt;= P2598)
            ),
                "Exceeded",
                "OK"
            ),
            "No Regulation defined"
        )
    ),
    ""
)</f>
        <v/>
      </c>
      <c r="AB2598" s="62" t="str">
        <f t="shared" si="40"/>
        <v/>
      </c>
    </row>
    <row r="2599" spans="20:28" x14ac:dyDescent="0.2">
      <c r="T2599" s="60" t="str">
        <f>IF(P2599&lt;&gt;"",
    IF(OR(O2599="", Q2599="", R2599=""),
        "Fill all the required columns",
        IFERROR(
            IF(OR(
                AND(R2599="Marine Protected", VLOOKUP(O2599, Reference!$A$2:$D$34, 4, FALSE) &lt;= P2599),
                AND(R2599="General Use", VLOOKUP(O2599, Reference!$A$2:$D$34, 3, FALSE) &lt;= P2599)
            ),
                "Exceeded",
                "OK"
            ),
            "No Regulation defined"
        )
    ),
    ""
)</f>
        <v/>
      </c>
      <c r="AB2599" s="62" t="str">
        <f t="shared" si="40"/>
        <v/>
      </c>
    </row>
    <row r="2600" spans="20:28" x14ac:dyDescent="0.2">
      <c r="T2600" s="60" t="str">
        <f>IF(P2600&lt;&gt;"",
    IF(OR(O2600="", Q2600="", R2600=""),
        "Fill all the required columns",
        IFERROR(
            IF(OR(
                AND(R2600="Marine Protected", VLOOKUP(O2600, Reference!$A$2:$D$34, 4, FALSE) &lt;= P2600),
                AND(R2600="General Use", VLOOKUP(O2600, Reference!$A$2:$D$34, 3, FALSE) &lt;= P2600)
            ),
                "Exceeded",
                "OK"
            ),
            "No Regulation defined"
        )
    ),
    ""
)</f>
        <v/>
      </c>
      <c r="AB2600" s="62" t="str">
        <f t="shared" si="40"/>
        <v/>
      </c>
    </row>
    <row r="2601" spans="20:28" x14ac:dyDescent="0.2">
      <c r="T2601" s="60" t="str">
        <f>IF(P2601&lt;&gt;"",
    IF(OR(O2601="", Q2601="", R2601=""),
        "Fill all the required columns",
        IFERROR(
            IF(OR(
                AND(R2601="Marine Protected", VLOOKUP(O2601, Reference!$A$2:$D$34, 4, FALSE) &lt;= P2601),
                AND(R2601="General Use", VLOOKUP(O2601, Reference!$A$2:$D$34, 3, FALSE) &lt;= P2601)
            ),
                "Exceeded",
                "OK"
            ),
            "No Regulation defined"
        )
    ),
    ""
)</f>
        <v/>
      </c>
      <c r="AB2601" s="62" t="str">
        <f t="shared" si="40"/>
        <v/>
      </c>
    </row>
    <row r="2602" spans="20:28" x14ac:dyDescent="0.2">
      <c r="T2602" s="60" t="str">
        <f>IF(P2602&lt;&gt;"",
    IF(OR(O2602="", Q2602="", R2602=""),
        "Fill all the required columns",
        IFERROR(
            IF(OR(
                AND(R2602="Marine Protected", VLOOKUP(O2602, Reference!$A$2:$D$34, 4, FALSE) &lt;= P2602),
                AND(R2602="General Use", VLOOKUP(O2602, Reference!$A$2:$D$34, 3, FALSE) &lt;= P2602)
            ),
                "Exceeded",
                "OK"
            ),
            "No Regulation defined"
        )
    ),
    ""
)</f>
        <v/>
      </c>
      <c r="AB2602" s="62" t="str">
        <f t="shared" si="40"/>
        <v/>
      </c>
    </row>
    <row r="2603" spans="20:28" x14ac:dyDescent="0.2">
      <c r="T2603" s="60" t="str">
        <f>IF(P2603&lt;&gt;"",
    IF(OR(O2603="", Q2603="", R2603=""),
        "Fill all the required columns",
        IFERROR(
            IF(OR(
                AND(R2603="Marine Protected", VLOOKUP(O2603, Reference!$A$2:$D$34, 4, FALSE) &lt;= P2603),
                AND(R2603="General Use", VLOOKUP(O2603, Reference!$A$2:$D$34, 3, FALSE) &lt;= P2603)
            ),
                "Exceeded",
                "OK"
            ),
            "No Regulation defined"
        )
    ),
    ""
)</f>
        <v/>
      </c>
      <c r="AB2603" s="62" t="str">
        <f t="shared" si="40"/>
        <v/>
      </c>
    </row>
    <row r="2604" spans="20:28" x14ac:dyDescent="0.2">
      <c r="T2604" s="60" t="str">
        <f>IF(P2604&lt;&gt;"",
    IF(OR(O2604="", Q2604="", R2604=""),
        "Fill all the required columns",
        IFERROR(
            IF(OR(
                AND(R2604="Marine Protected", VLOOKUP(O2604, Reference!$A$2:$D$34, 4, FALSE) &lt;= P2604),
                AND(R2604="General Use", VLOOKUP(O2604, Reference!$A$2:$D$34, 3, FALSE) &lt;= P2604)
            ),
                "Exceeded",
                "OK"
            ),
            "No Regulation defined"
        )
    ),
    ""
)</f>
        <v/>
      </c>
      <c r="AB2604" s="62" t="str">
        <f t="shared" si="40"/>
        <v/>
      </c>
    </row>
    <row r="2605" spans="20:28" x14ac:dyDescent="0.2">
      <c r="T2605" s="60" t="str">
        <f>IF(P2605&lt;&gt;"",
    IF(OR(O2605="", Q2605="", R2605=""),
        "Fill all the required columns",
        IFERROR(
            IF(OR(
                AND(R2605="Marine Protected", VLOOKUP(O2605, Reference!$A$2:$D$34, 4, FALSE) &lt;= P2605),
                AND(R2605="General Use", VLOOKUP(O2605, Reference!$A$2:$D$34, 3, FALSE) &lt;= P2605)
            ),
                "Exceeded",
                "OK"
            ),
            "No Regulation defined"
        )
    ),
    ""
)</f>
        <v/>
      </c>
      <c r="AB2605" s="62" t="str">
        <f t="shared" si="40"/>
        <v/>
      </c>
    </row>
    <row r="2606" spans="20:28" x14ac:dyDescent="0.2">
      <c r="T2606" s="60" t="str">
        <f>IF(P2606&lt;&gt;"",
    IF(OR(O2606="", Q2606="", R2606=""),
        "Fill all the required columns",
        IFERROR(
            IF(OR(
                AND(R2606="Marine Protected", VLOOKUP(O2606, Reference!$A$2:$D$34, 4, FALSE) &lt;= P2606),
                AND(R2606="General Use", VLOOKUP(O2606, Reference!$A$2:$D$34, 3, FALSE) &lt;= P2606)
            ),
                "Exceeded",
                "OK"
            ),
            "No Regulation defined"
        )
    ),
    ""
)</f>
        <v/>
      </c>
      <c r="AB2606" s="62" t="str">
        <f t="shared" si="40"/>
        <v/>
      </c>
    </row>
    <row r="2607" spans="20:28" x14ac:dyDescent="0.2">
      <c r="T2607" s="60" t="str">
        <f>IF(P2607&lt;&gt;"",
    IF(OR(O2607="", Q2607="", R2607=""),
        "Fill all the required columns",
        IFERROR(
            IF(OR(
                AND(R2607="Marine Protected", VLOOKUP(O2607, Reference!$A$2:$D$34, 4, FALSE) &lt;= P2607),
                AND(R2607="General Use", VLOOKUP(O2607, Reference!$A$2:$D$34, 3, FALSE) &lt;= P2607)
            ),
                "Exceeded",
                "OK"
            ),
            "No Regulation defined"
        )
    ),
    ""
)</f>
        <v/>
      </c>
      <c r="AB2607" s="62" t="str">
        <f t="shared" si="40"/>
        <v/>
      </c>
    </row>
    <row r="2608" spans="20:28" x14ac:dyDescent="0.2">
      <c r="T2608" s="60" t="str">
        <f>IF(P2608&lt;&gt;"",
    IF(OR(O2608="", Q2608="", R2608=""),
        "Fill all the required columns",
        IFERROR(
            IF(OR(
                AND(R2608="Marine Protected", VLOOKUP(O2608, Reference!$A$2:$D$34, 4, FALSE) &lt;= P2608),
                AND(R2608="General Use", VLOOKUP(O2608, Reference!$A$2:$D$34, 3, FALSE) &lt;= P2608)
            ),
                "Exceeded",
                "OK"
            ),
            "No Regulation defined"
        )
    ),
    ""
)</f>
        <v/>
      </c>
      <c r="AB2608" s="62" t="str">
        <f t="shared" si="40"/>
        <v/>
      </c>
    </row>
    <row r="2609" spans="20:28" x14ac:dyDescent="0.2">
      <c r="T2609" s="60" t="str">
        <f>IF(P2609&lt;&gt;"",
    IF(OR(O2609="", Q2609="", R2609=""),
        "Fill all the required columns",
        IFERROR(
            IF(OR(
                AND(R2609="Marine Protected", VLOOKUP(O2609, Reference!$A$2:$D$34, 4, FALSE) &lt;= P2609),
                AND(R2609="General Use", VLOOKUP(O2609, Reference!$A$2:$D$34, 3, FALSE) &lt;= P2609)
            ),
                "Exceeded",
                "OK"
            ),
            "No Regulation defined"
        )
    ),
    ""
)</f>
        <v/>
      </c>
      <c r="AB2609" s="62" t="str">
        <f t="shared" si="40"/>
        <v/>
      </c>
    </row>
    <row r="2610" spans="20:28" x14ac:dyDescent="0.2">
      <c r="T2610" s="60" t="str">
        <f>IF(P2610&lt;&gt;"",
    IF(OR(O2610="", Q2610="", R2610=""),
        "Fill all the required columns",
        IFERROR(
            IF(OR(
                AND(R2610="Marine Protected", VLOOKUP(O2610, Reference!$A$2:$D$34, 4, FALSE) &lt;= P2610),
                AND(R2610="General Use", VLOOKUP(O2610, Reference!$A$2:$D$34, 3, FALSE) &lt;= P2610)
            ),
                "Exceeded",
                "OK"
            ),
            "No Regulation defined"
        )
    ),
    ""
)</f>
        <v/>
      </c>
      <c r="AB2610" s="62" t="str">
        <f t="shared" si="40"/>
        <v/>
      </c>
    </row>
    <row r="2611" spans="20:28" x14ac:dyDescent="0.2">
      <c r="T2611" s="60" t="str">
        <f>IF(P2611&lt;&gt;"",
    IF(OR(O2611="", Q2611="", R2611=""),
        "Fill all the required columns",
        IFERROR(
            IF(OR(
                AND(R2611="Marine Protected", VLOOKUP(O2611, Reference!$A$2:$D$34, 4, FALSE) &lt;= P2611),
                AND(R2611="General Use", VLOOKUP(O2611, Reference!$A$2:$D$34, 3, FALSE) &lt;= P2611)
            ),
                "Exceeded",
                "OK"
            ),
            "No Regulation defined"
        )
    ),
    ""
)</f>
        <v/>
      </c>
      <c r="AB2611" s="62" t="str">
        <f t="shared" si="40"/>
        <v/>
      </c>
    </row>
    <row r="2612" spans="20:28" x14ac:dyDescent="0.2">
      <c r="T2612" s="60" t="str">
        <f>IF(P2612&lt;&gt;"",
    IF(OR(O2612="", Q2612="", R2612=""),
        "Fill all the required columns",
        IFERROR(
            IF(OR(
                AND(R2612="Marine Protected", VLOOKUP(O2612, Reference!$A$2:$D$34, 4, FALSE) &lt;= P2612),
                AND(R2612="General Use", VLOOKUP(O2612, Reference!$A$2:$D$34, 3, FALSE) &lt;= P2612)
            ),
                "Exceeded",
                "OK"
            ),
            "No Regulation defined"
        )
    ),
    ""
)</f>
        <v/>
      </c>
      <c r="AB2612" s="62" t="str">
        <f t="shared" si="40"/>
        <v/>
      </c>
    </row>
    <row r="2613" spans="20:28" x14ac:dyDescent="0.2">
      <c r="T2613" s="60" t="str">
        <f>IF(P2613&lt;&gt;"",
    IF(OR(O2613="", Q2613="", R2613=""),
        "Fill all the required columns",
        IFERROR(
            IF(OR(
                AND(R2613="Marine Protected", VLOOKUP(O2613, Reference!$A$2:$D$34, 4, FALSE) &lt;= P2613),
                AND(R2613="General Use", VLOOKUP(O2613, Reference!$A$2:$D$34, 3, FALSE) &lt;= P2613)
            ),
                "Exceeded",
                "OK"
            ),
            "No Regulation defined"
        )
    ),
    ""
)</f>
        <v/>
      </c>
      <c r="AB2613" s="62" t="str">
        <f t="shared" si="40"/>
        <v/>
      </c>
    </row>
    <row r="2614" spans="20:28" x14ac:dyDescent="0.2">
      <c r="T2614" s="60" t="str">
        <f>IF(P2614&lt;&gt;"",
    IF(OR(O2614="", Q2614="", R2614=""),
        "Fill all the required columns",
        IFERROR(
            IF(OR(
                AND(R2614="Marine Protected", VLOOKUP(O2614, Reference!$A$2:$D$34, 4, FALSE) &lt;= P2614),
                AND(R2614="General Use", VLOOKUP(O2614, Reference!$A$2:$D$34, 3, FALSE) &lt;= P2614)
            ),
                "Exceeded",
                "OK"
            ),
            "No Regulation defined"
        )
    ),
    ""
)</f>
        <v/>
      </c>
      <c r="AB2614" s="62" t="str">
        <f t="shared" si="40"/>
        <v/>
      </c>
    </row>
    <row r="2615" spans="20:28" x14ac:dyDescent="0.2">
      <c r="T2615" s="60" t="str">
        <f>IF(P2615&lt;&gt;"",
    IF(OR(O2615="", Q2615="", R2615=""),
        "Fill all the required columns",
        IFERROR(
            IF(OR(
                AND(R2615="Marine Protected", VLOOKUP(O2615, Reference!$A$2:$D$34, 4, FALSE) &lt;= P2615),
                AND(R2615="General Use", VLOOKUP(O2615, Reference!$A$2:$D$34, 3, FALSE) &lt;= P2615)
            ),
                "Exceeded",
                "OK"
            ),
            "No Regulation defined"
        )
    ),
    ""
)</f>
        <v/>
      </c>
      <c r="AB2615" s="62" t="str">
        <f t="shared" si="40"/>
        <v/>
      </c>
    </row>
    <row r="2616" spans="20:28" x14ac:dyDescent="0.2">
      <c r="T2616" s="60" t="str">
        <f>IF(P2616&lt;&gt;"",
    IF(OR(O2616="", Q2616="", R2616=""),
        "Fill all the required columns",
        IFERROR(
            IF(OR(
                AND(R2616="Marine Protected", VLOOKUP(O2616, Reference!$A$2:$D$34, 4, FALSE) &lt;= P2616),
                AND(R2616="General Use", VLOOKUP(O2616, Reference!$A$2:$D$34, 3, FALSE) &lt;= P2616)
            ),
                "Exceeded",
                "OK"
            ),
            "No Regulation defined"
        )
    ),
    ""
)</f>
        <v/>
      </c>
      <c r="AB2616" s="62" t="str">
        <f t="shared" si="40"/>
        <v/>
      </c>
    </row>
    <row r="2617" spans="20:28" x14ac:dyDescent="0.2">
      <c r="T2617" s="60" t="str">
        <f>IF(P2617&lt;&gt;"",
    IF(OR(O2617="", Q2617="", R2617=""),
        "Fill all the required columns",
        IFERROR(
            IF(OR(
                AND(R2617="Marine Protected", VLOOKUP(O2617, Reference!$A$2:$D$34, 4, FALSE) &lt;= P2617),
                AND(R2617="General Use", VLOOKUP(O2617, Reference!$A$2:$D$34, 3, FALSE) &lt;= P2617)
            ),
                "Exceeded",
                "OK"
            ),
            "No Regulation defined"
        )
    ),
    ""
)</f>
        <v/>
      </c>
      <c r="AB2617" s="62" t="str">
        <f t="shared" si="40"/>
        <v/>
      </c>
    </row>
    <row r="2618" spans="20:28" x14ac:dyDescent="0.2">
      <c r="T2618" s="60" t="str">
        <f>IF(P2618&lt;&gt;"",
    IF(OR(O2618="", Q2618="", R2618=""),
        "Fill all the required columns",
        IFERROR(
            IF(OR(
                AND(R2618="Marine Protected", VLOOKUP(O2618, Reference!$A$2:$D$34, 4, FALSE) &lt;= P2618),
                AND(R2618="General Use", VLOOKUP(O2618, Reference!$A$2:$D$34, 3, FALSE) &lt;= P2618)
            ),
                "Exceeded",
                "OK"
            ),
            "No Regulation defined"
        )
    ),
    ""
)</f>
        <v/>
      </c>
      <c r="AB2618" s="62" t="str">
        <f t="shared" si="40"/>
        <v/>
      </c>
    </row>
    <row r="2619" spans="20:28" x14ac:dyDescent="0.2">
      <c r="T2619" s="60" t="str">
        <f>IF(P2619&lt;&gt;"",
    IF(OR(O2619="", Q2619="", R2619=""),
        "Fill all the required columns",
        IFERROR(
            IF(OR(
                AND(R2619="Marine Protected", VLOOKUP(O2619, Reference!$A$2:$D$34, 4, FALSE) &lt;= P2619),
                AND(R2619="General Use", VLOOKUP(O2619, Reference!$A$2:$D$34, 3, FALSE) &lt;= P2619)
            ),
                "Exceeded",
                "OK"
            ),
            "No Regulation defined"
        )
    ),
    ""
)</f>
        <v/>
      </c>
      <c r="AB2619" s="62" t="str">
        <f t="shared" si="40"/>
        <v/>
      </c>
    </row>
    <row r="2620" spans="20:28" x14ac:dyDescent="0.2">
      <c r="T2620" s="60" t="str">
        <f>IF(P2620&lt;&gt;"",
    IF(OR(O2620="", Q2620="", R2620=""),
        "Fill all the required columns",
        IFERROR(
            IF(OR(
                AND(R2620="Marine Protected", VLOOKUP(O2620, Reference!$A$2:$D$34, 4, FALSE) &lt;= P2620),
                AND(R2620="General Use", VLOOKUP(O2620, Reference!$A$2:$D$34, 3, FALSE) &lt;= P2620)
            ),
                "Exceeded",
                "OK"
            ),
            "No Regulation defined"
        )
    ),
    ""
)</f>
        <v/>
      </c>
      <c r="AB2620" s="62" t="str">
        <f t="shared" si="40"/>
        <v/>
      </c>
    </row>
    <row r="2621" spans="20:28" x14ac:dyDescent="0.2">
      <c r="T2621" s="60" t="str">
        <f>IF(P2621&lt;&gt;"",
    IF(OR(O2621="", Q2621="", R2621=""),
        "Fill all the required columns",
        IFERROR(
            IF(OR(
                AND(R2621="Marine Protected", VLOOKUP(O2621, Reference!$A$2:$D$34, 4, FALSE) &lt;= P2621),
                AND(R2621="General Use", VLOOKUP(O2621, Reference!$A$2:$D$34, 3, FALSE) &lt;= P2621)
            ),
                "Exceeded",
                "OK"
            ),
            "No Regulation defined"
        )
    ),
    ""
)</f>
        <v/>
      </c>
      <c r="AB2621" s="62" t="str">
        <f t="shared" si="40"/>
        <v/>
      </c>
    </row>
    <row r="2622" spans="20:28" x14ac:dyDescent="0.2">
      <c r="T2622" s="60" t="str">
        <f>IF(P2622&lt;&gt;"",
    IF(OR(O2622="", Q2622="", R2622=""),
        "Fill all the required columns",
        IFERROR(
            IF(OR(
                AND(R2622="Marine Protected", VLOOKUP(O2622, Reference!$A$2:$D$34, 4, FALSE) &lt;= P2622),
                AND(R2622="General Use", VLOOKUP(O2622, Reference!$A$2:$D$34, 3, FALSE) &lt;= P2622)
            ),
                "Exceeded",
                "OK"
            ),
            "No Regulation defined"
        )
    ),
    ""
)</f>
        <v/>
      </c>
      <c r="AB2622" s="62" t="str">
        <f t="shared" si="40"/>
        <v/>
      </c>
    </row>
    <row r="2623" spans="20:28" x14ac:dyDescent="0.2">
      <c r="T2623" s="60" t="str">
        <f>IF(P2623&lt;&gt;"",
    IF(OR(O2623="", Q2623="", R2623=""),
        "Fill all the required columns",
        IFERROR(
            IF(OR(
                AND(R2623="Marine Protected", VLOOKUP(O2623, Reference!$A$2:$D$34, 4, FALSE) &lt;= P2623),
                AND(R2623="General Use", VLOOKUP(O2623, Reference!$A$2:$D$34, 3, FALSE) &lt;= P2623)
            ),
                "Exceeded",
                "OK"
            ),
            "No Regulation defined"
        )
    ),
    ""
)</f>
        <v/>
      </c>
      <c r="AB2623" s="62" t="str">
        <f t="shared" si="40"/>
        <v/>
      </c>
    </row>
    <row r="2624" spans="20:28" x14ac:dyDescent="0.2">
      <c r="T2624" s="60" t="str">
        <f>IF(P2624&lt;&gt;"",
    IF(OR(O2624="", Q2624="", R2624=""),
        "Fill all the required columns",
        IFERROR(
            IF(OR(
                AND(R2624="Marine Protected", VLOOKUP(O2624, Reference!$A$2:$D$34, 4, FALSE) &lt;= P2624),
                AND(R2624="General Use", VLOOKUP(O2624, Reference!$A$2:$D$34, 3, FALSE) &lt;= P2624)
            ),
                "Exceeded",
                "OK"
            ),
            "No Regulation defined"
        )
    ),
    ""
)</f>
        <v/>
      </c>
      <c r="AB2624" s="62" t="str">
        <f t="shared" si="40"/>
        <v/>
      </c>
    </row>
    <row r="2625" spans="20:28" x14ac:dyDescent="0.2">
      <c r="T2625" s="60" t="str">
        <f>IF(P2625&lt;&gt;"",
    IF(OR(O2625="", Q2625="", R2625=""),
        "Fill all the required columns",
        IFERROR(
            IF(OR(
                AND(R2625="Marine Protected", VLOOKUP(O2625, Reference!$A$2:$D$34, 4, FALSE) &lt;= P2625),
                AND(R2625="General Use", VLOOKUP(O2625, Reference!$A$2:$D$34, 3, FALSE) &lt;= P2625)
            ),
                "Exceeded",
                "OK"
            ),
            "No Regulation defined"
        )
    ),
    ""
)</f>
        <v/>
      </c>
      <c r="AB2625" s="62" t="str">
        <f t="shared" si="40"/>
        <v/>
      </c>
    </row>
    <row r="2626" spans="20:28" x14ac:dyDescent="0.2">
      <c r="T2626" s="60" t="str">
        <f>IF(P2626&lt;&gt;"",
    IF(OR(O2626="", Q2626="", R2626=""),
        "Fill all the required columns",
        IFERROR(
            IF(OR(
                AND(R2626="Marine Protected", VLOOKUP(O2626, Reference!$A$2:$D$34, 4, FALSE) &lt;= P2626),
                AND(R2626="General Use", VLOOKUP(O2626, Reference!$A$2:$D$34, 3, FALSE) &lt;= P2626)
            ),
                "Exceeded",
                "OK"
            ),
            "No Regulation defined"
        )
    ),
    ""
)</f>
        <v/>
      </c>
      <c r="AB2626" s="62" t="str">
        <f t="shared" si="40"/>
        <v/>
      </c>
    </row>
    <row r="2627" spans="20:28" x14ac:dyDescent="0.2">
      <c r="T2627" s="60" t="str">
        <f>IF(P2627&lt;&gt;"",
    IF(OR(O2627="", Q2627="", R2627=""),
        "Fill all the required columns",
        IFERROR(
            IF(OR(
                AND(R2627="Marine Protected", VLOOKUP(O2627, Reference!$A$2:$D$34, 4, FALSE) &lt;= P2627),
                AND(R2627="General Use", VLOOKUP(O2627, Reference!$A$2:$D$34, 3, FALSE) &lt;= P2627)
            ),
                "Exceeded",
                "OK"
            ),
            "No Regulation defined"
        )
    ),
    ""
)</f>
        <v/>
      </c>
      <c r="AB2627" s="62" t="str">
        <f t="shared" ref="AB2627:AB2690" si="41">IF(COUNTA(A2627, E2627, F2627, H2627, I2627, O2627, P2627, Q2627, R2627,S2627) = 0, "", IF(COUNTA(A2627, E2627, F2627, H2627, I2627, O2627, P2627, Q2627, R2627,S2627) = 10, "OK", "Incomplete"))</f>
        <v/>
      </c>
    </row>
    <row r="2628" spans="20:28" x14ac:dyDescent="0.2">
      <c r="T2628" s="60" t="str">
        <f>IF(P2628&lt;&gt;"",
    IF(OR(O2628="", Q2628="", R2628=""),
        "Fill all the required columns",
        IFERROR(
            IF(OR(
                AND(R2628="Marine Protected", VLOOKUP(O2628, Reference!$A$2:$D$34, 4, FALSE) &lt;= P2628),
                AND(R2628="General Use", VLOOKUP(O2628, Reference!$A$2:$D$34, 3, FALSE) &lt;= P2628)
            ),
                "Exceeded",
                "OK"
            ),
            "No Regulation defined"
        )
    ),
    ""
)</f>
        <v/>
      </c>
      <c r="AB2628" s="62" t="str">
        <f t="shared" si="41"/>
        <v/>
      </c>
    </row>
    <row r="2629" spans="20:28" x14ac:dyDescent="0.2">
      <c r="T2629" s="60" t="str">
        <f>IF(P2629&lt;&gt;"",
    IF(OR(O2629="", Q2629="", R2629=""),
        "Fill all the required columns",
        IFERROR(
            IF(OR(
                AND(R2629="Marine Protected", VLOOKUP(O2629, Reference!$A$2:$D$34, 4, FALSE) &lt;= P2629),
                AND(R2629="General Use", VLOOKUP(O2629, Reference!$A$2:$D$34, 3, FALSE) &lt;= P2629)
            ),
                "Exceeded",
                "OK"
            ),
            "No Regulation defined"
        )
    ),
    ""
)</f>
        <v/>
      </c>
      <c r="AB2629" s="62" t="str">
        <f t="shared" si="41"/>
        <v/>
      </c>
    </row>
    <row r="2630" spans="20:28" x14ac:dyDescent="0.2">
      <c r="T2630" s="60" t="str">
        <f>IF(P2630&lt;&gt;"",
    IF(OR(O2630="", Q2630="", R2630=""),
        "Fill all the required columns",
        IFERROR(
            IF(OR(
                AND(R2630="Marine Protected", VLOOKUP(O2630, Reference!$A$2:$D$34, 4, FALSE) &lt;= P2630),
                AND(R2630="General Use", VLOOKUP(O2630, Reference!$A$2:$D$34, 3, FALSE) &lt;= P2630)
            ),
                "Exceeded",
                "OK"
            ),
            "No Regulation defined"
        )
    ),
    ""
)</f>
        <v/>
      </c>
      <c r="AB2630" s="62" t="str">
        <f t="shared" si="41"/>
        <v/>
      </c>
    </row>
    <row r="2631" spans="20:28" x14ac:dyDescent="0.2">
      <c r="T2631" s="60" t="str">
        <f>IF(P2631&lt;&gt;"",
    IF(OR(O2631="", Q2631="", R2631=""),
        "Fill all the required columns",
        IFERROR(
            IF(OR(
                AND(R2631="Marine Protected", VLOOKUP(O2631, Reference!$A$2:$D$34, 4, FALSE) &lt;= P2631),
                AND(R2631="General Use", VLOOKUP(O2631, Reference!$A$2:$D$34, 3, FALSE) &lt;= P2631)
            ),
                "Exceeded",
                "OK"
            ),
            "No Regulation defined"
        )
    ),
    ""
)</f>
        <v/>
      </c>
      <c r="AB2631" s="62" t="str">
        <f t="shared" si="41"/>
        <v/>
      </c>
    </row>
    <row r="2632" spans="20:28" x14ac:dyDescent="0.2">
      <c r="T2632" s="60" t="str">
        <f>IF(P2632&lt;&gt;"",
    IF(OR(O2632="", Q2632="", R2632=""),
        "Fill all the required columns",
        IFERROR(
            IF(OR(
                AND(R2632="Marine Protected", VLOOKUP(O2632, Reference!$A$2:$D$34, 4, FALSE) &lt;= P2632),
                AND(R2632="General Use", VLOOKUP(O2632, Reference!$A$2:$D$34, 3, FALSE) &lt;= P2632)
            ),
                "Exceeded",
                "OK"
            ),
            "No Regulation defined"
        )
    ),
    ""
)</f>
        <v/>
      </c>
      <c r="AB2632" s="62" t="str">
        <f t="shared" si="41"/>
        <v/>
      </c>
    </row>
    <row r="2633" spans="20:28" x14ac:dyDescent="0.2">
      <c r="T2633" s="60" t="str">
        <f>IF(P2633&lt;&gt;"",
    IF(OR(O2633="", Q2633="", R2633=""),
        "Fill all the required columns",
        IFERROR(
            IF(OR(
                AND(R2633="Marine Protected", VLOOKUP(O2633, Reference!$A$2:$D$34, 4, FALSE) &lt;= P2633),
                AND(R2633="General Use", VLOOKUP(O2633, Reference!$A$2:$D$34, 3, FALSE) &lt;= P2633)
            ),
                "Exceeded",
                "OK"
            ),
            "No Regulation defined"
        )
    ),
    ""
)</f>
        <v/>
      </c>
      <c r="AB2633" s="62" t="str">
        <f t="shared" si="41"/>
        <v/>
      </c>
    </row>
    <row r="2634" spans="20:28" x14ac:dyDescent="0.2">
      <c r="T2634" s="60" t="str">
        <f>IF(P2634&lt;&gt;"",
    IF(OR(O2634="", Q2634="", R2634=""),
        "Fill all the required columns",
        IFERROR(
            IF(OR(
                AND(R2634="Marine Protected", VLOOKUP(O2634, Reference!$A$2:$D$34, 4, FALSE) &lt;= P2634),
                AND(R2634="General Use", VLOOKUP(O2634, Reference!$A$2:$D$34, 3, FALSE) &lt;= P2634)
            ),
                "Exceeded",
                "OK"
            ),
            "No Regulation defined"
        )
    ),
    ""
)</f>
        <v/>
      </c>
      <c r="AB2634" s="62" t="str">
        <f t="shared" si="41"/>
        <v/>
      </c>
    </row>
    <row r="2635" spans="20:28" x14ac:dyDescent="0.2">
      <c r="T2635" s="60" t="str">
        <f>IF(P2635&lt;&gt;"",
    IF(OR(O2635="", Q2635="", R2635=""),
        "Fill all the required columns",
        IFERROR(
            IF(OR(
                AND(R2635="Marine Protected", VLOOKUP(O2635, Reference!$A$2:$D$34, 4, FALSE) &lt;= P2635),
                AND(R2635="General Use", VLOOKUP(O2635, Reference!$A$2:$D$34, 3, FALSE) &lt;= P2635)
            ),
                "Exceeded",
                "OK"
            ),
            "No Regulation defined"
        )
    ),
    ""
)</f>
        <v/>
      </c>
      <c r="AB2635" s="62" t="str">
        <f t="shared" si="41"/>
        <v/>
      </c>
    </row>
    <row r="2636" spans="20:28" x14ac:dyDescent="0.2">
      <c r="T2636" s="60" t="str">
        <f>IF(P2636&lt;&gt;"",
    IF(OR(O2636="", Q2636="", R2636=""),
        "Fill all the required columns",
        IFERROR(
            IF(OR(
                AND(R2636="Marine Protected", VLOOKUP(O2636, Reference!$A$2:$D$34, 4, FALSE) &lt;= P2636),
                AND(R2636="General Use", VLOOKUP(O2636, Reference!$A$2:$D$34, 3, FALSE) &lt;= P2636)
            ),
                "Exceeded",
                "OK"
            ),
            "No Regulation defined"
        )
    ),
    ""
)</f>
        <v/>
      </c>
      <c r="AB2636" s="62" t="str">
        <f t="shared" si="41"/>
        <v/>
      </c>
    </row>
    <row r="2637" spans="20:28" x14ac:dyDescent="0.2">
      <c r="T2637" s="60" t="str">
        <f>IF(P2637&lt;&gt;"",
    IF(OR(O2637="", Q2637="", R2637=""),
        "Fill all the required columns",
        IFERROR(
            IF(OR(
                AND(R2637="Marine Protected", VLOOKUP(O2637, Reference!$A$2:$D$34, 4, FALSE) &lt;= P2637),
                AND(R2637="General Use", VLOOKUP(O2637, Reference!$A$2:$D$34, 3, FALSE) &lt;= P2637)
            ),
                "Exceeded",
                "OK"
            ),
            "No Regulation defined"
        )
    ),
    ""
)</f>
        <v/>
      </c>
      <c r="AB2637" s="62" t="str">
        <f t="shared" si="41"/>
        <v/>
      </c>
    </row>
    <row r="2638" spans="20:28" x14ac:dyDescent="0.2">
      <c r="T2638" s="60" t="str">
        <f>IF(P2638&lt;&gt;"",
    IF(OR(O2638="", Q2638="", R2638=""),
        "Fill all the required columns",
        IFERROR(
            IF(OR(
                AND(R2638="Marine Protected", VLOOKUP(O2638, Reference!$A$2:$D$34, 4, FALSE) &lt;= P2638),
                AND(R2638="General Use", VLOOKUP(O2638, Reference!$A$2:$D$34, 3, FALSE) &lt;= P2638)
            ),
                "Exceeded",
                "OK"
            ),
            "No Regulation defined"
        )
    ),
    ""
)</f>
        <v/>
      </c>
      <c r="AB2638" s="62" t="str">
        <f t="shared" si="41"/>
        <v/>
      </c>
    </row>
    <row r="2639" spans="20:28" x14ac:dyDescent="0.2">
      <c r="T2639" s="60" t="str">
        <f>IF(P2639&lt;&gt;"",
    IF(OR(O2639="", Q2639="", R2639=""),
        "Fill all the required columns",
        IFERROR(
            IF(OR(
                AND(R2639="Marine Protected", VLOOKUP(O2639, Reference!$A$2:$D$34, 4, FALSE) &lt;= P2639),
                AND(R2639="General Use", VLOOKUP(O2639, Reference!$A$2:$D$34, 3, FALSE) &lt;= P2639)
            ),
                "Exceeded",
                "OK"
            ),
            "No Regulation defined"
        )
    ),
    ""
)</f>
        <v/>
      </c>
      <c r="AB2639" s="62" t="str">
        <f t="shared" si="41"/>
        <v/>
      </c>
    </row>
    <row r="2640" spans="20:28" x14ac:dyDescent="0.2">
      <c r="T2640" s="60" t="str">
        <f>IF(P2640&lt;&gt;"",
    IF(OR(O2640="", Q2640="", R2640=""),
        "Fill all the required columns",
        IFERROR(
            IF(OR(
                AND(R2640="Marine Protected", VLOOKUP(O2640, Reference!$A$2:$D$34, 4, FALSE) &lt;= P2640),
                AND(R2640="General Use", VLOOKUP(O2640, Reference!$A$2:$D$34, 3, FALSE) &lt;= P2640)
            ),
                "Exceeded",
                "OK"
            ),
            "No Regulation defined"
        )
    ),
    ""
)</f>
        <v/>
      </c>
      <c r="AB2640" s="62" t="str">
        <f t="shared" si="41"/>
        <v/>
      </c>
    </row>
    <row r="2641" spans="20:28" x14ac:dyDescent="0.2">
      <c r="T2641" s="60" t="str">
        <f>IF(P2641&lt;&gt;"",
    IF(OR(O2641="", Q2641="", R2641=""),
        "Fill all the required columns",
        IFERROR(
            IF(OR(
                AND(R2641="Marine Protected", VLOOKUP(O2641, Reference!$A$2:$D$34, 4, FALSE) &lt;= P2641),
                AND(R2641="General Use", VLOOKUP(O2641, Reference!$A$2:$D$34, 3, FALSE) &lt;= P2641)
            ),
                "Exceeded",
                "OK"
            ),
            "No Regulation defined"
        )
    ),
    ""
)</f>
        <v/>
      </c>
      <c r="AB2641" s="62" t="str">
        <f t="shared" si="41"/>
        <v/>
      </c>
    </row>
    <row r="2642" spans="20:28" x14ac:dyDescent="0.2">
      <c r="T2642" s="60" t="str">
        <f>IF(P2642&lt;&gt;"",
    IF(OR(O2642="", Q2642="", R2642=""),
        "Fill all the required columns",
        IFERROR(
            IF(OR(
                AND(R2642="Marine Protected", VLOOKUP(O2642, Reference!$A$2:$D$34, 4, FALSE) &lt;= P2642),
                AND(R2642="General Use", VLOOKUP(O2642, Reference!$A$2:$D$34, 3, FALSE) &lt;= P2642)
            ),
                "Exceeded",
                "OK"
            ),
            "No Regulation defined"
        )
    ),
    ""
)</f>
        <v/>
      </c>
      <c r="AB2642" s="62" t="str">
        <f t="shared" si="41"/>
        <v/>
      </c>
    </row>
    <row r="2643" spans="20:28" x14ac:dyDescent="0.2">
      <c r="T2643" s="60" t="str">
        <f>IF(P2643&lt;&gt;"",
    IF(OR(O2643="", Q2643="", R2643=""),
        "Fill all the required columns",
        IFERROR(
            IF(OR(
                AND(R2643="Marine Protected", VLOOKUP(O2643, Reference!$A$2:$D$34, 4, FALSE) &lt;= P2643),
                AND(R2643="General Use", VLOOKUP(O2643, Reference!$A$2:$D$34, 3, FALSE) &lt;= P2643)
            ),
                "Exceeded",
                "OK"
            ),
            "No Regulation defined"
        )
    ),
    ""
)</f>
        <v/>
      </c>
      <c r="AB2643" s="62" t="str">
        <f t="shared" si="41"/>
        <v/>
      </c>
    </row>
    <row r="2644" spans="20:28" x14ac:dyDescent="0.2">
      <c r="T2644" s="60" t="str">
        <f>IF(P2644&lt;&gt;"",
    IF(OR(O2644="", Q2644="", R2644=""),
        "Fill all the required columns",
        IFERROR(
            IF(OR(
                AND(R2644="Marine Protected", VLOOKUP(O2644, Reference!$A$2:$D$34, 4, FALSE) &lt;= P2644),
                AND(R2644="General Use", VLOOKUP(O2644, Reference!$A$2:$D$34, 3, FALSE) &lt;= P2644)
            ),
                "Exceeded",
                "OK"
            ),
            "No Regulation defined"
        )
    ),
    ""
)</f>
        <v/>
      </c>
      <c r="AB2644" s="62" t="str">
        <f t="shared" si="41"/>
        <v/>
      </c>
    </row>
    <row r="2645" spans="20:28" x14ac:dyDescent="0.2">
      <c r="T2645" s="60" t="str">
        <f>IF(P2645&lt;&gt;"",
    IF(OR(O2645="", Q2645="", R2645=""),
        "Fill all the required columns",
        IFERROR(
            IF(OR(
                AND(R2645="Marine Protected", VLOOKUP(O2645, Reference!$A$2:$D$34, 4, FALSE) &lt;= P2645),
                AND(R2645="General Use", VLOOKUP(O2645, Reference!$A$2:$D$34, 3, FALSE) &lt;= P2645)
            ),
                "Exceeded",
                "OK"
            ),
            "No Regulation defined"
        )
    ),
    ""
)</f>
        <v/>
      </c>
      <c r="AB2645" s="62" t="str">
        <f t="shared" si="41"/>
        <v/>
      </c>
    </row>
    <row r="2646" spans="20:28" x14ac:dyDescent="0.2">
      <c r="T2646" s="60" t="str">
        <f>IF(P2646&lt;&gt;"",
    IF(OR(O2646="", Q2646="", R2646=""),
        "Fill all the required columns",
        IFERROR(
            IF(OR(
                AND(R2646="Marine Protected", VLOOKUP(O2646, Reference!$A$2:$D$34, 4, FALSE) &lt;= P2646),
                AND(R2646="General Use", VLOOKUP(O2646, Reference!$A$2:$D$34, 3, FALSE) &lt;= P2646)
            ),
                "Exceeded",
                "OK"
            ),
            "No Regulation defined"
        )
    ),
    ""
)</f>
        <v/>
      </c>
      <c r="AB2646" s="62" t="str">
        <f t="shared" si="41"/>
        <v/>
      </c>
    </row>
    <row r="2647" spans="20:28" x14ac:dyDescent="0.2">
      <c r="T2647" s="60" t="str">
        <f>IF(P2647&lt;&gt;"",
    IF(OR(O2647="", Q2647="", R2647=""),
        "Fill all the required columns",
        IFERROR(
            IF(OR(
                AND(R2647="Marine Protected", VLOOKUP(O2647, Reference!$A$2:$D$34, 4, FALSE) &lt;= P2647),
                AND(R2647="General Use", VLOOKUP(O2647, Reference!$A$2:$D$34, 3, FALSE) &lt;= P2647)
            ),
                "Exceeded",
                "OK"
            ),
            "No Regulation defined"
        )
    ),
    ""
)</f>
        <v/>
      </c>
      <c r="AB2647" s="62" t="str">
        <f t="shared" si="41"/>
        <v/>
      </c>
    </row>
    <row r="2648" spans="20:28" x14ac:dyDescent="0.2">
      <c r="T2648" s="60" t="str">
        <f>IF(P2648&lt;&gt;"",
    IF(OR(O2648="", Q2648="", R2648=""),
        "Fill all the required columns",
        IFERROR(
            IF(OR(
                AND(R2648="Marine Protected", VLOOKUP(O2648, Reference!$A$2:$D$34, 4, FALSE) &lt;= P2648),
                AND(R2648="General Use", VLOOKUP(O2648, Reference!$A$2:$D$34, 3, FALSE) &lt;= P2648)
            ),
                "Exceeded",
                "OK"
            ),
            "No Regulation defined"
        )
    ),
    ""
)</f>
        <v/>
      </c>
      <c r="AB2648" s="62" t="str">
        <f t="shared" si="41"/>
        <v/>
      </c>
    </row>
    <row r="2649" spans="20:28" x14ac:dyDescent="0.2">
      <c r="T2649" s="60" t="str">
        <f>IF(P2649&lt;&gt;"",
    IF(OR(O2649="", Q2649="", R2649=""),
        "Fill all the required columns",
        IFERROR(
            IF(OR(
                AND(R2649="Marine Protected", VLOOKUP(O2649, Reference!$A$2:$D$34, 4, FALSE) &lt;= P2649),
                AND(R2649="General Use", VLOOKUP(O2649, Reference!$A$2:$D$34, 3, FALSE) &lt;= P2649)
            ),
                "Exceeded",
                "OK"
            ),
            "No Regulation defined"
        )
    ),
    ""
)</f>
        <v/>
      </c>
      <c r="AB2649" s="62" t="str">
        <f t="shared" si="41"/>
        <v/>
      </c>
    </row>
    <row r="2650" spans="20:28" x14ac:dyDescent="0.2">
      <c r="T2650" s="60" t="str">
        <f>IF(P2650&lt;&gt;"",
    IF(OR(O2650="", Q2650="", R2650=""),
        "Fill all the required columns",
        IFERROR(
            IF(OR(
                AND(R2650="Marine Protected", VLOOKUP(O2650, Reference!$A$2:$D$34, 4, FALSE) &lt;= P2650),
                AND(R2650="General Use", VLOOKUP(O2650, Reference!$A$2:$D$34, 3, FALSE) &lt;= P2650)
            ),
                "Exceeded",
                "OK"
            ),
            "No Regulation defined"
        )
    ),
    ""
)</f>
        <v/>
      </c>
      <c r="AB2650" s="62" t="str">
        <f t="shared" si="41"/>
        <v/>
      </c>
    </row>
    <row r="2651" spans="20:28" x14ac:dyDescent="0.2">
      <c r="T2651" s="60" t="str">
        <f>IF(P2651&lt;&gt;"",
    IF(OR(O2651="", Q2651="", R2651=""),
        "Fill all the required columns",
        IFERROR(
            IF(OR(
                AND(R2651="Marine Protected", VLOOKUP(O2651, Reference!$A$2:$D$34, 4, FALSE) &lt;= P2651),
                AND(R2651="General Use", VLOOKUP(O2651, Reference!$A$2:$D$34, 3, FALSE) &lt;= P2651)
            ),
                "Exceeded",
                "OK"
            ),
            "No Regulation defined"
        )
    ),
    ""
)</f>
        <v/>
      </c>
      <c r="AB2651" s="62" t="str">
        <f t="shared" si="41"/>
        <v/>
      </c>
    </row>
    <row r="2652" spans="20:28" x14ac:dyDescent="0.2">
      <c r="T2652" s="60" t="str">
        <f>IF(P2652&lt;&gt;"",
    IF(OR(O2652="", Q2652="", R2652=""),
        "Fill all the required columns",
        IFERROR(
            IF(OR(
                AND(R2652="Marine Protected", VLOOKUP(O2652, Reference!$A$2:$D$34, 4, FALSE) &lt;= P2652),
                AND(R2652="General Use", VLOOKUP(O2652, Reference!$A$2:$D$34, 3, FALSE) &lt;= P2652)
            ),
                "Exceeded",
                "OK"
            ),
            "No Regulation defined"
        )
    ),
    ""
)</f>
        <v/>
      </c>
      <c r="AB2652" s="62" t="str">
        <f t="shared" si="41"/>
        <v/>
      </c>
    </row>
    <row r="2653" spans="20:28" x14ac:dyDescent="0.2">
      <c r="T2653" s="60" t="str">
        <f>IF(P2653&lt;&gt;"",
    IF(OR(O2653="", Q2653="", R2653=""),
        "Fill all the required columns",
        IFERROR(
            IF(OR(
                AND(R2653="Marine Protected", VLOOKUP(O2653, Reference!$A$2:$D$34, 4, FALSE) &lt;= P2653),
                AND(R2653="General Use", VLOOKUP(O2653, Reference!$A$2:$D$34, 3, FALSE) &lt;= P2653)
            ),
                "Exceeded",
                "OK"
            ),
            "No Regulation defined"
        )
    ),
    ""
)</f>
        <v/>
      </c>
      <c r="AB2653" s="62" t="str">
        <f t="shared" si="41"/>
        <v/>
      </c>
    </row>
    <row r="2654" spans="20:28" x14ac:dyDescent="0.2">
      <c r="T2654" s="60" t="str">
        <f>IF(P2654&lt;&gt;"",
    IF(OR(O2654="", Q2654="", R2654=""),
        "Fill all the required columns",
        IFERROR(
            IF(OR(
                AND(R2654="Marine Protected", VLOOKUP(O2654, Reference!$A$2:$D$34, 4, FALSE) &lt;= P2654),
                AND(R2654="General Use", VLOOKUP(O2654, Reference!$A$2:$D$34, 3, FALSE) &lt;= P2654)
            ),
                "Exceeded",
                "OK"
            ),
            "No Regulation defined"
        )
    ),
    ""
)</f>
        <v/>
      </c>
      <c r="AB2654" s="62" t="str">
        <f t="shared" si="41"/>
        <v/>
      </c>
    </row>
    <row r="2655" spans="20:28" x14ac:dyDescent="0.2">
      <c r="T2655" s="60" t="str">
        <f>IF(P2655&lt;&gt;"",
    IF(OR(O2655="", Q2655="", R2655=""),
        "Fill all the required columns",
        IFERROR(
            IF(OR(
                AND(R2655="Marine Protected", VLOOKUP(O2655, Reference!$A$2:$D$34, 4, FALSE) &lt;= P2655),
                AND(R2655="General Use", VLOOKUP(O2655, Reference!$A$2:$D$34, 3, FALSE) &lt;= P2655)
            ),
                "Exceeded",
                "OK"
            ),
            "No Regulation defined"
        )
    ),
    ""
)</f>
        <v/>
      </c>
      <c r="AB2655" s="62" t="str">
        <f t="shared" si="41"/>
        <v/>
      </c>
    </row>
    <row r="2656" spans="20:28" x14ac:dyDescent="0.2">
      <c r="T2656" s="60" t="str">
        <f>IF(P2656&lt;&gt;"",
    IF(OR(O2656="", Q2656="", R2656=""),
        "Fill all the required columns",
        IFERROR(
            IF(OR(
                AND(R2656="Marine Protected", VLOOKUP(O2656, Reference!$A$2:$D$34, 4, FALSE) &lt;= P2656),
                AND(R2656="General Use", VLOOKUP(O2656, Reference!$A$2:$D$34, 3, FALSE) &lt;= P2656)
            ),
                "Exceeded",
                "OK"
            ),
            "No Regulation defined"
        )
    ),
    ""
)</f>
        <v/>
      </c>
      <c r="AB2656" s="62" t="str">
        <f t="shared" si="41"/>
        <v/>
      </c>
    </row>
    <row r="2657" spans="20:28" x14ac:dyDescent="0.2">
      <c r="T2657" s="60" t="str">
        <f>IF(P2657&lt;&gt;"",
    IF(OR(O2657="", Q2657="", R2657=""),
        "Fill all the required columns",
        IFERROR(
            IF(OR(
                AND(R2657="Marine Protected", VLOOKUP(O2657, Reference!$A$2:$D$34, 4, FALSE) &lt;= P2657),
                AND(R2657="General Use", VLOOKUP(O2657, Reference!$A$2:$D$34, 3, FALSE) &lt;= P2657)
            ),
                "Exceeded",
                "OK"
            ),
            "No Regulation defined"
        )
    ),
    ""
)</f>
        <v/>
      </c>
      <c r="AB2657" s="62" t="str">
        <f t="shared" si="41"/>
        <v/>
      </c>
    </row>
    <row r="2658" spans="20:28" x14ac:dyDescent="0.2">
      <c r="T2658" s="60" t="str">
        <f>IF(P2658&lt;&gt;"",
    IF(OR(O2658="", Q2658="", R2658=""),
        "Fill all the required columns",
        IFERROR(
            IF(OR(
                AND(R2658="Marine Protected", VLOOKUP(O2658, Reference!$A$2:$D$34, 4, FALSE) &lt;= P2658),
                AND(R2658="General Use", VLOOKUP(O2658, Reference!$A$2:$D$34, 3, FALSE) &lt;= P2658)
            ),
                "Exceeded",
                "OK"
            ),
            "No Regulation defined"
        )
    ),
    ""
)</f>
        <v/>
      </c>
      <c r="AB2658" s="62" t="str">
        <f t="shared" si="41"/>
        <v/>
      </c>
    </row>
    <row r="2659" spans="20:28" x14ac:dyDescent="0.2">
      <c r="T2659" s="60" t="str">
        <f>IF(P2659&lt;&gt;"",
    IF(OR(O2659="", Q2659="", R2659=""),
        "Fill all the required columns",
        IFERROR(
            IF(OR(
                AND(R2659="Marine Protected", VLOOKUP(O2659, Reference!$A$2:$D$34, 4, FALSE) &lt;= P2659),
                AND(R2659="General Use", VLOOKUP(O2659, Reference!$A$2:$D$34, 3, FALSE) &lt;= P2659)
            ),
                "Exceeded",
                "OK"
            ),
            "No Regulation defined"
        )
    ),
    ""
)</f>
        <v/>
      </c>
      <c r="AB2659" s="62" t="str">
        <f t="shared" si="41"/>
        <v/>
      </c>
    </row>
    <row r="2660" spans="20:28" x14ac:dyDescent="0.2">
      <c r="T2660" s="60" t="str">
        <f>IF(P2660&lt;&gt;"",
    IF(OR(O2660="", Q2660="", R2660=""),
        "Fill all the required columns",
        IFERROR(
            IF(OR(
                AND(R2660="Marine Protected", VLOOKUP(O2660, Reference!$A$2:$D$34, 4, FALSE) &lt;= P2660),
                AND(R2660="General Use", VLOOKUP(O2660, Reference!$A$2:$D$34, 3, FALSE) &lt;= P2660)
            ),
                "Exceeded",
                "OK"
            ),
            "No Regulation defined"
        )
    ),
    ""
)</f>
        <v/>
      </c>
      <c r="AB2660" s="62" t="str">
        <f t="shared" si="41"/>
        <v/>
      </c>
    </row>
    <row r="2661" spans="20:28" x14ac:dyDescent="0.2">
      <c r="T2661" s="60" t="str">
        <f>IF(P2661&lt;&gt;"",
    IF(OR(O2661="", Q2661="", R2661=""),
        "Fill all the required columns",
        IFERROR(
            IF(OR(
                AND(R2661="Marine Protected", VLOOKUP(O2661, Reference!$A$2:$D$34, 4, FALSE) &lt;= P2661),
                AND(R2661="General Use", VLOOKUP(O2661, Reference!$A$2:$D$34, 3, FALSE) &lt;= P2661)
            ),
                "Exceeded",
                "OK"
            ),
            "No Regulation defined"
        )
    ),
    ""
)</f>
        <v/>
      </c>
      <c r="AB2661" s="62" t="str">
        <f t="shared" si="41"/>
        <v/>
      </c>
    </row>
    <row r="2662" spans="20:28" x14ac:dyDescent="0.2">
      <c r="T2662" s="60" t="str">
        <f>IF(P2662&lt;&gt;"",
    IF(OR(O2662="", Q2662="", R2662=""),
        "Fill all the required columns",
        IFERROR(
            IF(OR(
                AND(R2662="Marine Protected", VLOOKUP(O2662, Reference!$A$2:$D$34, 4, FALSE) &lt;= P2662),
                AND(R2662="General Use", VLOOKUP(O2662, Reference!$A$2:$D$34, 3, FALSE) &lt;= P2662)
            ),
                "Exceeded",
                "OK"
            ),
            "No Regulation defined"
        )
    ),
    ""
)</f>
        <v/>
      </c>
      <c r="AB2662" s="62" t="str">
        <f t="shared" si="41"/>
        <v/>
      </c>
    </row>
    <row r="2663" spans="20:28" x14ac:dyDescent="0.2">
      <c r="T2663" s="60" t="str">
        <f>IF(P2663&lt;&gt;"",
    IF(OR(O2663="", Q2663="", R2663=""),
        "Fill all the required columns",
        IFERROR(
            IF(OR(
                AND(R2663="Marine Protected", VLOOKUP(O2663, Reference!$A$2:$D$34, 4, FALSE) &lt;= P2663),
                AND(R2663="General Use", VLOOKUP(O2663, Reference!$A$2:$D$34, 3, FALSE) &lt;= P2663)
            ),
                "Exceeded",
                "OK"
            ),
            "No Regulation defined"
        )
    ),
    ""
)</f>
        <v/>
      </c>
      <c r="AB2663" s="62" t="str">
        <f t="shared" si="41"/>
        <v/>
      </c>
    </row>
    <row r="2664" spans="20:28" x14ac:dyDescent="0.2">
      <c r="T2664" s="60" t="str">
        <f>IF(P2664&lt;&gt;"",
    IF(OR(O2664="", Q2664="", R2664=""),
        "Fill all the required columns",
        IFERROR(
            IF(OR(
                AND(R2664="Marine Protected", VLOOKUP(O2664, Reference!$A$2:$D$34, 4, FALSE) &lt;= P2664),
                AND(R2664="General Use", VLOOKUP(O2664, Reference!$A$2:$D$34, 3, FALSE) &lt;= P2664)
            ),
                "Exceeded",
                "OK"
            ),
            "No Regulation defined"
        )
    ),
    ""
)</f>
        <v/>
      </c>
      <c r="AB2664" s="62" t="str">
        <f t="shared" si="41"/>
        <v/>
      </c>
    </row>
    <row r="2665" spans="20:28" x14ac:dyDescent="0.2">
      <c r="T2665" s="60" t="str">
        <f>IF(P2665&lt;&gt;"",
    IF(OR(O2665="", Q2665="", R2665=""),
        "Fill all the required columns",
        IFERROR(
            IF(OR(
                AND(R2665="Marine Protected", VLOOKUP(O2665, Reference!$A$2:$D$34, 4, FALSE) &lt;= P2665),
                AND(R2665="General Use", VLOOKUP(O2665, Reference!$A$2:$D$34, 3, FALSE) &lt;= P2665)
            ),
                "Exceeded",
                "OK"
            ),
            "No Regulation defined"
        )
    ),
    ""
)</f>
        <v/>
      </c>
      <c r="AB2665" s="62" t="str">
        <f t="shared" si="41"/>
        <v/>
      </c>
    </row>
    <row r="2666" spans="20:28" x14ac:dyDescent="0.2">
      <c r="T2666" s="60" t="str">
        <f>IF(P2666&lt;&gt;"",
    IF(OR(O2666="", Q2666="", R2666=""),
        "Fill all the required columns",
        IFERROR(
            IF(OR(
                AND(R2666="Marine Protected", VLOOKUP(O2666, Reference!$A$2:$D$34, 4, FALSE) &lt;= P2666),
                AND(R2666="General Use", VLOOKUP(O2666, Reference!$A$2:$D$34, 3, FALSE) &lt;= P2666)
            ),
                "Exceeded",
                "OK"
            ),
            "No Regulation defined"
        )
    ),
    ""
)</f>
        <v/>
      </c>
      <c r="AB2666" s="62" t="str">
        <f t="shared" si="41"/>
        <v/>
      </c>
    </row>
    <row r="2667" spans="20:28" x14ac:dyDescent="0.2">
      <c r="T2667" s="60" t="str">
        <f>IF(P2667&lt;&gt;"",
    IF(OR(O2667="", Q2667="", R2667=""),
        "Fill all the required columns",
        IFERROR(
            IF(OR(
                AND(R2667="Marine Protected", VLOOKUP(O2667, Reference!$A$2:$D$34, 4, FALSE) &lt;= P2667),
                AND(R2667="General Use", VLOOKUP(O2667, Reference!$A$2:$D$34, 3, FALSE) &lt;= P2667)
            ),
                "Exceeded",
                "OK"
            ),
            "No Regulation defined"
        )
    ),
    ""
)</f>
        <v/>
      </c>
      <c r="AB2667" s="62" t="str">
        <f t="shared" si="41"/>
        <v/>
      </c>
    </row>
    <row r="2668" spans="20:28" x14ac:dyDescent="0.2">
      <c r="T2668" s="60" t="str">
        <f>IF(P2668&lt;&gt;"",
    IF(OR(O2668="", Q2668="", R2668=""),
        "Fill all the required columns",
        IFERROR(
            IF(OR(
                AND(R2668="Marine Protected", VLOOKUP(O2668, Reference!$A$2:$D$34, 4, FALSE) &lt;= P2668),
                AND(R2668="General Use", VLOOKUP(O2668, Reference!$A$2:$D$34, 3, FALSE) &lt;= P2668)
            ),
                "Exceeded",
                "OK"
            ),
            "No Regulation defined"
        )
    ),
    ""
)</f>
        <v/>
      </c>
      <c r="AB2668" s="62" t="str">
        <f t="shared" si="41"/>
        <v/>
      </c>
    </row>
    <row r="2669" spans="20:28" x14ac:dyDescent="0.2">
      <c r="T2669" s="60" t="str">
        <f>IF(P2669&lt;&gt;"",
    IF(OR(O2669="", Q2669="", R2669=""),
        "Fill all the required columns",
        IFERROR(
            IF(OR(
                AND(R2669="Marine Protected", VLOOKUP(O2669, Reference!$A$2:$D$34, 4, FALSE) &lt;= P2669),
                AND(R2669="General Use", VLOOKUP(O2669, Reference!$A$2:$D$34, 3, FALSE) &lt;= P2669)
            ),
                "Exceeded",
                "OK"
            ),
            "No Regulation defined"
        )
    ),
    ""
)</f>
        <v/>
      </c>
      <c r="AB2669" s="62" t="str">
        <f t="shared" si="41"/>
        <v/>
      </c>
    </row>
    <row r="2670" spans="20:28" x14ac:dyDescent="0.2">
      <c r="T2670" s="60" t="str">
        <f>IF(P2670&lt;&gt;"",
    IF(OR(O2670="", Q2670="", R2670=""),
        "Fill all the required columns",
        IFERROR(
            IF(OR(
                AND(R2670="Marine Protected", VLOOKUP(O2670, Reference!$A$2:$D$34, 4, FALSE) &lt;= P2670),
                AND(R2670="General Use", VLOOKUP(O2670, Reference!$A$2:$D$34, 3, FALSE) &lt;= P2670)
            ),
                "Exceeded",
                "OK"
            ),
            "No Regulation defined"
        )
    ),
    ""
)</f>
        <v/>
      </c>
      <c r="AB2670" s="62" t="str">
        <f t="shared" si="41"/>
        <v/>
      </c>
    </row>
    <row r="2671" spans="20:28" x14ac:dyDescent="0.2">
      <c r="T2671" s="60" t="str">
        <f>IF(P2671&lt;&gt;"",
    IF(OR(O2671="", Q2671="", R2671=""),
        "Fill all the required columns",
        IFERROR(
            IF(OR(
                AND(R2671="Marine Protected", VLOOKUP(O2671, Reference!$A$2:$D$34, 4, FALSE) &lt;= P2671),
                AND(R2671="General Use", VLOOKUP(O2671, Reference!$A$2:$D$34, 3, FALSE) &lt;= P2671)
            ),
                "Exceeded",
                "OK"
            ),
            "No Regulation defined"
        )
    ),
    ""
)</f>
        <v/>
      </c>
      <c r="AB2671" s="62" t="str">
        <f t="shared" si="41"/>
        <v/>
      </c>
    </row>
    <row r="2672" spans="20:28" x14ac:dyDescent="0.2">
      <c r="T2672" s="60" t="str">
        <f>IF(P2672&lt;&gt;"",
    IF(OR(O2672="", Q2672="", R2672=""),
        "Fill all the required columns",
        IFERROR(
            IF(OR(
                AND(R2672="Marine Protected", VLOOKUP(O2672, Reference!$A$2:$D$34, 4, FALSE) &lt;= P2672),
                AND(R2672="General Use", VLOOKUP(O2672, Reference!$A$2:$D$34, 3, FALSE) &lt;= P2672)
            ),
                "Exceeded",
                "OK"
            ),
            "No Regulation defined"
        )
    ),
    ""
)</f>
        <v/>
      </c>
      <c r="AB2672" s="62" t="str">
        <f t="shared" si="41"/>
        <v/>
      </c>
    </row>
    <row r="2673" spans="20:28" x14ac:dyDescent="0.2">
      <c r="T2673" s="60" t="str">
        <f>IF(P2673&lt;&gt;"",
    IF(OR(O2673="", Q2673="", R2673=""),
        "Fill all the required columns",
        IFERROR(
            IF(OR(
                AND(R2673="Marine Protected", VLOOKUP(O2673, Reference!$A$2:$D$34, 4, FALSE) &lt;= P2673),
                AND(R2673="General Use", VLOOKUP(O2673, Reference!$A$2:$D$34, 3, FALSE) &lt;= P2673)
            ),
                "Exceeded",
                "OK"
            ),
            "No Regulation defined"
        )
    ),
    ""
)</f>
        <v/>
      </c>
      <c r="AB2673" s="62" t="str">
        <f t="shared" si="41"/>
        <v/>
      </c>
    </row>
    <row r="2674" spans="20:28" x14ac:dyDescent="0.2">
      <c r="T2674" s="60" t="str">
        <f>IF(P2674&lt;&gt;"",
    IF(OR(O2674="", Q2674="", R2674=""),
        "Fill all the required columns",
        IFERROR(
            IF(OR(
                AND(R2674="Marine Protected", VLOOKUP(O2674, Reference!$A$2:$D$34, 4, FALSE) &lt;= P2674),
                AND(R2674="General Use", VLOOKUP(O2674, Reference!$A$2:$D$34, 3, FALSE) &lt;= P2674)
            ),
                "Exceeded",
                "OK"
            ),
            "No Regulation defined"
        )
    ),
    ""
)</f>
        <v/>
      </c>
      <c r="AB2674" s="62" t="str">
        <f t="shared" si="41"/>
        <v/>
      </c>
    </row>
    <row r="2675" spans="20:28" x14ac:dyDescent="0.2">
      <c r="T2675" s="60" t="str">
        <f>IF(P2675&lt;&gt;"",
    IF(OR(O2675="", Q2675="", R2675=""),
        "Fill all the required columns",
        IFERROR(
            IF(OR(
                AND(R2675="Marine Protected", VLOOKUP(O2675, Reference!$A$2:$D$34, 4, FALSE) &lt;= P2675),
                AND(R2675="General Use", VLOOKUP(O2675, Reference!$A$2:$D$34, 3, FALSE) &lt;= P2675)
            ),
                "Exceeded",
                "OK"
            ),
            "No Regulation defined"
        )
    ),
    ""
)</f>
        <v/>
      </c>
      <c r="AB2675" s="62" t="str">
        <f t="shared" si="41"/>
        <v/>
      </c>
    </row>
    <row r="2676" spans="20:28" x14ac:dyDescent="0.2">
      <c r="T2676" s="60" t="str">
        <f>IF(P2676&lt;&gt;"",
    IF(OR(O2676="", Q2676="", R2676=""),
        "Fill all the required columns",
        IFERROR(
            IF(OR(
                AND(R2676="Marine Protected", VLOOKUP(O2676, Reference!$A$2:$D$34, 4, FALSE) &lt;= P2676),
                AND(R2676="General Use", VLOOKUP(O2676, Reference!$A$2:$D$34, 3, FALSE) &lt;= P2676)
            ),
                "Exceeded",
                "OK"
            ),
            "No Regulation defined"
        )
    ),
    ""
)</f>
        <v/>
      </c>
      <c r="AB2676" s="62" t="str">
        <f t="shared" si="41"/>
        <v/>
      </c>
    </row>
    <row r="2677" spans="20:28" x14ac:dyDescent="0.2">
      <c r="T2677" s="60" t="str">
        <f>IF(P2677&lt;&gt;"",
    IF(OR(O2677="", Q2677="", R2677=""),
        "Fill all the required columns",
        IFERROR(
            IF(OR(
                AND(R2677="Marine Protected", VLOOKUP(O2677, Reference!$A$2:$D$34, 4, FALSE) &lt;= P2677),
                AND(R2677="General Use", VLOOKUP(O2677, Reference!$A$2:$D$34, 3, FALSE) &lt;= P2677)
            ),
                "Exceeded",
                "OK"
            ),
            "No Regulation defined"
        )
    ),
    ""
)</f>
        <v/>
      </c>
      <c r="AB2677" s="62" t="str">
        <f t="shared" si="41"/>
        <v/>
      </c>
    </row>
    <row r="2678" spans="20:28" x14ac:dyDescent="0.2">
      <c r="T2678" s="60" t="str">
        <f>IF(P2678&lt;&gt;"",
    IF(OR(O2678="", Q2678="", R2678=""),
        "Fill all the required columns",
        IFERROR(
            IF(OR(
                AND(R2678="Marine Protected", VLOOKUP(O2678, Reference!$A$2:$D$34, 4, FALSE) &lt;= P2678),
                AND(R2678="General Use", VLOOKUP(O2678, Reference!$A$2:$D$34, 3, FALSE) &lt;= P2678)
            ),
                "Exceeded",
                "OK"
            ),
            "No Regulation defined"
        )
    ),
    ""
)</f>
        <v/>
      </c>
      <c r="AB2678" s="62" t="str">
        <f t="shared" si="41"/>
        <v/>
      </c>
    </row>
    <row r="2679" spans="20:28" x14ac:dyDescent="0.2">
      <c r="T2679" s="60" t="str">
        <f>IF(P2679&lt;&gt;"",
    IF(OR(O2679="", Q2679="", R2679=""),
        "Fill all the required columns",
        IFERROR(
            IF(OR(
                AND(R2679="Marine Protected", VLOOKUP(O2679, Reference!$A$2:$D$34, 4, FALSE) &lt;= P2679),
                AND(R2679="General Use", VLOOKUP(O2679, Reference!$A$2:$D$34, 3, FALSE) &lt;= P2679)
            ),
                "Exceeded",
                "OK"
            ),
            "No Regulation defined"
        )
    ),
    ""
)</f>
        <v/>
      </c>
      <c r="AB2679" s="62" t="str">
        <f t="shared" si="41"/>
        <v/>
      </c>
    </row>
    <row r="2680" spans="20:28" x14ac:dyDescent="0.2">
      <c r="T2680" s="60" t="str">
        <f>IF(P2680&lt;&gt;"",
    IF(OR(O2680="", Q2680="", R2680=""),
        "Fill all the required columns",
        IFERROR(
            IF(OR(
                AND(R2680="Marine Protected", VLOOKUP(O2680, Reference!$A$2:$D$34, 4, FALSE) &lt;= P2680),
                AND(R2680="General Use", VLOOKUP(O2680, Reference!$A$2:$D$34, 3, FALSE) &lt;= P2680)
            ),
                "Exceeded",
                "OK"
            ),
            "No Regulation defined"
        )
    ),
    ""
)</f>
        <v/>
      </c>
      <c r="AB2680" s="62" t="str">
        <f t="shared" si="41"/>
        <v/>
      </c>
    </row>
    <row r="2681" spans="20:28" x14ac:dyDescent="0.2">
      <c r="T2681" s="60" t="str">
        <f>IF(P2681&lt;&gt;"",
    IF(OR(O2681="", Q2681="", R2681=""),
        "Fill all the required columns",
        IFERROR(
            IF(OR(
                AND(R2681="Marine Protected", VLOOKUP(O2681, Reference!$A$2:$D$34, 4, FALSE) &lt;= P2681),
                AND(R2681="General Use", VLOOKUP(O2681, Reference!$A$2:$D$34, 3, FALSE) &lt;= P2681)
            ),
                "Exceeded",
                "OK"
            ),
            "No Regulation defined"
        )
    ),
    ""
)</f>
        <v/>
      </c>
      <c r="AB2681" s="62" t="str">
        <f t="shared" si="41"/>
        <v/>
      </c>
    </row>
    <row r="2682" spans="20:28" x14ac:dyDescent="0.2">
      <c r="T2682" s="60" t="str">
        <f>IF(P2682&lt;&gt;"",
    IF(OR(O2682="", Q2682="", R2682=""),
        "Fill all the required columns",
        IFERROR(
            IF(OR(
                AND(R2682="Marine Protected", VLOOKUP(O2682, Reference!$A$2:$D$34, 4, FALSE) &lt;= P2682),
                AND(R2682="General Use", VLOOKUP(O2682, Reference!$A$2:$D$34, 3, FALSE) &lt;= P2682)
            ),
                "Exceeded",
                "OK"
            ),
            "No Regulation defined"
        )
    ),
    ""
)</f>
        <v/>
      </c>
      <c r="AB2682" s="62" t="str">
        <f t="shared" si="41"/>
        <v/>
      </c>
    </row>
    <row r="2683" spans="20:28" x14ac:dyDescent="0.2">
      <c r="T2683" s="60" t="str">
        <f>IF(P2683&lt;&gt;"",
    IF(OR(O2683="", Q2683="", R2683=""),
        "Fill all the required columns",
        IFERROR(
            IF(OR(
                AND(R2683="Marine Protected", VLOOKUP(O2683, Reference!$A$2:$D$34, 4, FALSE) &lt;= P2683),
                AND(R2683="General Use", VLOOKUP(O2683, Reference!$A$2:$D$34, 3, FALSE) &lt;= P2683)
            ),
                "Exceeded",
                "OK"
            ),
            "No Regulation defined"
        )
    ),
    ""
)</f>
        <v/>
      </c>
      <c r="AB2683" s="62" t="str">
        <f t="shared" si="41"/>
        <v/>
      </c>
    </row>
    <row r="2684" spans="20:28" x14ac:dyDescent="0.2">
      <c r="T2684" s="60" t="str">
        <f>IF(P2684&lt;&gt;"",
    IF(OR(O2684="", Q2684="", R2684=""),
        "Fill all the required columns",
        IFERROR(
            IF(OR(
                AND(R2684="Marine Protected", VLOOKUP(O2684, Reference!$A$2:$D$34, 4, FALSE) &lt;= P2684),
                AND(R2684="General Use", VLOOKUP(O2684, Reference!$A$2:$D$34, 3, FALSE) &lt;= P2684)
            ),
                "Exceeded",
                "OK"
            ),
            "No Regulation defined"
        )
    ),
    ""
)</f>
        <v/>
      </c>
      <c r="AB2684" s="62" t="str">
        <f t="shared" si="41"/>
        <v/>
      </c>
    </row>
    <row r="2685" spans="20:28" x14ac:dyDescent="0.2">
      <c r="T2685" s="60" t="str">
        <f>IF(P2685&lt;&gt;"",
    IF(OR(O2685="", Q2685="", R2685=""),
        "Fill all the required columns",
        IFERROR(
            IF(OR(
                AND(R2685="Marine Protected", VLOOKUP(O2685, Reference!$A$2:$D$34, 4, FALSE) &lt;= P2685),
                AND(R2685="General Use", VLOOKUP(O2685, Reference!$A$2:$D$34, 3, FALSE) &lt;= P2685)
            ),
                "Exceeded",
                "OK"
            ),
            "No Regulation defined"
        )
    ),
    ""
)</f>
        <v/>
      </c>
      <c r="AB2685" s="62" t="str">
        <f t="shared" si="41"/>
        <v/>
      </c>
    </row>
    <row r="2686" spans="20:28" x14ac:dyDescent="0.2">
      <c r="T2686" s="60" t="str">
        <f>IF(P2686&lt;&gt;"",
    IF(OR(O2686="", Q2686="", R2686=""),
        "Fill all the required columns",
        IFERROR(
            IF(OR(
                AND(R2686="Marine Protected", VLOOKUP(O2686, Reference!$A$2:$D$34, 4, FALSE) &lt;= P2686),
                AND(R2686="General Use", VLOOKUP(O2686, Reference!$A$2:$D$34, 3, FALSE) &lt;= P2686)
            ),
                "Exceeded",
                "OK"
            ),
            "No Regulation defined"
        )
    ),
    ""
)</f>
        <v/>
      </c>
      <c r="AB2686" s="62" t="str">
        <f t="shared" si="41"/>
        <v/>
      </c>
    </row>
    <row r="2687" spans="20:28" x14ac:dyDescent="0.2">
      <c r="T2687" s="60" t="str">
        <f>IF(P2687&lt;&gt;"",
    IF(OR(O2687="", Q2687="", R2687=""),
        "Fill all the required columns",
        IFERROR(
            IF(OR(
                AND(R2687="Marine Protected", VLOOKUP(O2687, Reference!$A$2:$D$34, 4, FALSE) &lt;= P2687),
                AND(R2687="General Use", VLOOKUP(O2687, Reference!$A$2:$D$34, 3, FALSE) &lt;= P2687)
            ),
                "Exceeded",
                "OK"
            ),
            "No Regulation defined"
        )
    ),
    ""
)</f>
        <v/>
      </c>
      <c r="AB2687" s="62" t="str">
        <f t="shared" si="41"/>
        <v/>
      </c>
    </row>
    <row r="2688" spans="20:28" x14ac:dyDescent="0.2">
      <c r="T2688" s="60" t="str">
        <f>IF(P2688&lt;&gt;"",
    IF(OR(O2688="", Q2688="", R2688=""),
        "Fill all the required columns",
        IFERROR(
            IF(OR(
                AND(R2688="Marine Protected", VLOOKUP(O2688, Reference!$A$2:$D$34, 4, FALSE) &lt;= P2688),
                AND(R2688="General Use", VLOOKUP(O2688, Reference!$A$2:$D$34, 3, FALSE) &lt;= P2688)
            ),
                "Exceeded",
                "OK"
            ),
            "No Regulation defined"
        )
    ),
    ""
)</f>
        <v/>
      </c>
      <c r="AB2688" s="62" t="str">
        <f t="shared" si="41"/>
        <v/>
      </c>
    </row>
    <row r="2689" spans="20:28" x14ac:dyDescent="0.2">
      <c r="T2689" s="60" t="str">
        <f>IF(P2689&lt;&gt;"",
    IF(OR(O2689="", Q2689="", R2689=""),
        "Fill all the required columns",
        IFERROR(
            IF(OR(
                AND(R2689="Marine Protected", VLOOKUP(O2689, Reference!$A$2:$D$34, 4, FALSE) &lt;= P2689),
                AND(R2689="General Use", VLOOKUP(O2689, Reference!$A$2:$D$34, 3, FALSE) &lt;= P2689)
            ),
                "Exceeded",
                "OK"
            ),
            "No Regulation defined"
        )
    ),
    ""
)</f>
        <v/>
      </c>
      <c r="AB2689" s="62" t="str">
        <f t="shared" si="41"/>
        <v/>
      </c>
    </row>
    <row r="2690" spans="20:28" x14ac:dyDescent="0.2">
      <c r="T2690" s="60" t="str">
        <f>IF(P2690&lt;&gt;"",
    IF(OR(O2690="", Q2690="", R2690=""),
        "Fill all the required columns",
        IFERROR(
            IF(OR(
                AND(R2690="Marine Protected", VLOOKUP(O2690, Reference!$A$2:$D$34, 4, FALSE) &lt;= P2690),
                AND(R2690="General Use", VLOOKUP(O2690, Reference!$A$2:$D$34, 3, FALSE) &lt;= P2690)
            ),
                "Exceeded",
                "OK"
            ),
            "No Regulation defined"
        )
    ),
    ""
)</f>
        <v/>
      </c>
      <c r="AB2690" s="62" t="str">
        <f t="shared" si="41"/>
        <v/>
      </c>
    </row>
    <row r="2691" spans="20:28" x14ac:dyDescent="0.2">
      <c r="T2691" s="60" t="str">
        <f>IF(P2691&lt;&gt;"",
    IF(OR(O2691="", Q2691="", R2691=""),
        "Fill all the required columns",
        IFERROR(
            IF(OR(
                AND(R2691="Marine Protected", VLOOKUP(O2691, Reference!$A$2:$D$34, 4, FALSE) &lt;= P2691),
                AND(R2691="General Use", VLOOKUP(O2691, Reference!$A$2:$D$34, 3, FALSE) &lt;= P2691)
            ),
                "Exceeded",
                "OK"
            ),
            "No Regulation defined"
        )
    ),
    ""
)</f>
        <v/>
      </c>
      <c r="AB2691" s="62" t="str">
        <f t="shared" ref="AB2691:AB2754" si="42">IF(COUNTA(A2691, E2691, F2691, H2691, I2691, O2691, P2691, Q2691, R2691,S2691) = 0, "", IF(COUNTA(A2691, E2691, F2691, H2691, I2691, O2691, P2691, Q2691, R2691,S2691) = 10, "OK", "Incomplete"))</f>
        <v/>
      </c>
    </row>
    <row r="2692" spans="20:28" x14ac:dyDescent="0.2">
      <c r="T2692" s="60" t="str">
        <f>IF(P2692&lt;&gt;"",
    IF(OR(O2692="", Q2692="", R2692=""),
        "Fill all the required columns",
        IFERROR(
            IF(OR(
                AND(R2692="Marine Protected", VLOOKUP(O2692, Reference!$A$2:$D$34, 4, FALSE) &lt;= P2692),
                AND(R2692="General Use", VLOOKUP(O2692, Reference!$A$2:$D$34, 3, FALSE) &lt;= P2692)
            ),
                "Exceeded",
                "OK"
            ),
            "No Regulation defined"
        )
    ),
    ""
)</f>
        <v/>
      </c>
      <c r="AB2692" s="62" t="str">
        <f t="shared" si="42"/>
        <v/>
      </c>
    </row>
    <row r="2693" spans="20:28" x14ac:dyDescent="0.2">
      <c r="T2693" s="60" t="str">
        <f>IF(P2693&lt;&gt;"",
    IF(OR(O2693="", Q2693="", R2693=""),
        "Fill all the required columns",
        IFERROR(
            IF(OR(
                AND(R2693="Marine Protected", VLOOKUP(O2693, Reference!$A$2:$D$34, 4, FALSE) &lt;= P2693),
                AND(R2693="General Use", VLOOKUP(O2693, Reference!$A$2:$D$34, 3, FALSE) &lt;= P2693)
            ),
                "Exceeded",
                "OK"
            ),
            "No Regulation defined"
        )
    ),
    ""
)</f>
        <v/>
      </c>
      <c r="AB2693" s="62" t="str">
        <f t="shared" si="42"/>
        <v/>
      </c>
    </row>
    <row r="2694" spans="20:28" x14ac:dyDescent="0.2">
      <c r="T2694" s="60" t="str">
        <f>IF(P2694&lt;&gt;"",
    IF(OR(O2694="", Q2694="", R2694=""),
        "Fill all the required columns",
        IFERROR(
            IF(OR(
                AND(R2694="Marine Protected", VLOOKUP(O2694, Reference!$A$2:$D$34, 4, FALSE) &lt;= P2694),
                AND(R2694="General Use", VLOOKUP(O2694, Reference!$A$2:$D$34, 3, FALSE) &lt;= P2694)
            ),
                "Exceeded",
                "OK"
            ),
            "No Regulation defined"
        )
    ),
    ""
)</f>
        <v/>
      </c>
      <c r="AB2694" s="62" t="str">
        <f t="shared" si="42"/>
        <v/>
      </c>
    </row>
    <row r="2695" spans="20:28" x14ac:dyDescent="0.2">
      <c r="T2695" s="60" t="str">
        <f>IF(P2695&lt;&gt;"",
    IF(OR(O2695="", Q2695="", R2695=""),
        "Fill all the required columns",
        IFERROR(
            IF(OR(
                AND(R2695="Marine Protected", VLOOKUP(O2695, Reference!$A$2:$D$34, 4, FALSE) &lt;= P2695),
                AND(R2695="General Use", VLOOKUP(O2695, Reference!$A$2:$D$34, 3, FALSE) &lt;= P2695)
            ),
                "Exceeded",
                "OK"
            ),
            "No Regulation defined"
        )
    ),
    ""
)</f>
        <v/>
      </c>
      <c r="AB2695" s="62" t="str">
        <f t="shared" si="42"/>
        <v/>
      </c>
    </row>
    <row r="2696" spans="20:28" x14ac:dyDescent="0.2">
      <c r="T2696" s="60" t="str">
        <f>IF(P2696&lt;&gt;"",
    IF(OR(O2696="", Q2696="", R2696=""),
        "Fill all the required columns",
        IFERROR(
            IF(OR(
                AND(R2696="Marine Protected", VLOOKUP(O2696, Reference!$A$2:$D$34, 4, FALSE) &lt;= P2696),
                AND(R2696="General Use", VLOOKUP(O2696, Reference!$A$2:$D$34, 3, FALSE) &lt;= P2696)
            ),
                "Exceeded",
                "OK"
            ),
            "No Regulation defined"
        )
    ),
    ""
)</f>
        <v/>
      </c>
      <c r="AB2696" s="62" t="str">
        <f t="shared" si="42"/>
        <v/>
      </c>
    </row>
    <row r="2697" spans="20:28" x14ac:dyDescent="0.2">
      <c r="T2697" s="60" t="str">
        <f>IF(P2697&lt;&gt;"",
    IF(OR(O2697="", Q2697="", R2697=""),
        "Fill all the required columns",
        IFERROR(
            IF(OR(
                AND(R2697="Marine Protected", VLOOKUP(O2697, Reference!$A$2:$D$34, 4, FALSE) &lt;= P2697),
                AND(R2697="General Use", VLOOKUP(O2697, Reference!$A$2:$D$34, 3, FALSE) &lt;= P2697)
            ),
                "Exceeded",
                "OK"
            ),
            "No Regulation defined"
        )
    ),
    ""
)</f>
        <v/>
      </c>
      <c r="AB2697" s="62" t="str">
        <f t="shared" si="42"/>
        <v/>
      </c>
    </row>
    <row r="2698" spans="20:28" x14ac:dyDescent="0.2">
      <c r="T2698" s="60" t="str">
        <f>IF(P2698&lt;&gt;"",
    IF(OR(O2698="", Q2698="", R2698=""),
        "Fill all the required columns",
        IFERROR(
            IF(OR(
                AND(R2698="Marine Protected", VLOOKUP(O2698, Reference!$A$2:$D$34, 4, FALSE) &lt;= P2698),
                AND(R2698="General Use", VLOOKUP(O2698, Reference!$A$2:$D$34, 3, FALSE) &lt;= P2698)
            ),
                "Exceeded",
                "OK"
            ),
            "No Regulation defined"
        )
    ),
    ""
)</f>
        <v/>
      </c>
      <c r="AB2698" s="62" t="str">
        <f t="shared" si="42"/>
        <v/>
      </c>
    </row>
    <row r="2699" spans="20:28" x14ac:dyDescent="0.2">
      <c r="T2699" s="60" t="str">
        <f>IF(P2699&lt;&gt;"",
    IF(OR(O2699="", Q2699="", R2699=""),
        "Fill all the required columns",
        IFERROR(
            IF(OR(
                AND(R2699="Marine Protected", VLOOKUP(O2699, Reference!$A$2:$D$34, 4, FALSE) &lt;= P2699),
                AND(R2699="General Use", VLOOKUP(O2699, Reference!$A$2:$D$34, 3, FALSE) &lt;= P2699)
            ),
                "Exceeded",
                "OK"
            ),
            "No Regulation defined"
        )
    ),
    ""
)</f>
        <v/>
      </c>
      <c r="AB2699" s="62" t="str">
        <f t="shared" si="42"/>
        <v/>
      </c>
    </row>
    <row r="2700" spans="20:28" x14ac:dyDescent="0.2">
      <c r="T2700" s="60" t="str">
        <f>IF(P2700&lt;&gt;"",
    IF(OR(O2700="", Q2700="", R2700=""),
        "Fill all the required columns",
        IFERROR(
            IF(OR(
                AND(R2700="Marine Protected", VLOOKUP(O2700, Reference!$A$2:$D$34, 4, FALSE) &lt;= P2700),
                AND(R2700="General Use", VLOOKUP(O2700, Reference!$A$2:$D$34, 3, FALSE) &lt;= P2700)
            ),
                "Exceeded",
                "OK"
            ),
            "No Regulation defined"
        )
    ),
    ""
)</f>
        <v/>
      </c>
      <c r="AB2700" s="62" t="str">
        <f t="shared" si="42"/>
        <v/>
      </c>
    </row>
    <row r="2701" spans="20:28" x14ac:dyDescent="0.2">
      <c r="T2701" s="60" t="str">
        <f>IF(P2701&lt;&gt;"",
    IF(OR(O2701="", Q2701="", R2701=""),
        "Fill all the required columns",
        IFERROR(
            IF(OR(
                AND(R2701="Marine Protected", VLOOKUP(O2701, Reference!$A$2:$D$34, 4, FALSE) &lt;= P2701),
                AND(R2701="General Use", VLOOKUP(O2701, Reference!$A$2:$D$34, 3, FALSE) &lt;= P2701)
            ),
                "Exceeded",
                "OK"
            ),
            "No Regulation defined"
        )
    ),
    ""
)</f>
        <v/>
      </c>
      <c r="AB2701" s="62" t="str">
        <f t="shared" si="42"/>
        <v/>
      </c>
    </row>
    <row r="2702" spans="20:28" x14ac:dyDescent="0.2">
      <c r="T2702" s="60" t="str">
        <f>IF(P2702&lt;&gt;"",
    IF(OR(O2702="", Q2702="", R2702=""),
        "Fill all the required columns",
        IFERROR(
            IF(OR(
                AND(R2702="Marine Protected", VLOOKUP(O2702, Reference!$A$2:$D$34, 4, FALSE) &lt;= P2702),
                AND(R2702="General Use", VLOOKUP(O2702, Reference!$A$2:$D$34, 3, FALSE) &lt;= P2702)
            ),
                "Exceeded",
                "OK"
            ),
            "No Regulation defined"
        )
    ),
    ""
)</f>
        <v/>
      </c>
      <c r="AB2702" s="62" t="str">
        <f t="shared" si="42"/>
        <v/>
      </c>
    </row>
    <row r="2703" spans="20:28" x14ac:dyDescent="0.2">
      <c r="T2703" s="60" t="str">
        <f>IF(P2703&lt;&gt;"",
    IF(OR(O2703="", Q2703="", R2703=""),
        "Fill all the required columns",
        IFERROR(
            IF(OR(
                AND(R2703="Marine Protected", VLOOKUP(O2703, Reference!$A$2:$D$34, 4, FALSE) &lt;= P2703),
                AND(R2703="General Use", VLOOKUP(O2703, Reference!$A$2:$D$34, 3, FALSE) &lt;= P2703)
            ),
                "Exceeded",
                "OK"
            ),
            "No Regulation defined"
        )
    ),
    ""
)</f>
        <v/>
      </c>
      <c r="AB2703" s="62" t="str">
        <f t="shared" si="42"/>
        <v/>
      </c>
    </row>
    <row r="2704" spans="20:28" x14ac:dyDescent="0.2">
      <c r="T2704" s="60" t="str">
        <f>IF(P2704&lt;&gt;"",
    IF(OR(O2704="", Q2704="", R2704=""),
        "Fill all the required columns",
        IFERROR(
            IF(OR(
                AND(R2704="Marine Protected", VLOOKUP(O2704, Reference!$A$2:$D$34, 4, FALSE) &lt;= P2704),
                AND(R2704="General Use", VLOOKUP(O2704, Reference!$A$2:$D$34, 3, FALSE) &lt;= P2704)
            ),
                "Exceeded",
                "OK"
            ),
            "No Regulation defined"
        )
    ),
    ""
)</f>
        <v/>
      </c>
      <c r="AB2704" s="62" t="str">
        <f t="shared" si="42"/>
        <v/>
      </c>
    </row>
    <row r="2705" spans="20:28" x14ac:dyDescent="0.2">
      <c r="T2705" s="60" t="str">
        <f>IF(P2705&lt;&gt;"",
    IF(OR(O2705="", Q2705="", R2705=""),
        "Fill all the required columns",
        IFERROR(
            IF(OR(
                AND(R2705="Marine Protected", VLOOKUP(O2705, Reference!$A$2:$D$34, 4, FALSE) &lt;= P2705),
                AND(R2705="General Use", VLOOKUP(O2705, Reference!$A$2:$D$34, 3, FALSE) &lt;= P2705)
            ),
                "Exceeded",
                "OK"
            ),
            "No Regulation defined"
        )
    ),
    ""
)</f>
        <v/>
      </c>
      <c r="AB2705" s="62" t="str">
        <f t="shared" si="42"/>
        <v/>
      </c>
    </row>
    <row r="2706" spans="20:28" x14ac:dyDescent="0.2">
      <c r="T2706" s="60" t="str">
        <f>IF(P2706&lt;&gt;"",
    IF(OR(O2706="", Q2706="", R2706=""),
        "Fill all the required columns",
        IFERROR(
            IF(OR(
                AND(R2706="Marine Protected", VLOOKUP(O2706, Reference!$A$2:$D$34, 4, FALSE) &lt;= P2706),
                AND(R2706="General Use", VLOOKUP(O2706, Reference!$A$2:$D$34, 3, FALSE) &lt;= P2706)
            ),
                "Exceeded",
                "OK"
            ),
            "No Regulation defined"
        )
    ),
    ""
)</f>
        <v/>
      </c>
      <c r="AB2706" s="62" t="str">
        <f t="shared" si="42"/>
        <v/>
      </c>
    </row>
    <row r="2707" spans="20:28" x14ac:dyDescent="0.2">
      <c r="T2707" s="60" t="str">
        <f>IF(P2707&lt;&gt;"",
    IF(OR(O2707="", Q2707="", R2707=""),
        "Fill all the required columns",
        IFERROR(
            IF(OR(
                AND(R2707="Marine Protected", VLOOKUP(O2707, Reference!$A$2:$D$34, 4, FALSE) &lt;= P2707),
                AND(R2707="General Use", VLOOKUP(O2707, Reference!$A$2:$D$34, 3, FALSE) &lt;= P2707)
            ),
                "Exceeded",
                "OK"
            ),
            "No Regulation defined"
        )
    ),
    ""
)</f>
        <v/>
      </c>
      <c r="AB2707" s="62" t="str">
        <f t="shared" si="42"/>
        <v/>
      </c>
    </row>
    <row r="2708" spans="20:28" x14ac:dyDescent="0.2">
      <c r="T2708" s="60" t="str">
        <f>IF(P2708&lt;&gt;"",
    IF(OR(O2708="", Q2708="", R2708=""),
        "Fill all the required columns",
        IFERROR(
            IF(OR(
                AND(R2708="Marine Protected", VLOOKUP(O2708, Reference!$A$2:$D$34, 4, FALSE) &lt;= P2708),
                AND(R2708="General Use", VLOOKUP(O2708, Reference!$A$2:$D$34, 3, FALSE) &lt;= P2708)
            ),
                "Exceeded",
                "OK"
            ),
            "No Regulation defined"
        )
    ),
    ""
)</f>
        <v/>
      </c>
      <c r="AB2708" s="62" t="str">
        <f t="shared" si="42"/>
        <v/>
      </c>
    </row>
    <row r="2709" spans="20:28" x14ac:dyDescent="0.2">
      <c r="T2709" s="60" t="str">
        <f>IF(P2709&lt;&gt;"",
    IF(OR(O2709="", Q2709="", R2709=""),
        "Fill all the required columns",
        IFERROR(
            IF(OR(
                AND(R2709="Marine Protected", VLOOKUP(O2709, Reference!$A$2:$D$34, 4, FALSE) &lt;= P2709),
                AND(R2709="General Use", VLOOKUP(O2709, Reference!$A$2:$D$34, 3, FALSE) &lt;= P2709)
            ),
                "Exceeded",
                "OK"
            ),
            "No Regulation defined"
        )
    ),
    ""
)</f>
        <v/>
      </c>
      <c r="AB2709" s="62" t="str">
        <f t="shared" si="42"/>
        <v/>
      </c>
    </row>
    <row r="2710" spans="20:28" x14ac:dyDescent="0.2">
      <c r="T2710" s="60" t="str">
        <f>IF(P2710&lt;&gt;"",
    IF(OR(O2710="", Q2710="", R2710=""),
        "Fill all the required columns",
        IFERROR(
            IF(OR(
                AND(R2710="Marine Protected", VLOOKUP(O2710, Reference!$A$2:$D$34, 4, FALSE) &lt;= P2710),
                AND(R2710="General Use", VLOOKUP(O2710, Reference!$A$2:$D$34, 3, FALSE) &lt;= P2710)
            ),
                "Exceeded",
                "OK"
            ),
            "No Regulation defined"
        )
    ),
    ""
)</f>
        <v/>
      </c>
      <c r="AB2710" s="62" t="str">
        <f t="shared" si="42"/>
        <v/>
      </c>
    </row>
    <row r="2711" spans="20:28" x14ac:dyDescent="0.2">
      <c r="T2711" s="60" t="str">
        <f>IF(P2711&lt;&gt;"",
    IF(OR(O2711="", Q2711="", R2711=""),
        "Fill all the required columns",
        IFERROR(
            IF(OR(
                AND(R2711="Marine Protected", VLOOKUP(O2711, Reference!$A$2:$D$34, 4, FALSE) &lt;= P2711),
                AND(R2711="General Use", VLOOKUP(O2711, Reference!$A$2:$D$34, 3, FALSE) &lt;= P2711)
            ),
                "Exceeded",
                "OK"
            ),
            "No Regulation defined"
        )
    ),
    ""
)</f>
        <v/>
      </c>
      <c r="AB2711" s="62" t="str">
        <f t="shared" si="42"/>
        <v/>
      </c>
    </row>
    <row r="2712" spans="20:28" x14ac:dyDescent="0.2">
      <c r="T2712" s="60" t="str">
        <f>IF(P2712&lt;&gt;"",
    IF(OR(O2712="", Q2712="", R2712=""),
        "Fill all the required columns",
        IFERROR(
            IF(OR(
                AND(R2712="Marine Protected", VLOOKUP(O2712, Reference!$A$2:$D$34, 4, FALSE) &lt;= P2712),
                AND(R2712="General Use", VLOOKUP(O2712, Reference!$A$2:$D$34, 3, FALSE) &lt;= P2712)
            ),
                "Exceeded",
                "OK"
            ),
            "No Regulation defined"
        )
    ),
    ""
)</f>
        <v/>
      </c>
      <c r="AB2712" s="62" t="str">
        <f t="shared" si="42"/>
        <v/>
      </c>
    </row>
    <row r="2713" spans="20:28" x14ac:dyDescent="0.2">
      <c r="T2713" s="60" t="str">
        <f>IF(P2713&lt;&gt;"",
    IF(OR(O2713="", Q2713="", R2713=""),
        "Fill all the required columns",
        IFERROR(
            IF(OR(
                AND(R2713="Marine Protected", VLOOKUP(O2713, Reference!$A$2:$D$34, 4, FALSE) &lt;= P2713),
                AND(R2713="General Use", VLOOKUP(O2713, Reference!$A$2:$D$34, 3, FALSE) &lt;= P2713)
            ),
                "Exceeded",
                "OK"
            ),
            "No Regulation defined"
        )
    ),
    ""
)</f>
        <v/>
      </c>
      <c r="AB2713" s="62" t="str">
        <f t="shared" si="42"/>
        <v/>
      </c>
    </row>
    <row r="2714" spans="20:28" x14ac:dyDescent="0.2">
      <c r="T2714" s="60" t="str">
        <f>IF(P2714&lt;&gt;"",
    IF(OR(O2714="", Q2714="", R2714=""),
        "Fill all the required columns",
        IFERROR(
            IF(OR(
                AND(R2714="Marine Protected", VLOOKUP(O2714, Reference!$A$2:$D$34, 4, FALSE) &lt;= P2714),
                AND(R2714="General Use", VLOOKUP(O2714, Reference!$A$2:$D$34, 3, FALSE) &lt;= P2714)
            ),
                "Exceeded",
                "OK"
            ),
            "No Regulation defined"
        )
    ),
    ""
)</f>
        <v/>
      </c>
      <c r="AB2714" s="62" t="str">
        <f t="shared" si="42"/>
        <v/>
      </c>
    </row>
    <row r="2715" spans="20:28" x14ac:dyDescent="0.2">
      <c r="T2715" s="60" t="str">
        <f>IF(P2715&lt;&gt;"",
    IF(OR(O2715="", Q2715="", R2715=""),
        "Fill all the required columns",
        IFERROR(
            IF(OR(
                AND(R2715="Marine Protected", VLOOKUP(O2715, Reference!$A$2:$D$34, 4, FALSE) &lt;= P2715),
                AND(R2715="General Use", VLOOKUP(O2715, Reference!$A$2:$D$34, 3, FALSE) &lt;= P2715)
            ),
                "Exceeded",
                "OK"
            ),
            "No Regulation defined"
        )
    ),
    ""
)</f>
        <v/>
      </c>
      <c r="AB2715" s="62" t="str">
        <f t="shared" si="42"/>
        <v/>
      </c>
    </row>
    <row r="2716" spans="20:28" x14ac:dyDescent="0.2">
      <c r="T2716" s="60" t="str">
        <f>IF(P2716&lt;&gt;"",
    IF(OR(O2716="", Q2716="", R2716=""),
        "Fill all the required columns",
        IFERROR(
            IF(OR(
                AND(R2716="Marine Protected", VLOOKUP(O2716, Reference!$A$2:$D$34, 4, FALSE) &lt;= P2716),
                AND(R2716="General Use", VLOOKUP(O2716, Reference!$A$2:$D$34, 3, FALSE) &lt;= P2716)
            ),
                "Exceeded",
                "OK"
            ),
            "No Regulation defined"
        )
    ),
    ""
)</f>
        <v/>
      </c>
      <c r="AB2716" s="62" t="str">
        <f t="shared" si="42"/>
        <v/>
      </c>
    </row>
    <row r="2717" spans="20:28" x14ac:dyDescent="0.2">
      <c r="T2717" s="60" t="str">
        <f>IF(P2717&lt;&gt;"",
    IF(OR(O2717="", Q2717="", R2717=""),
        "Fill all the required columns",
        IFERROR(
            IF(OR(
                AND(R2717="Marine Protected", VLOOKUP(O2717, Reference!$A$2:$D$34, 4, FALSE) &lt;= P2717),
                AND(R2717="General Use", VLOOKUP(O2717, Reference!$A$2:$D$34, 3, FALSE) &lt;= P2717)
            ),
                "Exceeded",
                "OK"
            ),
            "No Regulation defined"
        )
    ),
    ""
)</f>
        <v/>
      </c>
      <c r="AB2717" s="62" t="str">
        <f t="shared" si="42"/>
        <v/>
      </c>
    </row>
    <row r="2718" spans="20:28" x14ac:dyDescent="0.2">
      <c r="T2718" s="60" t="str">
        <f>IF(P2718&lt;&gt;"",
    IF(OR(O2718="", Q2718="", R2718=""),
        "Fill all the required columns",
        IFERROR(
            IF(OR(
                AND(R2718="Marine Protected", VLOOKUP(O2718, Reference!$A$2:$D$34, 4, FALSE) &lt;= P2718),
                AND(R2718="General Use", VLOOKUP(O2718, Reference!$A$2:$D$34, 3, FALSE) &lt;= P2718)
            ),
                "Exceeded",
                "OK"
            ),
            "No Regulation defined"
        )
    ),
    ""
)</f>
        <v/>
      </c>
      <c r="AB2718" s="62" t="str">
        <f t="shared" si="42"/>
        <v/>
      </c>
    </row>
    <row r="2719" spans="20:28" x14ac:dyDescent="0.2">
      <c r="T2719" s="60" t="str">
        <f>IF(P2719&lt;&gt;"",
    IF(OR(O2719="", Q2719="", R2719=""),
        "Fill all the required columns",
        IFERROR(
            IF(OR(
                AND(R2719="Marine Protected", VLOOKUP(O2719, Reference!$A$2:$D$34, 4, FALSE) &lt;= P2719),
                AND(R2719="General Use", VLOOKUP(O2719, Reference!$A$2:$D$34, 3, FALSE) &lt;= P2719)
            ),
                "Exceeded",
                "OK"
            ),
            "No Regulation defined"
        )
    ),
    ""
)</f>
        <v/>
      </c>
      <c r="AB2719" s="62" t="str">
        <f t="shared" si="42"/>
        <v/>
      </c>
    </row>
    <row r="2720" spans="20:28" x14ac:dyDescent="0.2">
      <c r="T2720" s="60" t="str">
        <f>IF(P2720&lt;&gt;"",
    IF(OR(O2720="", Q2720="", R2720=""),
        "Fill all the required columns",
        IFERROR(
            IF(OR(
                AND(R2720="Marine Protected", VLOOKUP(O2720, Reference!$A$2:$D$34, 4, FALSE) &lt;= P2720),
                AND(R2720="General Use", VLOOKUP(O2720, Reference!$A$2:$D$34, 3, FALSE) &lt;= P2720)
            ),
                "Exceeded",
                "OK"
            ),
            "No Regulation defined"
        )
    ),
    ""
)</f>
        <v/>
      </c>
      <c r="AB2720" s="62" t="str">
        <f t="shared" si="42"/>
        <v/>
      </c>
    </row>
    <row r="2721" spans="20:28" x14ac:dyDescent="0.2">
      <c r="T2721" s="60" t="str">
        <f>IF(P2721&lt;&gt;"",
    IF(OR(O2721="", Q2721="", R2721=""),
        "Fill all the required columns",
        IFERROR(
            IF(OR(
                AND(R2721="Marine Protected", VLOOKUP(O2721, Reference!$A$2:$D$34, 4, FALSE) &lt;= P2721),
                AND(R2721="General Use", VLOOKUP(O2721, Reference!$A$2:$D$34, 3, FALSE) &lt;= P2721)
            ),
                "Exceeded",
                "OK"
            ),
            "No Regulation defined"
        )
    ),
    ""
)</f>
        <v/>
      </c>
      <c r="AB2721" s="62" t="str">
        <f t="shared" si="42"/>
        <v/>
      </c>
    </row>
    <row r="2722" spans="20:28" x14ac:dyDescent="0.2">
      <c r="T2722" s="60" t="str">
        <f>IF(P2722&lt;&gt;"",
    IF(OR(O2722="", Q2722="", R2722=""),
        "Fill all the required columns",
        IFERROR(
            IF(OR(
                AND(R2722="Marine Protected", VLOOKUP(O2722, Reference!$A$2:$D$34, 4, FALSE) &lt;= P2722),
                AND(R2722="General Use", VLOOKUP(O2722, Reference!$A$2:$D$34, 3, FALSE) &lt;= P2722)
            ),
                "Exceeded",
                "OK"
            ),
            "No Regulation defined"
        )
    ),
    ""
)</f>
        <v/>
      </c>
      <c r="AB2722" s="62" t="str">
        <f t="shared" si="42"/>
        <v/>
      </c>
    </row>
    <row r="2723" spans="20:28" x14ac:dyDescent="0.2">
      <c r="T2723" s="60" t="str">
        <f>IF(P2723&lt;&gt;"",
    IF(OR(O2723="", Q2723="", R2723=""),
        "Fill all the required columns",
        IFERROR(
            IF(OR(
                AND(R2723="Marine Protected", VLOOKUP(O2723, Reference!$A$2:$D$34, 4, FALSE) &lt;= P2723),
                AND(R2723="General Use", VLOOKUP(O2723, Reference!$A$2:$D$34, 3, FALSE) &lt;= P2723)
            ),
                "Exceeded",
                "OK"
            ),
            "No Regulation defined"
        )
    ),
    ""
)</f>
        <v/>
      </c>
      <c r="AB2723" s="62" t="str">
        <f t="shared" si="42"/>
        <v/>
      </c>
    </row>
    <row r="2724" spans="20:28" x14ac:dyDescent="0.2">
      <c r="T2724" s="60" t="str">
        <f>IF(P2724&lt;&gt;"",
    IF(OR(O2724="", Q2724="", R2724=""),
        "Fill all the required columns",
        IFERROR(
            IF(OR(
                AND(R2724="Marine Protected", VLOOKUP(O2724, Reference!$A$2:$D$34, 4, FALSE) &lt;= P2724),
                AND(R2724="General Use", VLOOKUP(O2724, Reference!$A$2:$D$34, 3, FALSE) &lt;= P2724)
            ),
                "Exceeded",
                "OK"
            ),
            "No Regulation defined"
        )
    ),
    ""
)</f>
        <v/>
      </c>
      <c r="AB2724" s="62" t="str">
        <f t="shared" si="42"/>
        <v/>
      </c>
    </row>
    <row r="2725" spans="20:28" x14ac:dyDescent="0.2">
      <c r="T2725" s="60" t="str">
        <f>IF(P2725&lt;&gt;"",
    IF(OR(O2725="", Q2725="", R2725=""),
        "Fill all the required columns",
        IFERROR(
            IF(OR(
                AND(R2725="Marine Protected", VLOOKUP(O2725, Reference!$A$2:$D$34, 4, FALSE) &lt;= P2725),
                AND(R2725="General Use", VLOOKUP(O2725, Reference!$A$2:$D$34, 3, FALSE) &lt;= P2725)
            ),
                "Exceeded",
                "OK"
            ),
            "No Regulation defined"
        )
    ),
    ""
)</f>
        <v/>
      </c>
      <c r="AB2725" s="62" t="str">
        <f t="shared" si="42"/>
        <v/>
      </c>
    </row>
    <row r="2726" spans="20:28" x14ac:dyDescent="0.2">
      <c r="T2726" s="60" t="str">
        <f>IF(P2726&lt;&gt;"",
    IF(OR(O2726="", Q2726="", R2726=""),
        "Fill all the required columns",
        IFERROR(
            IF(OR(
                AND(R2726="Marine Protected", VLOOKUP(O2726, Reference!$A$2:$D$34, 4, FALSE) &lt;= P2726),
                AND(R2726="General Use", VLOOKUP(O2726, Reference!$A$2:$D$34, 3, FALSE) &lt;= P2726)
            ),
                "Exceeded",
                "OK"
            ),
            "No Regulation defined"
        )
    ),
    ""
)</f>
        <v/>
      </c>
      <c r="AB2726" s="62" t="str">
        <f t="shared" si="42"/>
        <v/>
      </c>
    </row>
    <row r="2727" spans="20:28" x14ac:dyDescent="0.2">
      <c r="T2727" s="60" t="str">
        <f>IF(P2727&lt;&gt;"",
    IF(OR(O2727="", Q2727="", R2727=""),
        "Fill all the required columns",
        IFERROR(
            IF(OR(
                AND(R2727="Marine Protected", VLOOKUP(O2727, Reference!$A$2:$D$34, 4, FALSE) &lt;= P2727),
                AND(R2727="General Use", VLOOKUP(O2727, Reference!$A$2:$D$34, 3, FALSE) &lt;= P2727)
            ),
                "Exceeded",
                "OK"
            ),
            "No Regulation defined"
        )
    ),
    ""
)</f>
        <v/>
      </c>
      <c r="AB2727" s="62" t="str">
        <f t="shared" si="42"/>
        <v/>
      </c>
    </row>
    <row r="2728" spans="20:28" x14ac:dyDescent="0.2">
      <c r="T2728" s="60" t="str">
        <f>IF(P2728&lt;&gt;"",
    IF(OR(O2728="", Q2728="", R2728=""),
        "Fill all the required columns",
        IFERROR(
            IF(OR(
                AND(R2728="Marine Protected", VLOOKUP(O2728, Reference!$A$2:$D$34, 4, FALSE) &lt;= P2728),
                AND(R2728="General Use", VLOOKUP(O2728, Reference!$A$2:$D$34, 3, FALSE) &lt;= P2728)
            ),
                "Exceeded",
                "OK"
            ),
            "No Regulation defined"
        )
    ),
    ""
)</f>
        <v/>
      </c>
      <c r="AB2728" s="62" t="str">
        <f t="shared" si="42"/>
        <v/>
      </c>
    </row>
    <row r="2729" spans="20:28" x14ac:dyDescent="0.2">
      <c r="T2729" s="60" t="str">
        <f>IF(P2729&lt;&gt;"",
    IF(OR(O2729="", Q2729="", R2729=""),
        "Fill all the required columns",
        IFERROR(
            IF(OR(
                AND(R2729="Marine Protected", VLOOKUP(O2729, Reference!$A$2:$D$34, 4, FALSE) &lt;= P2729),
                AND(R2729="General Use", VLOOKUP(O2729, Reference!$A$2:$D$34, 3, FALSE) &lt;= P2729)
            ),
                "Exceeded",
                "OK"
            ),
            "No Regulation defined"
        )
    ),
    ""
)</f>
        <v/>
      </c>
      <c r="AB2729" s="62" t="str">
        <f t="shared" si="42"/>
        <v/>
      </c>
    </row>
    <row r="2730" spans="20:28" x14ac:dyDescent="0.2">
      <c r="T2730" s="60" t="str">
        <f>IF(P2730&lt;&gt;"",
    IF(OR(O2730="", Q2730="", R2730=""),
        "Fill all the required columns",
        IFERROR(
            IF(OR(
                AND(R2730="Marine Protected", VLOOKUP(O2730, Reference!$A$2:$D$34, 4, FALSE) &lt;= P2730),
                AND(R2730="General Use", VLOOKUP(O2730, Reference!$A$2:$D$34, 3, FALSE) &lt;= P2730)
            ),
                "Exceeded",
                "OK"
            ),
            "No Regulation defined"
        )
    ),
    ""
)</f>
        <v/>
      </c>
      <c r="AB2730" s="62" t="str">
        <f t="shared" si="42"/>
        <v/>
      </c>
    </row>
    <row r="2731" spans="20:28" x14ac:dyDescent="0.2">
      <c r="T2731" s="60" t="str">
        <f>IF(P2731&lt;&gt;"",
    IF(OR(O2731="", Q2731="", R2731=""),
        "Fill all the required columns",
        IFERROR(
            IF(OR(
                AND(R2731="Marine Protected", VLOOKUP(O2731, Reference!$A$2:$D$34, 4, FALSE) &lt;= P2731),
                AND(R2731="General Use", VLOOKUP(O2731, Reference!$A$2:$D$34, 3, FALSE) &lt;= P2731)
            ),
                "Exceeded",
                "OK"
            ),
            "No Regulation defined"
        )
    ),
    ""
)</f>
        <v/>
      </c>
      <c r="AB2731" s="62" t="str">
        <f t="shared" si="42"/>
        <v/>
      </c>
    </row>
    <row r="2732" spans="20:28" x14ac:dyDescent="0.2">
      <c r="T2732" s="60" t="str">
        <f>IF(P2732&lt;&gt;"",
    IF(OR(O2732="", Q2732="", R2732=""),
        "Fill all the required columns",
        IFERROR(
            IF(OR(
                AND(R2732="Marine Protected", VLOOKUP(O2732, Reference!$A$2:$D$34, 4, FALSE) &lt;= P2732),
                AND(R2732="General Use", VLOOKUP(O2732, Reference!$A$2:$D$34, 3, FALSE) &lt;= P2732)
            ),
                "Exceeded",
                "OK"
            ),
            "No Regulation defined"
        )
    ),
    ""
)</f>
        <v/>
      </c>
      <c r="AB2732" s="62" t="str">
        <f t="shared" si="42"/>
        <v/>
      </c>
    </row>
    <row r="2733" spans="20:28" x14ac:dyDescent="0.2">
      <c r="T2733" s="60" t="str">
        <f>IF(P2733&lt;&gt;"",
    IF(OR(O2733="", Q2733="", R2733=""),
        "Fill all the required columns",
        IFERROR(
            IF(OR(
                AND(R2733="Marine Protected", VLOOKUP(O2733, Reference!$A$2:$D$34, 4, FALSE) &lt;= P2733),
                AND(R2733="General Use", VLOOKUP(O2733, Reference!$A$2:$D$34, 3, FALSE) &lt;= P2733)
            ),
                "Exceeded",
                "OK"
            ),
            "No Regulation defined"
        )
    ),
    ""
)</f>
        <v/>
      </c>
      <c r="AB2733" s="62" t="str">
        <f t="shared" si="42"/>
        <v/>
      </c>
    </row>
    <row r="2734" spans="20:28" x14ac:dyDescent="0.2">
      <c r="T2734" s="60" t="str">
        <f>IF(P2734&lt;&gt;"",
    IF(OR(O2734="", Q2734="", R2734=""),
        "Fill all the required columns",
        IFERROR(
            IF(OR(
                AND(R2734="Marine Protected", VLOOKUP(O2734, Reference!$A$2:$D$34, 4, FALSE) &lt;= P2734),
                AND(R2734="General Use", VLOOKUP(O2734, Reference!$A$2:$D$34, 3, FALSE) &lt;= P2734)
            ),
                "Exceeded",
                "OK"
            ),
            "No Regulation defined"
        )
    ),
    ""
)</f>
        <v/>
      </c>
      <c r="AB2734" s="62" t="str">
        <f t="shared" si="42"/>
        <v/>
      </c>
    </row>
    <row r="2735" spans="20:28" x14ac:dyDescent="0.2">
      <c r="T2735" s="60" t="str">
        <f>IF(P2735&lt;&gt;"",
    IF(OR(O2735="", Q2735="", R2735=""),
        "Fill all the required columns",
        IFERROR(
            IF(OR(
                AND(R2735="Marine Protected", VLOOKUP(O2735, Reference!$A$2:$D$34, 4, FALSE) &lt;= P2735),
                AND(R2735="General Use", VLOOKUP(O2735, Reference!$A$2:$D$34, 3, FALSE) &lt;= P2735)
            ),
                "Exceeded",
                "OK"
            ),
            "No Regulation defined"
        )
    ),
    ""
)</f>
        <v/>
      </c>
      <c r="AB2735" s="62" t="str">
        <f t="shared" si="42"/>
        <v/>
      </c>
    </row>
    <row r="2736" spans="20:28" x14ac:dyDescent="0.2">
      <c r="T2736" s="60" t="str">
        <f>IF(P2736&lt;&gt;"",
    IF(OR(O2736="", Q2736="", R2736=""),
        "Fill all the required columns",
        IFERROR(
            IF(OR(
                AND(R2736="Marine Protected", VLOOKUP(O2736, Reference!$A$2:$D$34, 4, FALSE) &lt;= P2736),
                AND(R2736="General Use", VLOOKUP(O2736, Reference!$A$2:$D$34, 3, FALSE) &lt;= P2736)
            ),
                "Exceeded",
                "OK"
            ),
            "No Regulation defined"
        )
    ),
    ""
)</f>
        <v/>
      </c>
      <c r="AB2736" s="62" t="str">
        <f t="shared" si="42"/>
        <v/>
      </c>
    </row>
    <row r="2737" spans="20:28" x14ac:dyDescent="0.2">
      <c r="T2737" s="60" t="str">
        <f>IF(P2737&lt;&gt;"",
    IF(OR(O2737="", Q2737="", R2737=""),
        "Fill all the required columns",
        IFERROR(
            IF(OR(
                AND(R2737="Marine Protected", VLOOKUP(O2737, Reference!$A$2:$D$34, 4, FALSE) &lt;= P2737),
                AND(R2737="General Use", VLOOKUP(O2737, Reference!$A$2:$D$34, 3, FALSE) &lt;= P2737)
            ),
                "Exceeded",
                "OK"
            ),
            "No Regulation defined"
        )
    ),
    ""
)</f>
        <v/>
      </c>
      <c r="AB2737" s="62" t="str">
        <f t="shared" si="42"/>
        <v/>
      </c>
    </row>
    <row r="2738" spans="20:28" x14ac:dyDescent="0.2">
      <c r="T2738" s="60" t="str">
        <f>IF(P2738&lt;&gt;"",
    IF(OR(O2738="", Q2738="", R2738=""),
        "Fill all the required columns",
        IFERROR(
            IF(OR(
                AND(R2738="Marine Protected", VLOOKUP(O2738, Reference!$A$2:$D$34, 4, FALSE) &lt;= P2738),
                AND(R2738="General Use", VLOOKUP(O2738, Reference!$A$2:$D$34, 3, FALSE) &lt;= P2738)
            ),
                "Exceeded",
                "OK"
            ),
            "No Regulation defined"
        )
    ),
    ""
)</f>
        <v/>
      </c>
      <c r="AB2738" s="62" t="str">
        <f t="shared" si="42"/>
        <v/>
      </c>
    </row>
    <row r="2739" spans="20:28" x14ac:dyDescent="0.2">
      <c r="T2739" s="60" t="str">
        <f>IF(P2739&lt;&gt;"",
    IF(OR(O2739="", Q2739="", R2739=""),
        "Fill all the required columns",
        IFERROR(
            IF(OR(
                AND(R2739="Marine Protected", VLOOKUP(O2739, Reference!$A$2:$D$34, 4, FALSE) &lt;= P2739),
                AND(R2739="General Use", VLOOKUP(O2739, Reference!$A$2:$D$34, 3, FALSE) &lt;= P2739)
            ),
                "Exceeded",
                "OK"
            ),
            "No Regulation defined"
        )
    ),
    ""
)</f>
        <v/>
      </c>
      <c r="AB2739" s="62" t="str">
        <f t="shared" si="42"/>
        <v/>
      </c>
    </row>
    <row r="2740" spans="20:28" x14ac:dyDescent="0.2">
      <c r="T2740" s="60" t="str">
        <f>IF(P2740&lt;&gt;"",
    IF(OR(O2740="", Q2740="", R2740=""),
        "Fill all the required columns",
        IFERROR(
            IF(OR(
                AND(R2740="Marine Protected", VLOOKUP(O2740, Reference!$A$2:$D$34, 4, FALSE) &lt;= P2740),
                AND(R2740="General Use", VLOOKUP(O2740, Reference!$A$2:$D$34, 3, FALSE) &lt;= P2740)
            ),
                "Exceeded",
                "OK"
            ),
            "No Regulation defined"
        )
    ),
    ""
)</f>
        <v/>
      </c>
      <c r="AB2740" s="62" t="str">
        <f t="shared" si="42"/>
        <v/>
      </c>
    </row>
    <row r="2741" spans="20:28" x14ac:dyDescent="0.2">
      <c r="T2741" s="60" t="str">
        <f>IF(P2741&lt;&gt;"",
    IF(OR(O2741="", Q2741="", R2741=""),
        "Fill all the required columns",
        IFERROR(
            IF(OR(
                AND(R2741="Marine Protected", VLOOKUP(O2741, Reference!$A$2:$D$34, 4, FALSE) &lt;= P2741),
                AND(R2741="General Use", VLOOKUP(O2741, Reference!$A$2:$D$34, 3, FALSE) &lt;= P2741)
            ),
                "Exceeded",
                "OK"
            ),
            "No Regulation defined"
        )
    ),
    ""
)</f>
        <v/>
      </c>
      <c r="AB2741" s="62" t="str">
        <f t="shared" si="42"/>
        <v/>
      </c>
    </row>
    <row r="2742" spans="20:28" x14ac:dyDescent="0.2">
      <c r="T2742" s="60" t="str">
        <f>IF(P2742&lt;&gt;"",
    IF(OR(O2742="", Q2742="", R2742=""),
        "Fill all the required columns",
        IFERROR(
            IF(OR(
                AND(R2742="Marine Protected", VLOOKUP(O2742, Reference!$A$2:$D$34, 4, FALSE) &lt;= P2742),
                AND(R2742="General Use", VLOOKUP(O2742, Reference!$A$2:$D$34, 3, FALSE) &lt;= P2742)
            ),
                "Exceeded",
                "OK"
            ),
            "No Regulation defined"
        )
    ),
    ""
)</f>
        <v/>
      </c>
      <c r="AB2742" s="62" t="str">
        <f t="shared" si="42"/>
        <v/>
      </c>
    </row>
    <row r="2743" spans="20:28" x14ac:dyDescent="0.2">
      <c r="T2743" s="60" t="str">
        <f>IF(P2743&lt;&gt;"",
    IF(OR(O2743="", Q2743="", R2743=""),
        "Fill all the required columns",
        IFERROR(
            IF(OR(
                AND(R2743="Marine Protected", VLOOKUP(O2743, Reference!$A$2:$D$34, 4, FALSE) &lt;= P2743),
                AND(R2743="General Use", VLOOKUP(O2743, Reference!$A$2:$D$34, 3, FALSE) &lt;= P2743)
            ),
                "Exceeded",
                "OK"
            ),
            "No Regulation defined"
        )
    ),
    ""
)</f>
        <v/>
      </c>
      <c r="AB2743" s="62" t="str">
        <f t="shared" si="42"/>
        <v/>
      </c>
    </row>
    <row r="2744" spans="20:28" x14ac:dyDescent="0.2">
      <c r="T2744" s="60" t="str">
        <f>IF(P2744&lt;&gt;"",
    IF(OR(O2744="", Q2744="", R2744=""),
        "Fill all the required columns",
        IFERROR(
            IF(OR(
                AND(R2744="Marine Protected", VLOOKUP(O2744, Reference!$A$2:$D$34, 4, FALSE) &lt;= P2744),
                AND(R2744="General Use", VLOOKUP(O2744, Reference!$A$2:$D$34, 3, FALSE) &lt;= P2744)
            ),
                "Exceeded",
                "OK"
            ),
            "No Regulation defined"
        )
    ),
    ""
)</f>
        <v/>
      </c>
      <c r="AB2744" s="62" t="str">
        <f t="shared" si="42"/>
        <v/>
      </c>
    </row>
    <row r="2745" spans="20:28" x14ac:dyDescent="0.2">
      <c r="T2745" s="60" t="str">
        <f>IF(P2745&lt;&gt;"",
    IF(OR(O2745="", Q2745="", R2745=""),
        "Fill all the required columns",
        IFERROR(
            IF(OR(
                AND(R2745="Marine Protected", VLOOKUP(O2745, Reference!$A$2:$D$34, 4, FALSE) &lt;= P2745),
                AND(R2745="General Use", VLOOKUP(O2745, Reference!$A$2:$D$34, 3, FALSE) &lt;= P2745)
            ),
                "Exceeded",
                "OK"
            ),
            "No Regulation defined"
        )
    ),
    ""
)</f>
        <v/>
      </c>
      <c r="AB2745" s="62" t="str">
        <f t="shared" si="42"/>
        <v/>
      </c>
    </row>
    <row r="2746" spans="20:28" x14ac:dyDescent="0.2">
      <c r="T2746" s="60" t="str">
        <f>IF(P2746&lt;&gt;"",
    IF(OR(O2746="", Q2746="", R2746=""),
        "Fill all the required columns",
        IFERROR(
            IF(OR(
                AND(R2746="Marine Protected", VLOOKUP(O2746, Reference!$A$2:$D$34, 4, FALSE) &lt;= P2746),
                AND(R2746="General Use", VLOOKUP(O2746, Reference!$A$2:$D$34, 3, FALSE) &lt;= P2746)
            ),
                "Exceeded",
                "OK"
            ),
            "No Regulation defined"
        )
    ),
    ""
)</f>
        <v/>
      </c>
      <c r="AB2746" s="62" t="str">
        <f t="shared" si="42"/>
        <v/>
      </c>
    </row>
    <row r="2747" spans="20:28" x14ac:dyDescent="0.2">
      <c r="T2747" s="60" t="str">
        <f>IF(P2747&lt;&gt;"",
    IF(OR(O2747="", Q2747="", R2747=""),
        "Fill all the required columns",
        IFERROR(
            IF(OR(
                AND(R2747="Marine Protected", VLOOKUP(O2747, Reference!$A$2:$D$34, 4, FALSE) &lt;= P2747),
                AND(R2747="General Use", VLOOKUP(O2747, Reference!$A$2:$D$34, 3, FALSE) &lt;= P2747)
            ),
                "Exceeded",
                "OK"
            ),
            "No Regulation defined"
        )
    ),
    ""
)</f>
        <v/>
      </c>
      <c r="AB2747" s="62" t="str">
        <f t="shared" si="42"/>
        <v/>
      </c>
    </row>
    <row r="2748" spans="20:28" x14ac:dyDescent="0.2">
      <c r="T2748" s="60" t="str">
        <f>IF(P2748&lt;&gt;"",
    IF(OR(O2748="", Q2748="", R2748=""),
        "Fill all the required columns",
        IFERROR(
            IF(OR(
                AND(R2748="Marine Protected", VLOOKUP(O2748, Reference!$A$2:$D$34, 4, FALSE) &lt;= P2748),
                AND(R2748="General Use", VLOOKUP(O2748, Reference!$A$2:$D$34, 3, FALSE) &lt;= P2748)
            ),
                "Exceeded",
                "OK"
            ),
            "No Regulation defined"
        )
    ),
    ""
)</f>
        <v/>
      </c>
      <c r="AB2748" s="62" t="str">
        <f t="shared" si="42"/>
        <v/>
      </c>
    </row>
    <row r="2749" spans="20:28" x14ac:dyDescent="0.2">
      <c r="T2749" s="60" t="str">
        <f>IF(P2749&lt;&gt;"",
    IF(OR(O2749="", Q2749="", R2749=""),
        "Fill all the required columns",
        IFERROR(
            IF(OR(
                AND(R2749="Marine Protected", VLOOKUP(O2749, Reference!$A$2:$D$34, 4, FALSE) &lt;= P2749),
                AND(R2749="General Use", VLOOKUP(O2749, Reference!$A$2:$D$34, 3, FALSE) &lt;= P2749)
            ),
                "Exceeded",
                "OK"
            ),
            "No Regulation defined"
        )
    ),
    ""
)</f>
        <v/>
      </c>
      <c r="AB2749" s="62" t="str">
        <f t="shared" si="42"/>
        <v/>
      </c>
    </row>
    <row r="2750" spans="20:28" x14ac:dyDescent="0.2">
      <c r="T2750" s="60" t="str">
        <f>IF(P2750&lt;&gt;"",
    IF(OR(O2750="", Q2750="", R2750=""),
        "Fill all the required columns",
        IFERROR(
            IF(OR(
                AND(R2750="Marine Protected", VLOOKUP(O2750, Reference!$A$2:$D$34, 4, FALSE) &lt;= P2750),
                AND(R2750="General Use", VLOOKUP(O2750, Reference!$A$2:$D$34, 3, FALSE) &lt;= P2750)
            ),
                "Exceeded",
                "OK"
            ),
            "No Regulation defined"
        )
    ),
    ""
)</f>
        <v/>
      </c>
      <c r="AB2750" s="62" t="str">
        <f t="shared" si="42"/>
        <v/>
      </c>
    </row>
    <row r="2751" spans="20:28" x14ac:dyDescent="0.2">
      <c r="T2751" s="60" t="str">
        <f>IF(P2751&lt;&gt;"",
    IF(OR(O2751="", Q2751="", R2751=""),
        "Fill all the required columns",
        IFERROR(
            IF(OR(
                AND(R2751="Marine Protected", VLOOKUP(O2751, Reference!$A$2:$D$34, 4, FALSE) &lt;= P2751),
                AND(R2751="General Use", VLOOKUP(O2751, Reference!$A$2:$D$34, 3, FALSE) &lt;= P2751)
            ),
                "Exceeded",
                "OK"
            ),
            "No Regulation defined"
        )
    ),
    ""
)</f>
        <v/>
      </c>
      <c r="AB2751" s="62" t="str">
        <f t="shared" si="42"/>
        <v/>
      </c>
    </row>
    <row r="2752" spans="20:28" x14ac:dyDescent="0.2">
      <c r="T2752" s="60" t="str">
        <f>IF(P2752&lt;&gt;"",
    IF(OR(O2752="", Q2752="", R2752=""),
        "Fill all the required columns",
        IFERROR(
            IF(OR(
                AND(R2752="Marine Protected", VLOOKUP(O2752, Reference!$A$2:$D$34, 4, FALSE) &lt;= P2752),
                AND(R2752="General Use", VLOOKUP(O2752, Reference!$A$2:$D$34, 3, FALSE) &lt;= P2752)
            ),
                "Exceeded",
                "OK"
            ),
            "No Regulation defined"
        )
    ),
    ""
)</f>
        <v/>
      </c>
      <c r="AB2752" s="62" t="str">
        <f t="shared" si="42"/>
        <v/>
      </c>
    </row>
    <row r="2753" spans="20:28" x14ac:dyDescent="0.2">
      <c r="T2753" s="60" t="str">
        <f>IF(P2753&lt;&gt;"",
    IF(OR(O2753="", Q2753="", R2753=""),
        "Fill all the required columns",
        IFERROR(
            IF(OR(
                AND(R2753="Marine Protected", VLOOKUP(O2753, Reference!$A$2:$D$34, 4, FALSE) &lt;= P2753),
                AND(R2753="General Use", VLOOKUP(O2753, Reference!$A$2:$D$34, 3, FALSE) &lt;= P2753)
            ),
                "Exceeded",
                "OK"
            ),
            "No Regulation defined"
        )
    ),
    ""
)</f>
        <v/>
      </c>
      <c r="AB2753" s="62" t="str">
        <f t="shared" si="42"/>
        <v/>
      </c>
    </row>
    <row r="2754" spans="20:28" x14ac:dyDescent="0.2">
      <c r="T2754" s="60" t="str">
        <f>IF(P2754&lt;&gt;"",
    IF(OR(O2754="", Q2754="", R2754=""),
        "Fill all the required columns",
        IFERROR(
            IF(OR(
                AND(R2754="Marine Protected", VLOOKUP(O2754, Reference!$A$2:$D$34, 4, FALSE) &lt;= P2754),
                AND(R2754="General Use", VLOOKUP(O2754, Reference!$A$2:$D$34, 3, FALSE) &lt;= P2754)
            ),
                "Exceeded",
                "OK"
            ),
            "No Regulation defined"
        )
    ),
    ""
)</f>
        <v/>
      </c>
      <c r="AB2754" s="62" t="str">
        <f t="shared" si="42"/>
        <v/>
      </c>
    </row>
    <row r="2755" spans="20:28" x14ac:dyDescent="0.2">
      <c r="T2755" s="60" t="str">
        <f>IF(P2755&lt;&gt;"",
    IF(OR(O2755="", Q2755="", R2755=""),
        "Fill all the required columns",
        IFERROR(
            IF(OR(
                AND(R2755="Marine Protected", VLOOKUP(O2755, Reference!$A$2:$D$34, 4, FALSE) &lt;= P2755),
                AND(R2755="General Use", VLOOKUP(O2755, Reference!$A$2:$D$34, 3, FALSE) &lt;= P2755)
            ),
                "Exceeded",
                "OK"
            ),
            "No Regulation defined"
        )
    ),
    ""
)</f>
        <v/>
      </c>
      <c r="AB2755" s="62" t="str">
        <f t="shared" ref="AB2755:AB2818" si="43">IF(COUNTA(A2755, E2755, F2755, H2755, I2755, O2755, P2755, Q2755, R2755,S2755) = 0, "", IF(COUNTA(A2755, E2755, F2755, H2755, I2755, O2755, P2755, Q2755, R2755,S2755) = 10, "OK", "Incomplete"))</f>
        <v/>
      </c>
    </row>
    <row r="2756" spans="20:28" x14ac:dyDescent="0.2">
      <c r="T2756" s="60" t="str">
        <f>IF(P2756&lt;&gt;"",
    IF(OR(O2756="", Q2756="", R2756=""),
        "Fill all the required columns",
        IFERROR(
            IF(OR(
                AND(R2756="Marine Protected", VLOOKUP(O2756, Reference!$A$2:$D$34, 4, FALSE) &lt;= P2756),
                AND(R2756="General Use", VLOOKUP(O2756, Reference!$A$2:$D$34, 3, FALSE) &lt;= P2756)
            ),
                "Exceeded",
                "OK"
            ),
            "No Regulation defined"
        )
    ),
    ""
)</f>
        <v/>
      </c>
      <c r="AB2756" s="62" t="str">
        <f t="shared" si="43"/>
        <v/>
      </c>
    </row>
    <row r="2757" spans="20:28" x14ac:dyDescent="0.2">
      <c r="T2757" s="60" t="str">
        <f>IF(P2757&lt;&gt;"",
    IF(OR(O2757="", Q2757="", R2757=""),
        "Fill all the required columns",
        IFERROR(
            IF(OR(
                AND(R2757="Marine Protected", VLOOKUP(O2757, Reference!$A$2:$D$34, 4, FALSE) &lt;= P2757),
                AND(R2757="General Use", VLOOKUP(O2757, Reference!$A$2:$D$34, 3, FALSE) &lt;= P2757)
            ),
                "Exceeded",
                "OK"
            ),
            "No Regulation defined"
        )
    ),
    ""
)</f>
        <v/>
      </c>
      <c r="AB2757" s="62" t="str">
        <f t="shared" si="43"/>
        <v/>
      </c>
    </row>
    <row r="2758" spans="20:28" x14ac:dyDescent="0.2">
      <c r="T2758" s="60" t="str">
        <f>IF(P2758&lt;&gt;"",
    IF(OR(O2758="", Q2758="", R2758=""),
        "Fill all the required columns",
        IFERROR(
            IF(OR(
                AND(R2758="Marine Protected", VLOOKUP(O2758, Reference!$A$2:$D$34, 4, FALSE) &lt;= P2758),
                AND(R2758="General Use", VLOOKUP(O2758, Reference!$A$2:$D$34, 3, FALSE) &lt;= P2758)
            ),
                "Exceeded",
                "OK"
            ),
            "No Regulation defined"
        )
    ),
    ""
)</f>
        <v/>
      </c>
      <c r="AB2758" s="62" t="str">
        <f t="shared" si="43"/>
        <v/>
      </c>
    </row>
    <row r="2759" spans="20:28" x14ac:dyDescent="0.2">
      <c r="T2759" s="60" t="str">
        <f>IF(P2759&lt;&gt;"",
    IF(OR(O2759="", Q2759="", R2759=""),
        "Fill all the required columns",
        IFERROR(
            IF(OR(
                AND(R2759="Marine Protected", VLOOKUP(O2759, Reference!$A$2:$D$34, 4, FALSE) &lt;= P2759),
                AND(R2759="General Use", VLOOKUP(O2759, Reference!$A$2:$D$34, 3, FALSE) &lt;= P2759)
            ),
                "Exceeded",
                "OK"
            ),
            "No Regulation defined"
        )
    ),
    ""
)</f>
        <v/>
      </c>
      <c r="AB2759" s="62" t="str">
        <f t="shared" si="43"/>
        <v/>
      </c>
    </row>
    <row r="2760" spans="20:28" x14ac:dyDescent="0.2">
      <c r="T2760" s="60" t="str">
        <f>IF(P2760&lt;&gt;"",
    IF(OR(O2760="", Q2760="", R2760=""),
        "Fill all the required columns",
        IFERROR(
            IF(OR(
                AND(R2760="Marine Protected", VLOOKUP(O2760, Reference!$A$2:$D$34, 4, FALSE) &lt;= P2760),
                AND(R2760="General Use", VLOOKUP(O2760, Reference!$A$2:$D$34, 3, FALSE) &lt;= P2760)
            ),
                "Exceeded",
                "OK"
            ),
            "No Regulation defined"
        )
    ),
    ""
)</f>
        <v/>
      </c>
      <c r="AB2760" s="62" t="str">
        <f t="shared" si="43"/>
        <v/>
      </c>
    </row>
    <row r="2761" spans="20:28" x14ac:dyDescent="0.2">
      <c r="T2761" s="60" t="str">
        <f>IF(P2761&lt;&gt;"",
    IF(OR(O2761="", Q2761="", R2761=""),
        "Fill all the required columns",
        IFERROR(
            IF(OR(
                AND(R2761="Marine Protected", VLOOKUP(O2761, Reference!$A$2:$D$34, 4, FALSE) &lt;= P2761),
                AND(R2761="General Use", VLOOKUP(O2761, Reference!$A$2:$D$34, 3, FALSE) &lt;= P2761)
            ),
                "Exceeded",
                "OK"
            ),
            "No Regulation defined"
        )
    ),
    ""
)</f>
        <v/>
      </c>
      <c r="AB2761" s="62" t="str">
        <f t="shared" si="43"/>
        <v/>
      </c>
    </row>
    <row r="2762" spans="20:28" x14ac:dyDescent="0.2">
      <c r="T2762" s="60" t="str">
        <f>IF(P2762&lt;&gt;"",
    IF(OR(O2762="", Q2762="", R2762=""),
        "Fill all the required columns",
        IFERROR(
            IF(OR(
                AND(R2762="Marine Protected", VLOOKUP(O2762, Reference!$A$2:$D$34, 4, FALSE) &lt;= P2762),
                AND(R2762="General Use", VLOOKUP(O2762, Reference!$A$2:$D$34, 3, FALSE) &lt;= P2762)
            ),
                "Exceeded",
                "OK"
            ),
            "No Regulation defined"
        )
    ),
    ""
)</f>
        <v/>
      </c>
      <c r="AB2762" s="62" t="str">
        <f t="shared" si="43"/>
        <v/>
      </c>
    </row>
    <row r="2763" spans="20:28" x14ac:dyDescent="0.2">
      <c r="T2763" s="60" t="str">
        <f>IF(P2763&lt;&gt;"",
    IF(OR(O2763="", Q2763="", R2763=""),
        "Fill all the required columns",
        IFERROR(
            IF(OR(
                AND(R2763="Marine Protected", VLOOKUP(O2763, Reference!$A$2:$D$34, 4, FALSE) &lt;= P2763),
                AND(R2763="General Use", VLOOKUP(O2763, Reference!$A$2:$D$34, 3, FALSE) &lt;= P2763)
            ),
                "Exceeded",
                "OK"
            ),
            "No Regulation defined"
        )
    ),
    ""
)</f>
        <v/>
      </c>
      <c r="AB2763" s="62" t="str">
        <f t="shared" si="43"/>
        <v/>
      </c>
    </row>
    <row r="2764" spans="20:28" x14ac:dyDescent="0.2">
      <c r="T2764" s="60" t="str">
        <f>IF(P2764&lt;&gt;"",
    IF(OR(O2764="", Q2764="", R2764=""),
        "Fill all the required columns",
        IFERROR(
            IF(OR(
                AND(R2764="Marine Protected", VLOOKUP(O2764, Reference!$A$2:$D$34, 4, FALSE) &lt;= P2764),
                AND(R2764="General Use", VLOOKUP(O2764, Reference!$A$2:$D$34, 3, FALSE) &lt;= P2764)
            ),
                "Exceeded",
                "OK"
            ),
            "No Regulation defined"
        )
    ),
    ""
)</f>
        <v/>
      </c>
      <c r="AB2764" s="62" t="str">
        <f t="shared" si="43"/>
        <v/>
      </c>
    </row>
    <row r="2765" spans="20:28" x14ac:dyDescent="0.2">
      <c r="T2765" s="60" t="str">
        <f>IF(P2765&lt;&gt;"",
    IF(OR(O2765="", Q2765="", R2765=""),
        "Fill all the required columns",
        IFERROR(
            IF(OR(
                AND(R2765="Marine Protected", VLOOKUP(O2765, Reference!$A$2:$D$34, 4, FALSE) &lt;= P2765),
                AND(R2765="General Use", VLOOKUP(O2765, Reference!$A$2:$D$34, 3, FALSE) &lt;= P2765)
            ),
                "Exceeded",
                "OK"
            ),
            "No Regulation defined"
        )
    ),
    ""
)</f>
        <v/>
      </c>
      <c r="AB2765" s="62" t="str">
        <f t="shared" si="43"/>
        <v/>
      </c>
    </row>
    <row r="2766" spans="20:28" x14ac:dyDescent="0.2">
      <c r="T2766" s="60" t="str">
        <f>IF(P2766&lt;&gt;"",
    IF(OR(O2766="", Q2766="", R2766=""),
        "Fill all the required columns",
        IFERROR(
            IF(OR(
                AND(R2766="Marine Protected", VLOOKUP(O2766, Reference!$A$2:$D$34, 4, FALSE) &lt;= P2766),
                AND(R2766="General Use", VLOOKUP(O2766, Reference!$A$2:$D$34, 3, FALSE) &lt;= P2766)
            ),
                "Exceeded",
                "OK"
            ),
            "No Regulation defined"
        )
    ),
    ""
)</f>
        <v/>
      </c>
      <c r="AB2766" s="62" t="str">
        <f t="shared" si="43"/>
        <v/>
      </c>
    </row>
    <row r="2767" spans="20:28" x14ac:dyDescent="0.2">
      <c r="T2767" s="60" t="str">
        <f>IF(P2767&lt;&gt;"",
    IF(OR(O2767="", Q2767="", R2767=""),
        "Fill all the required columns",
        IFERROR(
            IF(OR(
                AND(R2767="Marine Protected", VLOOKUP(O2767, Reference!$A$2:$D$34, 4, FALSE) &lt;= P2767),
                AND(R2767="General Use", VLOOKUP(O2767, Reference!$A$2:$D$34, 3, FALSE) &lt;= P2767)
            ),
                "Exceeded",
                "OK"
            ),
            "No Regulation defined"
        )
    ),
    ""
)</f>
        <v/>
      </c>
      <c r="AB2767" s="62" t="str">
        <f t="shared" si="43"/>
        <v/>
      </c>
    </row>
    <row r="2768" spans="20:28" x14ac:dyDescent="0.2">
      <c r="T2768" s="60" t="str">
        <f>IF(P2768&lt;&gt;"",
    IF(OR(O2768="", Q2768="", R2768=""),
        "Fill all the required columns",
        IFERROR(
            IF(OR(
                AND(R2768="Marine Protected", VLOOKUP(O2768, Reference!$A$2:$D$34, 4, FALSE) &lt;= P2768),
                AND(R2768="General Use", VLOOKUP(O2768, Reference!$A$2:$D$34, 3, FALSE) &lt;= P2768)
            ),
                "Exceeded",
                "OK"
            ),
            "No Regulation defined"
        )
    ),
    ""
)</f>
        <v/>
      </c>
      <c r="AB2768" s="62" t="str">
        <f t="shared" si="43"/>
        <v/>
      </c>
    </row>
    <row r="2769" spans="20:28" x14ac:dyDescent="0.2">
      <c r="T2769" s="60" t="str">
        <f>IF(P2769&lt;&gt;"",
    IF(OR(O2769="", Q2769="", R2769=""),
        "Fill all the required columns",
        IFERROR(
            IF(OR(
                AND(R2769="Marine Protected", VLOOKUP(O2769, Reference!$A$2:$D$34, 4, FALSE) &lt;= P2769),
                AND(R2769="General Use", VLOOKUP(O2769, Reference!$A$2:$D$34, 3, FALSE) &lt;= P2769)
            ),
                "Exceeded",
                "OK"
            ),
            "No Regulation defined"
        )
    ),
    ""
)</f>
        <v/>
      </c>
      <c r="AB2769" s="62" t="str">
        <f t="shared" si="43"/>
        <v/>
      </c>
    </row>
    <row r="2770" spans="20:28" x14ac:dyDescent="0.2">
      <c r="T2770" s="60" t="str">
        <f>IF(P2770&lt;&gt;"",
    IF(OR(O2770="", Q2770="", R2770=""),
        "Fill all the required columns",
        IFERROR(
            IF(OR(
                AND(R2770="Marine Protected", VLOOKUP(O2770, Reference!$A$2:$D$34, 4, FALSE) &lt;= P2770),
                AND(R2770="General Use", VLOOKUP(O2770, Reference!$A$2:$D$34, 3, FALSE) &lt;= P2770)
            ),
                "Exceeded",
                "OK"
            ),
            "No Regulation defined"
        )
    ),
    ""
)</f>
        <v/>
      </c>
      <c r="AB2770" s="62" t="str">
        <f t="shared" si="43"/>
        <v/>
      </c>
    </row>
    <row r="2771" spans="20:28" x14ac:dyDescent="0.2">
      <c r="T2771" s="60" t="str">
        <f>IF(P2771&lt;&gt;"",
    IF(OR(O2771="", Q2771="", R2771=""),
        "Fill all the required columns",
        IFERROR(
            IF(OR(
                AND(R2771="Marine Protected", VLOOKUP(O2771, Reference!$A$2:$D$34, 4, FALSE) &lt;= P2771),
                AND(R2771="General Use", VLOOKUP(O2771, Reference!$A$2:$D$34, 3, FALSE) &lt;= P2771)
            ),
                "Exceeded",
                "OK"
            ),
            "No Regulation defined"
        )
    ),
    ""
)</f>
        <v/>
      </c>
      <c r="AB2771" s="62" t="str">
        <f t="shared" si="43"/>
        <v/>
      </c>
    </row>
    <row r="2772" spans="20:28" x14ac:dyDescent="0.2">
      <c r="T2772" s="60" t="str">
        <f>IF(P2772&lt;&gt;"",
    IF(OR(O2772="", Q2772="", R2772=""),
        "Fill all the required columns",
        IFERROR(
            IF(OR(
                AND(R2772="Marine Protected", VLOOKUP(O2772, Reference!$A$2:$D$34, 4, FALSE) &lt;= P2772),
                AND(R2772="General Use", VLOOKUP(O2772, Reference!$A$2:$D$34, 3, FALSE) &lt;= P2772)
            ),
                "Exceeded",
                "OK"
            ),
            "No Regulation defined"
        )
    ),
    ""
)</f>
        <v/>
      </c>
      <c r="AB2772" s="62" t="str">
        <f t="shared" si="43"/>
        <v/>
      </c>
    </row>
    <row r="2773" spans="20:28" x14ac:dyDescent="0.2">
      <c r="T2773" s="60" t="str">
        <f>IF(P2773&lt;&gt;"",
    IF(OR(O2773="", Q2773="", R2773=""),
        "Fill all the required columns",
        IFERROR(
            IF(OR(
                AND(R2773="Marine Protected", VLOOKUP(O2773, Reference!$A$2:$D$34, 4, FALSE) &lt;= P2773),
                AND(R2773="General Use", VLOOKUP(O2773, Reference!$A$2:$D$34, 3, FALSE) &lt;= P2773)
            ),
                "Exceeded",
                "OK"
            ),
            "No Regulation defined"
        )
    ),
    ""
)</f>
        <v/>
      </c>
      <c r="AB2773" s="62" t="str">
        <f t="shared" si="43"/>
        <v/>
      </c>
    </row>
    <row r="2774" spans="20:28" x14ac:dyDescent="0.2">
      <c r="T2774" s="60" t="str">
        <f>IF(P2774&lt;&gt;"",
    IF(OR(O2774="", Q2774="", R2774=""),
        "Fill all the required columns",
        IFERROR(
            IF(OR(
                AND(R2774="Marine Protected", VLOOKUP(O2774, Reference!$A$2:$D$34, 4, FALSE) &lt;= P2774),
                AND(R2774="General Use", VLOOKUP(O2774, Reference!$A$2:$D$34, 3, FALSE) &lt;= P2774)
            ),
                "Exceeded",
                "OK"
            ),
            "No Regulation defined"
        )
    ),
    ""
)</f>
        <v/>
      </c>
      <c r="AB2774" s="62" t="str">
        <f t="shared" si="43"/>
        <v/>
      </c>
    </row>
    <row r="2775" spans="20:28" x14ac:dyDescent="0.2">
      <c r="T2775" s="60" t="str">
        <f>IF(P2775&lt;&gt;"",
    IF(OR(O2775="", Q2775="", R2775=""),
        "Fill all the required columns",
        IFERROR(
            IF(OR(
                AND(R2775="Marine Protected", VLOOKUP(O2775, Reference!$A$2:$D$34, 4, FALSE) &lt;= P2775),
                AND(R2775="General Use", VLOOKUP(O2775, Reference!$A$2:$D$34, 3, FALSE) &lt;= P2775)
            ),
                "Exceeded",
                "OK"
            ),
            "No Regulation defined"
        )
    ),
    ""
)</f>
        <v/>
      </c>
      <c r="AB2775" s="62" t="str">
        <f t="shared" si="43"/>
        <v/>
      </c>
    </row>
    <row r="2776" spans="20:28" x14ac:dyDescent="0.2">
      <c r="T2776" s="60" t="str">
        <f>IF(P2776&lt;&gt;"",
    IF(OR(O2776="", Q2776="", R2776=""),
        "Fill all the required columns",
        IFERROR(
            IF(OR(
                AND(R2776="Marine Protected", VLOOKUP(O2776, Reference!$A$2:$D$34, 4, FALSE) &lt;= P2776),
                AND(R2776="General Use", VLOOKUP(O2776, Reference!$A$2:$D$34, 3, FALSE) &lt;= P2776)
            ),
                "Exceeded",
                "OK"
            ),
            "No Regulation defined"
        )
    ),
    ""
)</f>
        <v/>
      </c>
      <c r="AB2776" s="62" t="str">
        <f t="shared" si="43"/>
        <v/>
      </c>
    </row>
    <row r="2777" spans="20:28" x14ac:dyDescent="0.2">
      <c r="T2777" s="60" t="str">
        <f>IF(P2777&lt;&gt;"",
    IF(OR(O2777="", Q2777="", R2777=""),
        "Fill all the required columns",
        IFERROR(
            IF(OR(
                AND(R2777="Marine Protected", VLOOKUP(O2777, Reference!$A$2:$D$34, 4, FALSE) &lt;= P2777),
                AND(R2777="General Use", VLOOKUP(O2777, Reference!$A$2:$D$34, 3, FALSE) &lt;= P2777)
            ),
                "Exceeded",
                "OK"
            ),
            "No Regulation defined"
        )
    ),
    ""
)</f>
        <v/>
      </c>
      <c r="AB2777" s="62" t="str">
        <f t="shared" si="43"/>
        <v/>
      </c>
    </row>
    <row r="2778" spans="20:28" x14ac:dyDescent="0.2">
      <c r="T2778" s="60" t="str">
        <f>IF(P2778&lt;&gt;"",
    IF(OR(O2778="", Q2778="", R2778=""),
        "Fill all the required columns",
        IFERROR(
            IF(OR(
                AND(R2778="Marine Protected", VLOOKUP(O2778, Reference!$A$2:$D$34, 4, FALSE) &lt;= P2778),
                AND(R2778="General Use", VLOOKUP(O2778, Reference!$A$2:$D$34, 3, FALSE) &lt;= P2778)
            ),
                "Exceeded",
                "OK"
            ),
            "No Regulation defined"
        )
    ),
    ""
)</f>
        <v/>
      </c>
      <c r="AB2778" s="62" t="str">
        <f t="shared" si="43"/>
        <v/>
      </c>
    </row>
    <row r="2779" spans="20:28" x14ac:dyDescent="0.2">
      <c r="T2779" s="60" t="str">
        <f>IF(P2779&lt;&gt;"",
    IF(OR(O2779="", Q2779="", R2779=""),
        "Fill all the required columns",
        IFERROR(
            IF(OR(
                AND(R2779="Marine Protected", VLOOKUP(O2779, Reference!$A$2:$D$34, 4, FALSE) &lt;= P2779),
                AND(R2779="General Use", VLOOKUP(O2779, Reference!$A$2:$D$34, 3, FALSE) &lt;= P2779)
            ),
                "Exceeded",
                "OK"
            ),
            "No Regulation defined"
        )
    ),
    ""
)</f>
        <v/>
      </c>
      <c r="AB2779" s="62" t="str">
        <f t="shared" si="43"/>
        <v/>
      </c>
    </row>
    <row r="2780" spans="20:28" x14ac:dyDescent="0.2">
      <c r="T2780" s="60" t="str">
        <f>IF(P2780&lt;&gt;"",
    IF(OR(O2780="", Q2780="", R2780=""),
        "Fill all the required columns",
        IFERROR(
            IF(OR(
                AND(R2780="Marine Protected", VLOOKUP(O2780, Reference!$A$2:$D$34, 4, FALSE) &lt;= P2780),
                AND(R2780="General Use", VLOOKUP(O2780, Reference!$A$2:$D$34, 3, FALSE) &lt;= P2780)
            ),
                "Exceeded",
                "OK"
            ),
            "No Regulation defined"
        )
    ),
    ""
)</f>
        <v/>
      </c>
      <c r="AB2780" s="62" t="str">
        <f t="shared" si="43"/>
        <v/>
      </c>
    </row>
    <row r="2781" spans="20:28" x14ac:dyDescent="0.2">
      <c r="T2781" s="60" t="str">
        <f>IF(P2781&lt;&gt;"",
    IF(OR(O2781="", Q2781="", R2781=""),
        "Fill all the required columns",
        IFERROR(
            IF(OR(
                AND(R2781="Marine Protected", VLOOKUP(O2781, Reference!$A$2:$D$34, 4, FALSE) &lt;= P2781),
                AND(R2781="General Use", VLOOKUP(O2781, Reference!$A$2:$D$34, 3, FALSE) &lt;= P2781)
            ),
                "Exceeded",
                "OK"
            ),
            "No Regulation defined"
        )
    ),
    ""
)</f>
        <v/>
      </c>
      <c r="AB2781" s="62" t="str">
        <f t="shared" si="43"/>
        <v/>
      </c>
    </row>
    <row r="2782" spans="20:28" x14ac:dyDescent="0.2">
      <c r="T2782" s="60" t="str">
        <f>IF(P2782&lt;&gt;"",
    IF(OR(O2782="", Q2782="", R2782=""),
        "Fill all the required columns",
        IFERROR(
            IF(OR(
                AND(R2782="Marine Protected", VLOOKUP(O2782, Reference!$A$2:$D$34, 4, FALSE) &lt;= P2782),
                AND(R2782="General Use", VLOOKUP(O2782, Reference!$A$2:$D$34, 3, FALSE) &lt;= P2782)
            ),
                "Exceeded",
                "OK"
            ),
            "No Regulation defined"
        )
    ),
    ""
)</f>
        <v/>
      </c>
      <c r="AB2782" s="62" t="str">
        <f t="shared" si="43"/>
        <v/>
      </c>
    </row>
    <row r="2783" spans="20:28" x14ac:dyDescent="0.2">
      <c r="T2783" s="60" t="str">
        <f>IF(P2783&lt;&gt;"",
    IF(OR(O2783="", Q2783="", R2783=""),
        "Fill all the required columns",
        IFERROR(
            IF(OR(
                AND(R2783="Marine Protected", VLOOKUP(O2783, Reference!$A$2:$D$34, 4, FALSE) &lt;= P2783),
                AND(R2783="General Use", VLOOKUP(O2783, Reference!$A$2:$D$34, 3, FALSE) &lt;= P2783)
            ),
                "Exceeded",
                "OK"
            ),
            "No Regulation defined"
        )
    ),
    ""
)</f>
        <v/>
      </c>
      <c r="AB2783" s="62" t="str">
        <f t="shared" si="43"/>
        <v/>
      </c>
    </row>
    <row r="2784" spans="20:28" x14ac:dyDescent="0.2">
      <c r="T2784" s="60" t="str">
        <f>IF(P2784&lt;&gt;"",
    IF(OR(O2784="", Q2784="", R2784=""),
        "Fill all the required columns",
        IFERROR(
            IF(OR(
                AND(R2784="Marine Protected", VLOOKUP(O2784, Reference!$A$2:$D$34, 4, FALSE) &lt;= P2784),
                AND(R2784="General Use", VLOOKUP(O2784, Reference!$A$2:$D$34, 3, FALSE) &lt;= P2784)
            ),
                "Exceeded",
                "OK"
            ),
            "No Regulation defined"
        )
    ),
    ""
)</f>
        <v/>
      </c>
      <c r="AB2784" s="62" t="str">
        <f t="shared" si="43"/>
        <v/>
      </c>
    </row>
    <row r="2785" spans="20:28" x14ac:dyDescent="0.2">
      <c r="T2785" s="60" t="str">
        <f>IF(P2785&lt;&gt;"",
    IF(OR(O2785="", Q2785="", R2785=""),
        "Fill all the required columns",
        IFERROR(
            IF(OR(
                AND(R2785="Marine Protected", VLOOKUP(O2785, Reference!$A$2:$D$34, 4, FALSE) &lt;= P2785),
                AND(R2785="General Use", VLOOKUP(O2785, Reference!$A$2:$D$34, 3, FALSE) &lt;= P2785)
            ),
                "Exceeded",
                "OK"
            ),
            "No Regulation defined"
        )
    ),
    ""
)</f>
        <v/>
      </c>
      <c r="AB2785" s="62" t="str">
        <f t="shared" si="43"/>
        <v/>
      </c>
    </row>
    <row r="2786" spans="20:28" x14ac:dyDescent="0.2">
      <c r="T2786" s="60" t="str">
        <f>IF(P2786&lt;&gt;"",
    IF(OR(O2786="", Q2786="", R2786=""),
        "Fill all the required columns",
        IFERROR(
            IF(OR(
                AND(R2786="Marine Protected", VLOOKUP(O2786, Reference!$A$2:$D$34, 4, FALSE) &lt;= P2786),
                AND(R2786="General Use", VLOOKUP(O2786, Reference!$A$2:$D$34, 3, FALSE) &lt;= P2786)
            ),
                "Exceeded",
                "OK"
            ),
            "No Regulation defined"
        )
    ),
    ""
)</f>
        <v/>
      </c>
      <c r="AB2786" s="62" t="str">
        <f t="shared" si="43"/>
        <v/>
      </c>
    </row>
    <row r="2787" spans="20:28" x14ac:dyDescent="0.2">
      <c r="T2787" s="60" t="str">
        <f>IF(P2787&lt;&gt;"",
    IF(OR(O2787="", Q2787="", R2787=""),
        "Fill all the required columns",
        IFERROR(
            IF(OR(
                AND(R2787="Marine Protected", VLOOKUP(O2787, Reference!$A$2:$D$34, 4, FALSE) &lt;= P2787),
                AND(R2787="General Use", VLOOKUP(O2787, Reference!$A$2:$D$34, 3, FALSE) &lt;= P2787)
            ),
                "Exceeded",
                "OK"
            ),
            "No Regulation defined"
        )
    ),
    ""
)</f>
        <v/>
      </c>
      <c r="AB2787" s="62" t="str">
        <f t="shared" si="43"/>
        <v/>
      </c>
    </row>
    <row r="2788" spans="20:28" x14ac:dyDescent="0.2">
      <c r="T2788" s="60" t="str">
        <f>IF(P2788&lt;&gt;"",
    IF(OR(O2788="", Q2788="", R2788=""),
        "Fill all the required columns",
        IFERROR(
            IF(OR(
                AND(R2788="Marine Protected", VLOOKUP(O2788, Reference!$A$2:$D$34, 4, FALSE) &lt;= P2788),
                AND(R2788="General Use", VLOOKUP(O2788, Reference!$A$2:$D$34, 3, FALSE) &lt;= P2788)
            ),
                "Exceeded",
                "OK"
            ),
            "No Regulation defined"
        )
    ),
    ""
)</f>
        <v/>
      </c>
      <c r="AB2788" s="62" t="str">
        <f t="shared" si="43"/>
        <v/>
      </c>
    </row>
    <row r="2789" spans="20:28" x14ac:dyDescent="0.2">
      <c r="T2789" s="60" t="str">
        <f>IF(P2789&lt;&gt;"",
    IF(OR(O2789="", Q2789="", R2789=""),
        "Fill all the required columns",
        IFERROR(
            IF(OR(
                AND(R2789="Marine Protected", VLOOKUP(O2789, Reference!$A$2:$D$34, 4, FALSE) &lt;= P2789),
                AND(R2789="General Use", VLOOKUP(O2789, Reference!$A$2:$D$34, 3, FALSE) &lt;= P2789)
            ),
                "Exceeded",
                "OK"
            ),
            "No Regulation defined"
        )
    ),
    ""
)</f>
        <v/>
      </c>
      <c r="AB2789" s="62" t="str">
        <f t="shared" si="43"/>
        <v/>
      </c>
    </row>
    <row r="2790" spans="20:28" x14ac:dyDescent="0.2">
      <c r="T2790" s="60" t="str">
        <f>IF(P2790&lt;&gt;"",
    IF(OR(O2790="", Q2790="", R2790=""),
        "Fill all the required columns",
        IFERROR(
            IF(OR(
                AND(R2790="Marine Protected", VLOOKUP(O2790, Reference!$A$2:$D$34, 4, FALSE) &lt;= P2790),
                AND(R2790="General Use", VLOOKUP(O2790, Reference!$A$2:$D$34, 3, FALSE) &lt;= P2790)
            ),
                "Exceeded",
                "OK"
            ),
            "No Regulation defined"
        )
    ),
    ""
)</f>
        <v/>
      </c>
      <c r="AB2790" s="62" t="str">
        <f t="shared" si="43"/>
        <v/>
      </c>
    </row>
    <row r="2791" spans="20:28" x14ac:dyDescent="0.2">
      <c r="T2791" s="60" t="str">
        <f>IF(P2791&lt;&gt;"",
    IF(OR(O2791="", Q2791="", R2791=""),
        "Fill all the required columns",
        IFERROR(
            IF(OR(
                AND(R2791="Marine Protected", VLOOKUP(O2791, Reference!$A$2:$D$34, 4, FALSE) &lt;= P2791),
                AND(R2791="General Use", VLOOKUP(O2791, Reference!$A$2:$D$34, 3, FALSE) &lt;= P2791)
            ),
                "Exceeded",
                "OK"
            ),
            "No Regulation defined"
        )
    ),
    ""
)</f>
        <v/>
      </c>
      <c r="AB2791" s="62" t="str">
        <f t="shared" si="43"/>
        <v/>
      </c>
    </row>
    <row r="2792" spans="20:28" x14ac:dyDescent="0.2">
      <c r="T2792" s="60" t="str">
        <f>IF(P2792&lt;&gt;"",
    IF(OR(O2792="", Q2792="", R2792=""),
        "Fill all the required columns",
        IFERROR(
            IF(OR(
                AND(R2792="Marine Protected", VLOOKUP(O2792, Reference!$A$2:$D$34, 4, FALSE) &lt;= P2792),
                AND(R2792="General Use", VLOOKUP(O2792, Reference!$A$2:$D$34, 3, FALSE) &lt;= P2792)
            ),
                "Exceeded",
                "OK"
            ),
            "No Regulation defined"
        )
    ),
    ""
)</f>
        <v/>
      </c>
      <c r="AB2792" s="62" t="str">
        <f t="shared" si="43"/>
        <v/>
      </c>
    </row>
    <row r="2793" spans="20:28" x14ac:dyDescent="0.2">
      <c r="T2793" s="60" t="str">
        <f>IF(P2793&lt;&gt;"",
    IF(OR(O2793="", Q2793="", R2793=""),
        "Fill all the required columns",
        IFERROR(
            IF(OR(
                AND(R2793="Marine Protected", VLOOKUP(O2793, Reference!$A$2:$D$34, 4, FALSE) &lt;= P2793),
                AND(R2793="General Use", VLOOKUP(O2793, Reference!$A$2:$D$34, 3, FALSE) &lt;= P2793)
            ),
                "Exceeded",
                "OK"
            ),
            "No Regulation defined"
        )
    ),
    ""
)</f>
        <v/>
      </c>
      <c r="AB2793" s="62" t="str">
        <f t="shared" si="43"/>
        <v/>
      </c>
    </row>
    <row r="2794" spans="20:28" x14ac:dyDescent="0.2">
      <c r="T2794" s="60" t="str">
        <f>IF(P2794&lt;&gt;"",
    IF(OR(O2794="", Q2794="", R2794=""),
        "Fill all the required columns",
        IFERROR(
            IF(OR(
                AND(R2794="Marine Protected", VLOOKUP(O2794, Reference!$A$2:$D$34, 4, FALSE) &lt;= P2794),
                AND(R2794="General Use", VLOOKUP(O2794, Reference!$A$2:$D$34, 3, FALSE) &lt;= P2794)
            ),
                "Exceeded",
                "OK"
            ),
            "No Regulation defined"
        )
    ),
    ""
)</f>
        <v/>
      </c>
      <c r="AB2794" s="62" t="str">
        <f t="shared" si="43"/>
        <v/>
      </c>
    </row>
    <row r="2795" spans="20:28" x14ac:dyDescent="0.2">
      <c r="T2795" s="60" t="str">
        <f>IF(P2795&lt;&gt;"",
    IF(OR(O2795="", Q2795="", R2795=""),
        "Fill all the required columns",
        IFERROR(
            IF(OR(
                AND(R2795="Marine Protected", VLOOKUP(O2795, Reference!$A$2:$D$34, 4, FALSE) &lt;= P2795),
                AND(R2795="General Use", VLOOKUP(O2795, Reference!$A$2:$D$34, 3, FALSE) &lt;= P2795)
            ),
                "Exceeded",
                "OK"
            ),
            "No Regulation defined"
        )
    ),
    ""
)</f>
        <v/>
      </c>
      <c r="AB2795" s="62" t="str">
        <f t="shared" si="43"/>
        <v/>
      </c>
    </row>
    <row r="2796" spans="20:28" x14ac:dyDescent="0.2">
      <c r="T2796" s="60" t="str">
        <f>IF(P2796&lt;&gt;"",
    IF(OR(O2796="", Q2796="", R2796=""),
        "Fill all the required columns",
        IFERROR(
            IF(OR(
                AND(R2796="Marine Protected", VLOOKUP(O2796, Reference!$A$2:$D$34, 4, FALSE) &lt;= P2796),
                AND(R2796="General Use", VLOOKUP(O2796, Reference!$A$2:$D$34, 3, FALSE) &lt;= P2796)
            ),
                "Exceeded",
                "OK"
            ),
            "No Regulation defined"
        )
    ),
    ""
)</f>
        <v/>
      </c>
      <c r="AB2796" s="62" t="str">
        <f t="shared" si="43"/>
        <v/>
      </c>
    </row>
    <row r="2797" spans="20:28" x14ac:dyDescent="0.2">
      <c r="T2797" s="60" t="str">
        <f>IF(P2797&lt;&gt;"",
    IF(OR(O2797="", Q2797="", R2797=""),
        "Fill all the required columns",
        IFERROR(
            IF(OR(
                AND(R2797="Marine Protected", VLOOKUP(O2797, Reference!$A$2:$D$34, 4, FALSE) &lt;= P2797),
                AND(R2797="General Use", VLOOKUP(O2797, Reference!$A$2:$D$34, 3, FALSE) &lt;= P2797)
            ),
                "Exceeded",
                "OK"
            ),
            "No Regulation defined"
        )
    ),
    ""
)</f>
        <v/>
      </c>
      <c r="AB2797" s="62" t="str">
        <f t="shared" si="43"/>
        <v/>
      </c>
    </row>
    <row r="2798" spans="20:28" x14ac:dyDescent="0.2">
      <c r="T2798" s="60" t="str">
        <f>IF(P2798&lt;&gt;"",
    IF(OR(O2798="", Q2798="", R2798=""),
        "Fill all the required columns",
        IFERROR(
            IF(OR(
                AND(R2798="Marine Protected", VLOOKUP(O2798, Reference!$A$2:$D$34, 4, FALSE) &lt;= P2798),
                AND(R2798="General Use", VLOOKUP(O2798, Reference!$A$2:$D$34, 3, FALSE) &lt;= P2798)
            ),
                "Exceeded",
                "OK"
            ),
            "No Regulation defined"
        )
    ),
    ""
)</f>
        <v/>
      </c>
      <c r="AB2798" s="62" t="str">
        <f t="shared" si="43"/>
        <v/>
      </c>
    </row>
    <row r="2799" spans="20:28" x14ac:dyDescent="0.2">
      <c r="T2799" s="60" t="str">
        <f>IF(P2799&lt;&gt;"",
    IF(OR(O2799="", Q2799="", R2799=""),
        "Fill all the required columns",
        IFERROR(
            IF(OR(
                AND(R2799="Marine Protected", VLOOKUP(O2799, Reference!$A$2:$D$34, 4, FALSE) &lt;= P2799),
                AND(R2799="General Use", VLOOKUP(O2799, Reference!$A$2:$D$34, 3, FALSE) &lt;= P2799)
            ),
                "Exceeded",
                "OK"
            ),
            "No Regulation defined"
        )
    ),
    ""
)</f>
        <v/>
      </c>
      <c r="AB2799" s="62" t="str">
        <f t="shared" si="43"/>
        <v/>
      </c>
    </row>
    <row r="2800" spans="20:28" x14ac:dyDescent="0.2">
      <c r="T2800" s="60" t="str">
        <f>IF(P2800&lt;&gt;"",
    IF(OR(O2800="", Q2800="", R2800=""),
        "Fill all the required columns",
        IFERROR(
            IF(OR(
                AND(R2800="Marine Protected", VLOOKUP(O2800, Reference!$A$2:$D$34, 4, FALSE) &lt;= P2800),
                AND(R2800="General Use", VLOOKUP(O2800, Reference!$A$2:$D$34, 3, FALSE) &lt;= P2800)
            ),
                "Exceeded",
                "OK"
            ),
            "No Regulation defined"
        )
    ),
    ""
)</f>
        <v/>
      </c>
      <c r="AB2800" s="62" t="str">
        <f t="shared" si="43"/>
        <v/>
      </c>
    </row>
    <row r="2801" spans="20:28" x14ac:dyDescent="0.2">
      <c r="T2801" s="60" t="str">
        <f>IF(P2801&lt;&gt;"",
    IF(OR(O2801="", Q2801="", R2801=""),
        "Fill all the required columns",
        IFERROR(
            IF(OR(
                AND(R2801="Marine Protected", VLOOKUP(O2801, Reference!$A$2:$D$34, 4, FALSE) &lt;= P2801),
                AND(R2801="General Use", VLOOKUP(O2801, Reference!$A$2:$D$34, 3, FALSE) &lt;= P2801)
            ),
                "Exceeded",
                "OK"
            ),
            "No Regulation defined"
        )
    ),
    ""
)</f>
        <v/>
      </c>
      <c r="AB2801" s="62" t="str">
        <f t="shared" si="43"/>
        <v/>
      </c>
    </row>
    <row r="2802" spans="20:28" x14ac:dyDescent="0.2">
      <c r="T2802" s="60" t="str">
        <f>IF(P2802&lt;&gt;"",
    IF(OR(O2802="", Q2802="", R2802=""),
        "Fill all the required columns",
        IFERROR(
            IF(OR(
                AND(R2802="Marine Protected", VLOOKUP(O2802, Reference!$A$2:$D$34, 4, FALSE) &lt;= P2802),
                AND(R2802="General Use", VLOOKUP(O2802, Reference!$A$2:$D$34, 3, FALSE) &lt;= P2802)
            ),
                "Exceeded",
                "OK"
            ),
            "No Regulation defined"
        )
    ),
    ""
)</f>
        <v/>
      </c>
      <c r="AB2802" s="62" t="str">
        <f t="shared" si="43"/>
        <v/>
      </c>
    </row>
    <row r="2803" spans="20:28" x14ac:dyDescent="0.2">
      <c r="T2803" s="60" t="str">
        <f>IF(P2803&lt;&gt;"",
    IF(OR(O2803="", Q2803="", R2803=""),
        "Fill all the required columns",
        IFERROR(
            IF(OR(
                AND(R2803="Marine Protected", VLOOKUP(O2803, Reference!$A$2:$D$34, 4, FALSE) &lt;= P2803),
                AND(R2803="General Use", VLOOKUP(O2803, Reference!$A$2:$D$34, 3, FALSE) &lt;= P2803)
            ),
                "Exceeded",
                "OK"
            ),
            "No Regulation defined"
        )
    ),
    ""
)</f>
        <v/>
      </c>
      <c r="AB2803" s="62" t="str">
        <f t="shared" si="43"/>
        <v/>
      </c>
    </row>
    <row r="2804" spans="20:28" x14ac:dyDescent="0.2">
      <c r="T2804" s="60" t="str">
        <f>IF(P2804&lt;&gt;"",
    IF(OR(O2804="", Q2804="", R2804=""),
        "Fill all the required columns",
        IFERROR(
            IF(OR(
                AND(R2804="Marine Protected", VLOOKUP(O2804, Reference!$A$2:$D$34, 4, FALSE) &lt;= P2804),
                AND(R2804="General Use", VLOOKUP(O2804, Reference!$A$2:$D$34, 3, FALSE) &lt;= P2804)
            ),
                "Exceeded",
                "OK"
            ),
            "No Regulation defined"
        )
    ),
    ""
)</f>
        <v/>
      </c>
      <c r="AB2804" s="62" t="str">
        <f t="shared" si="43"/>
        <v/>
      </c>
    </row>
    <row r="2805" spans="20:28" x14ac:dyDescent="0.2">
      <c r="T2805" s="60" t="str">
        <f>IF(P2805&lt;&gt;"",
    IF(OR(O2805="", Q2805="", R2805=""),
        "Fill all the required columns",
        IFERROR(
            IF(OR(
                AND(R2805="Marine Protected", VLOOKUP(O2805, Reference!$A$2:$D$34, 4, FALSE) &lt;= P2805),
                AND(R2805="General Use", VLOOKUP(O2805, Reference!$A$2:$D$34, 3, FALSE) &lt;= P2805)
            ),
                "Exceeded",
                "OK"
            ),
            "No Regulation defined"
        )
    ),
    ""
)</f>
        <v/>
      </c>
      <c r="AB2805" s="62" t="str">
        <f t="shared" si="43"/>
        <v/>
      </c>
    </row>
    <row r="2806" spans="20:28" x14ac:dyDescent="0.2">
      <c r="T2806" s="60" t="str">
        <f>IF(P2806&lt;&gt;"",
    IF(OR(O2806="", Q2806="", R2806=""),
        "Fill all the required columns",
        IFERROR(
            IF(OR(
                AND(R2806="Marine Protected", VLOOKUP(O2806, Reference!$A$2:$D$34, 4, FALSE) &lt;= P2806),
                AND(R2806="General Use", VLOOKUP(O2806, Reference!$A$2:$D$34, 3, FALSE) &lt;= P2806)
            ),
                "Exceeded",
                "OK"
            ),
            "No Regulation defined"
        )
    ),
    ""
)</f>
        <v/>
      </c>
      <c r="AB2806" s="62" t="str">
        <f t="shared" si="43"/>
        <v/>
      </c>
    </row>
    <row r="2807" spans="20:28" x14ac:dyDescent="0.2">
      <c r="T2807" s="60" t="str">
        <f>IF(P2807&lt;&gt;"",
    IF(OR(O2807="", Q2807="", R2807=""),
        "Fill all the required columns",
        IFERROR(
            IF(OR(
                AND(R2807="Marine Protected", VLOOKUP(O2807, Reference!$A$2:$D$34, 4, FALSE) &lt;= P2807),
                AND(R2807="General Use", VLOOKUP(O2807, Reference!$A$2:$D$34, 3, FALSE) &lt;= P2807)
            ),
                "Exceeded",
                "OK"
            ),
            "No Regulation defined"
        )
    ),
    ""
)</f>
        <v/>
      </c>
      <c r="AB2807" s="62" t="str">
        <f t="shared" si="43"/>
        <v/>
      </c>
    </row>
    <row r="2808" spans="20:28" x14ac:dyDescent="0.2">
      <c r="T2808" s="60" t="str">
        <f>IF(P2808&lt;&gt;"",
    IF(OR(O2808="", Q2808="", R2808=""),
        "Fill all the required columns",
        IFERROR(
            IF(OR(
                AND(R2808="Marine Protected", VLOOKUP(O2808, Reference!$A$2:$D$34, 4, FALSE) &lt;= P2808),
                AND(R2808="General Use", VLOOKUP(O2808, Reference!$A$2:$D$34, 3, FALSE) &lt;= P2808)
            ),
                "Exceeded",
                "OK"
            ),
            "No Regulation defined"
        )
    ),
    ""
)</f>
        <v/>
      </c>
      <c r="AB2808" s="62" t="str">
        <f t="shared" si="43"/>
        <v/>
      </c>
    </row>
    <row r="2809" spans="20:28" x14ac:dyDescent="0.2">
      <c r="T2809" s="60" t="str">
        <f>IF(P2809&lt;&gt;"",
    IF(OR(O2809="", Q2809="", R2809=""),
        "Fill all the required columns",
        IFERROR(
            IF(OR(
                AND(R2809="Marine Protected", VLOOKUP(O2809, Reference!$A$2:$D$34, 4, FALSE) &lt;= P2809),
                AND(R2809="General Use", VLOOKUP(O2809, Reference!$A$2:$D$34, 3, FALSE) &lt;= P2809)
            ),
                "Exceeded",
                "OK"
            ),
            "No Regulation defined"
        )
    ),
    ""
)</f>
        <v/>
      </c>
      <c r="AB2809" s="62" t="str">
        <f t="shared" si="43"/>
        <v/>
      </c>
    </row>
    <row r="2810" spans="20:28" x14ac:dyDescent="0.2">
      <c r="T2810" s="60" t="str">
        <f>IF(P2810&lt;&gt;"",
    IF(OR(O2810="", Q2810="", R2810=""),
        "Fill all the required columns",
        IFERROR(
            IF(OR(
                AND(R2810="Marine Protected", VLOOKUP(O2810, Reference!$A$2:$D$34, 4, FALSE) &lt;= P2810),
                AND(R2810="General Use", VLOOKUP(O2810, Reference!$A$2:$D$34, 3, FALSE) &lt;= P2810)
            ),
                "Exceeded",
                "OK"
            ),
            "No Regulation defined"
        )
    ),
    ""
)</f>
        <v/>
      </c>
      <c r="AB2810" s="62" t="str">
        <f t="shared" si="43"/>
        <v/>
      </c>
    </row>
    <row r="2811" spans="20:28" x14ac:dyDescent="0.2">
      <c r="T2811" s="60" t="str">
        <f>IF(P2811&lt;&gt;"",
    IF(OR(O2811="", Q2811="", R2811=""),
        "Fill all the required columns",
        IFERROR(
            IF(OR(
                AND(R2811="Marine Protected", VLOOKUP(O2811, Reference!$A$2:$D$34, 4, FALSE) &lt;= P2811),
                AND(R2811="General Use", VLOOKUP(O2811, Reference!$A$2:$D$34, 3, FALSE) &lt;= P2811)
            ),
                "Exceeded",
                "OK"
            ),
            "No Regulation defined"
        )
    ),
    ""
)</f>
        <v/>
      </c>
      <c r="AB2811" s="62" t="str">
        <f t="shared" si="43"/>
        <v/>
      </c>
    </row>
    <row r="2812" spans="20:28" x14ac:dyDescent="0.2">
      <c r="T2812" s="60" t="str">
        <f>IF(P2812&lt;&gt;"",
    IF(OR(O2812="", Q2812="", R2812=""),
        "Fill all the required columns",
        IFERROR(
            IF(OR(
                AND(R2812="Marine Protected", VLOOKUP(O2812, Reference!$A$2:$D$34, 4, FALSE) &lt;= P2812),
                AND(R2812="General Use", VLOOKUP(O2812, Reference!$A$2:$D$34, 3, FALSE) &lt;= P2812)
            ),
                "Exceeded",
                "OK"
            ),
            "No Regulation defined"
        )
    ),
    ""
)</f>
        <v/>
      </c>
      <c r="AB2812" s="62" t="str">
        <f t="shared" si="43"/>
        <v/>
      </c>
    </row>
    <row r="2813" spans="20:28" x14ac:dyDescent="0.2">
      <c r="T2813" s="60" t="str">
        <f>IF(P2813&lt;&gt;"",
    IF(OR(O2813="", Q2813="", R2813=""),
        "Fill all the required columns",
        IFERROR(
            IF(OR(
                AND(R2813="Marine Protected", VLOOKUP(O2813, Reference!$A$2:$D$34, 4, FALSE) &lt;= P2813),
                AND(R2813="General Use", VLOOKUP(O2813, Reference!$A$2:$D$34, 3, FALSE) &lt;= P2813)
            ),
                "Exceeded",
                "OK"
            ),
            "No Regulation defined"
        )
    ),
    ""
)</f>
        <v/>
      </c>
      <c r="AB2813" s="62" t="str">
        <f t="shared" si="43"/>
        <v/>
      </c>
    </row>
    <row r="2814" spans="20:28" x14ac:dyDescent="0.2">
      <c r="T2814" s="60" t="str">
        <f>IF(P2814&lt;&gt;"",
    IF(OR(O2814="", Q2814="", R2814=""),
        "Fill all the required columns",
        IFERROR(
            IF(OR(
                AND(R2814="Marine Protected", VLOOKUP(O2814, Reference!$A$2:$D$34, 4, FALSE) &lt;= P2814),
                AND(R2814="General Use", VLOOKUP(O2814, Reference!$A$2:$D$34, 3, FALSE) &lt;= P2814)
            ),
                "Exceeded",
                "OK"
            ),
            "No Regulation defined"
        )
    ),
    ""
)</f>
        <v/>
      </c>
      <c r="AB2814" s="62" t="str">
        <f t="shared" si="43"/>
        <v/>
      </c>
    </row>
    <row r="2815" spans="20:28" x14ac:dyDescent="0.2">
      <c r="T2815" s="60" t="str">
        <f>IF(P2815&lt;&gt;"",
    IF(OR(O2815="", Q2815="", R2815=""),
        "Fill all the required columns",
        IFERROR(
            IF(OR(
                AND(R2815="Marine Protected", VLOOKUP(O2815, Reference!$A$2:$D$34, 4, FALSE) &lt;= P2815),
                AND(R2815="General Use", VLOOKUP(O2815, Reference!$A$2:$D$34, 3, FALSE) &lt;= P2815)
            ),
                "Exceeded",
                "OK"
            ),
            "No Regulation defined"
        )
    ),
    ""
)</f>
        <v/>
      </c>
      <c r="AB2815" s="62" t="str">
        <f t="shared" si="43"/>
        <v/>
      </c>
    </row>
    <row r="2816" spans="20:28" x14ac:dyDescent="0.2">
      <c r="T2816" s="60" t="str">
        <f>IF(P2816&lt;&gt;"",
    IF(OR(O2816="", Q2816="", R2816=""),
        "Fill all the required columns",
        IFERROR(
            IF(OR(
                AND(R2816="Marine Protected", VLOOKUP(O2816, Reference!$A$2:$D$34, 4, FALSE) &lt;= P2816),
                AND(R2816="General Use", VLOOKUP(O2816, Reference!$A$2:$D$34, 3, FALSE) &lt;= P2816)
            ),
                "Exceeded",
                "OK"
            ),
            "No Regulation defined"
        )
    ),
    ""
)</f>
        <v/>
      </c>
      <c r="AB2816" s="62" t="str">
        <f t="shared" si="43"/>
        <v/>
      </c>
    </row>
    <row r="2817" spans="20:28" x14ac:dyDescent="0.2">
      <c r="T2817" s="60" t="str">
        <f>IF(P2817&lt;&gt;"",
    IF(OR(O2817="", Q2817="", R2817=""),
        "Fill all the required columns",
        IFERROR(
            IF(OR(
                AND(R2817="Marine Protected", VLOOKUP(O2817, Reference!$A$2:$D$34, 4, FALSE) &lt;= P2817),
                AND(R2817="General Use", VLOOKUP(O2817, Reference!$A$2:$D$34, 3, FALSE) &lt;= P2817)
            ),
                "Exceeded",
                "OK"
            ),
            "No Regulation defined"
        )
    ),
    ""
)</f>
        <v/>
      </c>
      <c r="AB2817" s="62" t="str">
        <f t="shared" si="43"/>
        <v/>
      </c>
    </row>
    <row r="2818" spans="20:28" x14ac:dyDescent="0.2">
      <c r="T2818" s="60" t="str">
        <f>IF(P2818&lt;&gt;"",
    IF(OR(O2818="", Q2818="", R2818=""),
        "Fill all the required columns",
        IFERROR(
            IF(OR(
                AND(R2818="Marine Protected", VLOOKUP(O2818, Reference!$A$2:$D$34, 4, FALSE) &lt;= P2818),
                AND(R2818="General Use", VLOOKUP(O2818, Reference!$A$2:$D$34, 3, FALSE) &lt;= P2818)
            ),
                "Exceeded",
                "OK"
            ),
            "No Regulation defined"
        )
    ),
    ""
)</f>
        <v/>
      </c>
      <c r="AB2818" s="62" t="str">
        <f t="shared" si="43"/>
        <v/>
      </c>
    </row>
    <row r="2819" spans="20:28" x14ac:dyDescent="0.2">
      <c r="T2819" s="60" t="str">
        <f>IF(P2819&lt;&gt;"",
    IF(OR(O2819="", Q2819="", R2819=""),
        "Fill all the required columns",
        IFERROR(
            IF(OR(
                AND(R2819="Marine Protected", VLOOKUP(O2819, Reference!$A$2:$D$34, 4, FALSE) &lt;= P2819),
                AND(R2819="General Use", VLOOKUP(O2819, Reference!$A$2:$D$34, 3, FALSE) &lt;= P2819)
            ),
                "Exceeded",
                "OK"
            ),
            "No Regulation defined"
        )
    ),
    ""
)</f>
        <v/>
      </c>
      <c r="AB2819" s="62" t="str">
        <f t="shared" ref="AB2819:AB2882" si="44">IF(COUNTA(A2819, E2819, F2819, H2819, I2819, O2819, P2819, Q2819, R2819,S2819) = 0, "", IF(COUNTA(A2819, E2819, F2819, H2819, I2819, O2819, P2819, Q2819, R2819,S2819) = 10, "OK", "Incomplete"))</f>
        <v/>
      </c>
    </row>
    <row r="2820" spans="20:28" x14ac:dyDescent="0.2">
      <c r="T2820" s="60" t="str">
        <f>IF(P2820&lt;&gt;"",
    IF(OR(O2820="", Q2820="", R2820=""),
        "Fill all the required columns",
        IFERROR(
            IF(OR(
                AND(R2820="Marine Protected", VLOOKUP(O2820, Reference!$A$2:$D$34, 4, FALSE) &lt;= P2820),
                AND(R2820="General Use", VLOOKUP(O2820, Reference!$A$2:$D$34, 3, FALSE) &lt;= P2820)
            ),
                "Exceeded",
                "OK"
            ),
            "No Regulation defined"
        )
    ),
    ""
)</f>
        <v/>
      </c>
      <c r="AB2820" s="62" t="str">
        <f t="shared" si="44"/>
        <v/>
      </c>
    </row>
    <row r="2821" spans="20:28" x14ac:dyDescent="0.2">
      <c r="T2821" s="60" t="str">
        <f>IF(P2821&lt;&gt;"",
    IF(OR(O2821="", Q2821="", R2821=""),
        "Fill all the required columns",
        IFERROR(
            IF(OR(
                AND(R2821="Marine Protected", VLOOKUP(O2821, Reference!$A$2:$D$34, 4, FALSE) &lt;= P2821),
                AND(R2821="General Use", VLOOKUP(O2821, Reference!$A$2:$D$34, 3, FALSE) &lt;= P2821)
            ),
                "Exceeded",
                "OK"
            ),
            "No Regulation defined"
        )
    ),
    ""
)</f>
        <v/>
      </c>
      <c r="AB2821" s="62" t="str">
        <f t="shared" si="44"/>
        <v/>
      </c>
    </row>
    <row r="2822" spans="20:28" x14ac:dyDescent="0.2">
      <c r="T2822" s="60" t="str">
        <f>IF(P2822&lt;&gt;"",
    IF(OR(O2822="", Q2822="", R2822=""),
        "Fill all the required columns",
        IFERROR(
            IF(OR(
                AND(R2822="Marine Protected", VLOOKUP(O2822, Reference!$A$2:$D$34, 4, FALSE) &lt;= P2822),
                AND(R2822="General Use", VLOOKUP(O2822, Reference!$A$2:$D$34, 3, FALSE) &lt;= P2822)
            ),
                "Exceeded",
                "OK"
            ),
            "No Regulation defined"
        )
    ),
    ""
)</f>
        <v/>
      </c>
      <c r="AB2822" s="62" t="str">
        <f t="shared" si="44"/>
        <v/>
      </c>
    </row>
    <row r="2823" spans="20:28" x14ac:dyDescent="0.2">
      <c r="T2823" s="60" t="str">
        <f>IF(P2823&lt;&gt;"",
    IF(OR(O2823="", Q2823="", R2823=""),
        "Fill all the required columns",
        IFERROR(
            IF(OR(
                AND(R2823="Marine Protected", VLOOKUP(O2823, Reference!$A$2:$D$34, 4, FALSE) &lt;= P2823),
                AND(R2823="General Use", VLOOKUP(O2823, Reference!$A$2:$D$34, 3, FALSE) &lt;= P2823)
            ),
                "Exceeded",
                "OK"
            ),
            "No Regulation defined"
        )
    ),
    ""
)</f>
        <v/>
      </c>
      <c r="AB2823" s="62" t="str">
        <f t="shared" si="44"/>
        <v/>
      </c>
    </row>
    <row r="2824" spans="20:28" x14ac:dyDescent="0.2">
      <c r="T2824" s="60" t="str">
        <f>IF(P2824&lt;&gt;"",
    IF(OR(O2824="", Q2824="", R2824=""),
        "Fill all the required columns",
        IFERROR(
            IF(OR(
                AND(R2824="Marine Protected", VLOOKUP(O2824, Reference!$A$2:$D$34, 4, FALSE) &lt;= P2824),
                AND(R2824="General Use", VLOOKUP(O2824, Reference!$A$2:$D$34, 3, FALSE) &lt;= P2824)
            ),
                "Exceeded",
                "OK"
            ),
            "No Regulation defined"
        )
    ),
    ""
)</f>
        <v/>
      </c>
      <c r="AB2824" s="62" t="str">
        <f t="shared" si="44"/>
        <v/>
      </c>
    </row>
    <row r="2825" spans="20:28" x14ac:dyDescent="0.2">
      <c r="T2825" s="60" t="str">
        <f>IF(P2825&lt;&gt;"",
    IF(OR(O2825="", Q2825="", R2825=""),
        "Fill all the required columns",
        IFERROR(
            IF(OR(
                AND(R2825="Marine Protected", VLOOKUP(O2825, Reference!$A$2:$D$34, 4, FALSE) &lt;= P2825),
                AND(R2825="General Use", VLOOKUP(O2825, Reference!$A$2:$D$34, 3, FALSE) &lt;= P2825)
            ),
                "Exceeded",
                "OK"
            ),
            "No Regulation defined"
        )
    ),
    ""
)</f>
        <v/>
      </c>
      <c r="AB2825" s="62" t="str">
        <f t="shared" si="44"/>
        <v/>
      </c>
    </row>
    <row r="2826" spans="20:28" x14ac:dyDescent="0.2">
      <c r="T2826" s="60" t="str">
        <f>IF(P2826&lt;&gt;"",
    IF(OR(O2826="", Q2826="", R2826=""),
        "Fill all the required columns",
        IFERROR(
            IF(OR(
                AND(R2826="Marine Protected", VLOOKUP(O2826, Reference!$A$2:$D$34, 4, FALSE) &lt;= P2826),
                AND(R2826="General Use", VLOOKUP(O2826, Reference!$A$2:$D$34, 3, FALSE) &lt;= P2826)
            ),
                "Exceeded",
                "OK"
            ),
            "No Regulation defined"
        )
    ),
    ""
)</f>
        <v/>
      </c>
      <c r="AB2826" s="62" t="str">
        <f t="shared" si="44"/>
        <v/>
      </c>
    </row>
    <row r="2827" spans="20:28" x14ac:dyDescent="0.2">
      <c r="T2827" s="60" t="str">
        <f>IF(P2827&lt;&gt;"",
    IF(OR(O2827="", Q2827="", R2827=""),
        "Fill all the required columns",
        IFERROR(
            IF(OR(
                AND(R2827="Marine Protected", VLOOKUP(O2827, Reference!$A$2:$D$34, 4, FALSE) &lt;= P2827),
                AND(R2827="General Use", VLOOKUP(O2827, Reference!$A$2:$D$34, 3, FALSE) &lt;= P2827)
            ),
                "Exceeded",
                "OK"
            ),
            "No Regulation defined"
        )
    ),
    ""
)</f>
        <v/>
      </c>
      <c r="AB2827" s="62" t="str">
        <f t="shared" si="44"/>
        <v/>
      </c>
    </row>
    <row r="2828" spans="20:28" x14ac:dyDescent="0.2">
      <c r="T2828" s="60" t="str">
        <f>IF(P2828&lt;&gt;"",
    IF(OR(O2828="", Q2828="", R2828=""),
        "Fill all the required columns",
        IFERROR(
            IF(OR(
                AND(R2828="Marine Protected", VLOOKUP(O2828, Reference!$A$2:$D$34, 4, FALSE) &lt;= P2828),
                AND(R2828="General Use", VLOOKUP(O2828, Reference!$A$2:$D$34, 3, FALSE) &lt;= P2828)
            ),
                "Exceeded",
                "OK"
            ),
            "No Regulation defined"
        )
    ),
    ""
)</f>
        <v/>
      </c>
      <c r="AB2828" s="62" t="str">
        <f t="shared" si="44"/>
        <v/>
      </c>
    </row>
    <row r="2829" spans="20:28" x14ac:dyDescent="0.2">
      <c r="T2829" s="60" t="str">
        <f>IF(P2829&lt;&gt;"",
    IF(OR(O2829="", Q2829="", R2829=""),
        "Fill all the required columns",
        IFERROR(
            IF(OR(
                AND(R2829="Marine Protected", VLOOKUP(O2829, Reference!$A$2:$D$34, 4, FALSE) &lt;= P2829),
                AND(R2829="General Use", VLOOKUP(O2829, Reference!$A$2:$D$34, 3, FALSE) &lt;= P2829)
            ),
                "Exceeded",
                "OK"
            ),
            "No Regulation defined"
        )
    ),
    ""
)</f>
        <v/>
      </c>
      <c r="AB2829" s="62" t="str">
        <f t="shared" si="44"/>
        <v/>
      </c>
    </row>
    <row r="2830" spans="20:28" x14ac:dyDescent="0.2">
      <c r="T2830" s="60" t="str">
        <f>IF(P2830&lt;&gt;"",
    IF(OR(O2830="", Q2830="", R2830=""),
        "Fill all the required columns",
        IFERROR(
            IF(OR(
                AND(R2830="Marine Protected", VLOOKUP(O2830, Reference!$A$2:$D$34, 4, FALSE) &lt;= P2830),
                AND(R2830="General Use", VLOOKUP(O2830, Reference!$A$2:$D$34, 3, FALSE) &lt;= P2830)
            ),
                "Exceeded",
                "OK"
            ),
            "No Regulation defined"
        )
    ),
    ""
)</f>
        <v/>
      </c>
      <c r="AB2830" s="62" t="str">
        <f t="shared" si="44"/>
        <v/>
      </c>
    </row>
    <row r="2831" spans="20:28" x14ac:dyDescent="0.2">
      <c r="T2831" s="60" t="str">
        <f>IF(P2831&lt;&gt;"",
    IF(OR(O2831="", Q2831="", R2831=""),
        "Fill all the required columns",
        IFERROR(
            IF(OR(
                AND(R2831="Marine Protected", VLOOKUP(O2831, Reference!$A$2:$D$34, 4, FALSE) &lt;= P2831),
                AND(R2831="General Use", VLOOKUP(O2831, Reference!$A$2:$D$34, 3, FALSE) &lt;= P2831)
            ),
                "Exceeded",
                "OK"
            ),
            "No Regulation defined"
        )
    ),
    ""
)</f>
        <v/>
      </c>
      <c r="AB2831" s="62" t="str">
        <f t="shared" si="44"/>
        <v/>
      </c>
    </row>
    <row r="2832" spans="20:28" x14ac:dyDescent="0.2">
      <c r="T2832" s="60" t="str">
        <f>IF(P2832&lt;&gt;"",
    IF(OR(O2832="", Q2832="", R2832=""),
        "Fill all the required columns",
        IFERROR(
            IF(OR(
                AND(R2832="Marine Protected", VLOOKUP(O2832, Reference!$A$2:$D$34, 4, FALSE) &lt;= P2832),
                AND(R2832="General Use", VLOOKUP(O2832, Reference!$A$2:$D$34, 3, FALSE) &lt;= P2832)
            ),
                "Exceeded",
                "OK"
            ),
            "No Regulation defined"
        )
    ),
    ""
)</f>
        <v/>
      </c>
      <c r="AB2832" s="62" t="str">
        <f t="shared" si="44"/>
        <v/>
      </c>
    </row>
    <row r="2833" spans="20:28" x14ac:dyDescent="0.2">
      <c r="T2833" s="60" t="str">
        <f>IF(P2833&lt;&gt;"",
    IF(OR(O2833="", Q2833="", R2833=""),
        "Fill all the required columns",
        IFERROR(
            IF(OR(
                AND(R2833="Marine Protected", VLOOKUP(O2833, Reference!$A$2:$D$34, 4, FALSE) &lt;= P2833),
                AND(R2833="General Use", VLOOKUP(O2833, Reference!$A$2:$D$34, 3, FALSE) &lt;= P2833)
            ),
                "Exceeded",
                "OK"
            ),
            "No Regulation defined"
        )
    ),
    ""
)</f>
        <v/>
      </c>
      <c r="AB2833" s="62" t="str">
        <f t="shared" si="44"/>
        <v/>
      </c>
    </row>
    <row r="2834" spans="20:28" x14ac:dyDescent="0.2">
      <c r="T2834" s="60" t="str">
        <f>IF(P2834&lt;&gt;"",
    IF(OR(O2834="", Q2834="", R2834=""),
        "Fill all the required columns",
        IFERROR(
            IF(OR(
                AND(R2834="Marine Protected", VLOOKUP(O2834, Reference!$A$2:$D$34, 4, FALSE) &lt;= P2834),
                AND(R2834="General Use", VLOOKUP(O2834, Reference!$A$2:$D$34, 3, FALSE) &lt;= P2834)
            ),
                "Exceeded",
                "OK"
            ),
            "No Regulation defined"
        )
    ),
    ""
)</f>
        <v/>
      </c>
      <c r="AB2834" s="62" t="str">
        <f t="shared" si="44"/>
        <v/>
      </c>
    </row>
    <row r="2835" spans="20:28" x14ac:dyDescent="0.2">
      <c r="T2835" s="60" t="str">
        <f>IF(P2835&lt;&gt;"",
    IF(OR(O2835="", Q2835="", R2835=""),
        "Fill all the required columns",
        IFERROR(
            IF(OR(
                AND(R2835="Marine Protected", VLOOKUP(O2835, Reference!$A$2:$D$34, 4, FALSE) &lt;= P2835),
                AND(R2835="General Use", VLOOKUP(O2835, Reference!$A$2:$D$34, 3, FALSE) &lt;= P2835)
            ),
                "Exceeded",
                "OK"
            ),
            "No Regulation defined"
        )
    ),
    ""
)</f>
        <v/>
      </c>
      <c r="AB2835" s="62" t="str">
        <f t="shared" si="44"/>
        <v/>
      </c>
    </row>
    <row r="2836" spans="20:28" x14ac:dyDescent="0.2">
      <c r="T2836" s="60" t="str">
        <f>IF(P2836&lt;&gt;"",
    IF(OR(O2836="", Q2836="", R2836=""),
        "Fill all the required columns",
        IFERROR(
            IF(OR(
                AND(R2836="Marine Protected", VLOOKUP(O2836, Reference!$A$2:$D$34, 4, FALSE) &lt;= P2836),
                AND(R2836="General Use", VLOOKUP(O2836, Reference!$A$2:$D$34, 3, FALSE) &lt;= P2836)
            ),
                "Exceeded",
                "OK"
            ),
            "No Regulation defined"
        )
    ),
    ""
)</f>
        <v/>
      </c>
      <c r="AB2836" s="62" t="str">
        <f t="shared" si="44"/>
        <v/>
      </c>
    </row>
    <row r="2837" spans="20:28" x14ac:dyDescent="0.2">
      <c r="T2837" s="60" t="str">
        <f>IF(P2837&lt;&gt;"",
    IF(OR(O2837="", Q2837="", R2837=""),
        "Fill all the required columns",
        IFERROR(
            IF(OR(
                AND(R2837="Marine Protected", VLOOKUP(O2837, Reference!$A$2:$D$34, 4, FALSE) &lt;= P2837),
                AND(R2837="General Use", VLOOKUP(O2837, Reference!$A$2:$D$34, 3, FALSE) &lt;= P2837)
            ),
                "Exceeded",
                "OK"
            ),
            "No Regulation defined"
        )
    ),
    ""
)</f>
        <v/>
      </c>
      <c r="AB2837" s="62" t="str">
        <f t="shared" si="44"/>
        <v/>
      </c>
    </row>
    <row r="2838" spans="20:28" x14ac:dyDescent="0.2">
      <c r="T2838" s="60" t="str">
        <f>IF(P2838&lt;&gt;"",
    IF(OR(O2838="", Q2838="", R2838=""),
        "Fill all the required columns",
        IFERROR(
            IF(OR(
                AND(R2838="Marine Protected", VLOOKUP(O2838, Reference!$A$2:$D$34, 4, FALSE) &lt;= P2838),
                AND(R2838="General Use", VLOOKUP(O2838, Reference!$A$2:$D$34, 3, FALSE) &lt;= P2838)
            ),
                "Exceeded",
                "OK"
            ),
            "No Regulation defined"
        )
    ),
    ""
)</f>
        <v/>
      </c>
      <c r="AB2838" s="62" t="str">
        <f t="shared" si="44"/>
        <v/>
      </c>
    </row>
    <row r="2839" spans="20:28" x14ac:dyDescent="0.2">
      <c r="T2839" s="60" t="str">
        <f>IF(P2839&lt;&gt;"",
    IF(OR(O2839="", Q2839="", R2839=""),
        "Fill all the required columns",
        IFERROR(
            IF(OR(
                AND(R2839="Marine Protected", VLOOKUP(O2839, Reference!$A$2:$D$34, 4, FALSE) &lt;= P2839),
                AND(R2839="General Use", VLOOKUP(O2839, Reference!$A$2:$D$34, 3, FALSE) &lt;= P2839)
            ),
                "Exceeded",
                "OK"
            ),
            "No Regulation defined"
        )
    ),
    ""
)</f>
        <v/>
      </c>
      <c r="AB2839" s="62" t="str">
        <f t="shared" si="44"/>
        <v/>
      </c>
    </row>
    <row r="2840" spans="20:28" x14ac:dyDescent="0.2">
      <c r="T2840" s="60" t="str">
        <f>IF(P2840&lt;&gt;"",
    IF(OR(O2840="", Q2840="", R2840=""),
        "Fill all the required columns",
        IFERROR(
            IF(OR(
                AND(R2840="Marine Protected", VLOOKUP(O2840, Reference!$A$2:$D$34, 4, FALSE) &lt;= P2840),
                AND(R2840="General Use", VLOOKUP(O2840, Reference!$A$2:$D$34, 3, FALSE) &lt;= P2840)
            ),
                "Exceeded",
                "OK"
            ),
            "No Regulation defined"
        )
    ),
    ""
)</f>
        <v/>
      </c>
      <c r="AB2840" s="62" t="str">
        <f t="shared" si="44"/>
        <v/>
      </c>
    </row>
    <row r="2841" spans="20:28" x14ac:dyDescent="0.2">
      <c r="T2841" s="60" t="str">
        <f>IF(P2841&lt;&gt;"",
    IF(OR(O2841="", Q2841="", R2841=""),
        "Fill all the required columns",
        IFERROR(
            IF(OR(
                AND(R2841="Marine Protected", VLOOKUP(O2841, Reference!$A$2:$D$34, 4, FALSE) &lt;= P2841),
                AND(R2841="General Use", VLOOKUP(O2841, Reference!$A$2:$D$34, 3, FALSE) &lt;= P2841)
            ),
                "Exceeded",
                "OK"
            ),
            "No Regulation defined"
        )
    ),
    ""
)</f>
        <v/>
      </c>
      <c r="AB2841" s="62" t="str">
        <f t="shared" si="44"/>
        <v/>
      </c>
    </row>
    <row r="2842" spans="20:28" x14ac:dyDescent="0.2">
      <c r="T2842" s="60" t="str">
        <f>IF(P2842&lt;&gt;"",
    IF(OR(O2842="", Q2842="", R2842=""),
        "Fill all the required columns",
        IFERROR(
            IF(OR(
                AND(R2842="Marine Protected", VLOOKUP(O2842, Reference!$A$2:$D$34, 4, FALSE) &lt;= P2842),
                AND(R2842="General Use", VLOOKUP(O2842, Reference!$A$2:$D$34, 3, FALSE) &lt;= P2842)
            ),
                "Exceeded",
                "OK"
            ),
            "No Regulation defined"
        )
    ),
    ""
)</f>
        <v/>
      </c>
      <c r="AB2842" s="62" t="str">
        <f t="shared" si="44"/>
        <v/>
      </c>
    </row>
    <row r="2843" spans="20:28" x14ac:dyDescent="0.2">
      <c r="T2843" s="60" t="str">
        <f>IF(P2843&lt;&gt;"",
    IF(OR(O2843="", Q2843="", R2843=""),
        "Fill all the required columns",
        IFERROR(
            IF(OR(
                AND(R2843="Marine Protected", VLOOKUP(O2843, Reference!$A$2:$D$34, 4, FALSE) &lt;= P2843),
                AND(R2843="General Use", VLOOKUP(O2843, Reference!$A$2:$D$34, 3, FALSE) &lt;= P2843)
            ),
                "Exceeded",
                "OK"
            ),
            "No Regulation defined"
        )
    ),
    ""
)</f>
        <v/>
      </c>
      <c r="AB2843" s="62" t="str">
        <f t="shared" si="44"/>
        <v/>
      </c>
    </row>
    <row r="2844" spans="20:28" x14ac:dyDescent="0.2">
      <c r="T2844" s="60" t="str">
        <f>IF(P2844&lt;&gt;"",
    IF(OR(O2844="", Q2844="", R2844=""),
        "Fill all the required columns",
        IFERROR(
            IF(OR(
                AND(R2844="Marine Protected", VLOOKUP(O2844, Reference!$A$2:$D$34, 4, FALSE) &lt;= P2844),
                AND(R2844="General Use", VLOOKUP(O2844, Reference!$A$2:$D$34, 3, FALSE) &lt;= P2844)
            ),
                "Exceeded",
                "OK"
            ),
            "No Regulation defined"
        )
    ),
    ""
)</f>
        <v/>
      </c>
      <c r="AB2844" s="62" t="str">
        <f t="shared" si="44"/>
        <v/>
      </c>
    </row>
    <row r="2845" spans="20:28" x14ac:dyDescent="0.2">
      <c r="T2845" s="60" t="str">
        <f>IF(P2845&lt;&gt;"",
    IF(OR(O2845="", Q2845="", R2845=""),
        "Fill all the required columns",
        IFERROR(
            IF(OR(
                AND(R2845="Marine Protected", VLOOKUP(O2845, Reference!$A$2:$D$34, 4, FALSE) &lt;= P2845),
                AND(R2845="General Use", VLOOKUP(O2845, Reference!$A$2:$D$34, 3, FALSE) &lt;= P2845)
            ),
                "Exceeded",
                "OK"
            ),
            "No Regulation defined"
        )
    ),
    ""
)</f>
        <v/>
      </c>
      <c r="AB2845" s="62" t="str">
        <f t="shared" si="44"/>
        <v/>
      </c>
    </row>
    <row r="2846" spans="20:28" x14ac:dyDescent="0.2">
      <c r="T2846" s="60" t="str">
        <f>IF(P2846&lt;&gt;"",
    IF(OR(O2846="", Q2846="", R2846=""),
        "Fill all the required columns",
        IFERROR(
            IF(OR(
                AND(R2846="Marine Protected", VLOOKUP(O2846, Reference!$A$2:$D$34, 4, FALSE) &lt;= P2846),
                AND(R2846="General Use", VLOOKUP(O2846, Reference!$A$2:$D$34, 3, FALSE) &lt;= P2846)
            ),
                "Exceeded",
                "OK"
            ),
            "No Regulation defined"
        )
    ),
    ""
)</f>
        <v/>
      </c>
      <c r="AB2846" s="62" t="str">
        <f t="shared" si="44"/>
        <v/>
      </c>
    </row>
    <row r="2847" spans="20:28" x14ac:dyDescent="0.2">
      <c r="T2847" s="60" t="str">
        <f>IF(P2847&lt;&gt;"",
    IF(OR(O2847="", Q2847="", R2847=""),
        "Fill all the required columns",
        IFERROR(
            IF(OR(
                AND(R2847="Marine Protected", VLOOKUP(O2847, Reference!$A$2:$D$34, 4, FALSE) &lt;= P2847),
                AND(R2847="General Use", VLOOKUP(O2847, Reference!$A$2:$D$34, 3, FALSE) &lt;= P2847)
            ),
                "Exceeded",
                "OK"
            ),
            "No Regulation defined"
        )
    ),
    ""
)</f>
        <v/>
      </c>
      <c r="AB2847" s="62" t="str">
        <f t="shared" si="44"/>
        <v/>
      </c>
    </row>
    <row r="2848" spans="20:28" x14ac:dyDescent="0.2">
      <c r="T2848" s="60" t="str">
        <f>IF(P2848&lt;&gt;"",
    IF(OR(O2848="", Q2848="", R2848=""),
        "Fill all the required columns",
        IFERROR(
            IF(OR(
                AND(R2848="Marine Protected", VLOOKUP(O2848, Reference!$A$2:$D$34, 4, FALSE) &lt;= P2848),
                AND(R2848="General Use", VLOOKUP(O2848, Reference!$A$2:$D$34, 3, FALSE) &lt;= P2848)
            ),
                "Exceeded",
                "OK"
            ),
            "No Regulation defined"
        )
    ),
    ""
)</f>
        <v/>
      </c>
      <c r="AB2848" s="62" t="str">
        <f t="shared" si="44"/>
        <v/>
      </c>
    </row>
    <row r="2849" spans="20:28" x14ac:dyDescent="0.2">
      <c r="T2849" s="60" t="str">
        <f>IF(P2849&lt;&gt;"",
    IF(OR(O2849="", Q2849="", R2849=""),
        "Fill all the required columns",
        IFERROR(
            IF(OR(
                AND(R2849="Marine Protected", VLOOKUP(O2849, Reference!$A$2:$D$34, 4, FALSE) &lt;= P2849),
                AND(R2849="General Use", VLOOKUP(O2849, Reference!$A$2:$D$34, 3, FALSE) &lt;= P2849)
            ),
                "Exceeded",
                "OK"
            ),
            "No Regulation defined"
        )
    ),
    ""
)</f>
        <v/>
      </c>
      <c r="AB2849" s="62" t="str">
        <f t="shared" si="44"/>
        <v/>
      </c>
    </row>
    <row r="2850" spans="20:28" x14ac:dyDescent="0.2">
      <c r="T2850" s="60" t="str">
        <f>IF(P2850&lt;&gt;"",
    IF(OR(O2850="", Q2850="", R2850=""),
        "Fill all the required columns",
        IFERROR(
            IF(OR(
                AND(R2850="Marine Protected", VLOOKUP(O2850, Reference!$A$2:$D$34, 4, FALSE) &lt;= P2850),
                AND(R2850="General Use", VLOOKUP(O2850, Reference!$A$2:$D$34, 3, FALSE) &lt;= P2850)
            ),
                "Exceeded",
                "OK"
            ),
            "No Regulation defined"
        )
    ),
    ""
)</f>
        <v/>
      </c>
      <c r="AB2850" s="62" t="str">
        <f t="shared" si="44"/>
        <v/>
      </c>
    </row>
    <row r="2851" spans="20:28" x14ac:dyDescent="0.2">
      <c r="T2851" s="60" t="str">
        <f>IF(P2851&lt;&gt;"",
    IF(OR(O2851="", Q2851="", R2851=""),
        "Fill all the required columns",
        IFERROR(
            IF(OR(
                AND(R2851="Marine Protected", VLOOKUP(O2851, Reference!$A$2:$D$34, 4, FALSE) &lt;= P2851),
                AND(R2851="General Use", VLOOKUP(O2851, Reference!$A$2:$D$34, 3, FALSE) &lt;= P2851)
            ),
                "Exceeded",
                "OK"
            ),
            "No Regulation defined"
        )
    ),
    ""
)</f>
        <v/>
      </c>
      <c r="AB2851" s="62" t="str">
        <f t="shared" si="44"/>
        <v/>
      </c>
    </row>
    <row r="2852" spans="20:28" x14ac:dyDescent="0.2">
      <c r="T2852" s="60" t="str">
        <f>IF(P2852&lt;&gt;"",
    IF(OR(O2852="", Q2852="", R2852=""),
        "Fill all the required columns",
        IFERROR(
            IF(OR(
                AND(R2852="Marine Protected", VLOOKUP(O2852, Reference!$A$2:$D$34, 4, FALSE) &lt;= P2852),
                AND(R2852="General Use", VLOOKUP(O2852, Reference!$A$2:$D$34, 3, FALSE) &lt;= P2852)
            ),
                "Exceeded",
                "OK"
            ),
            "No Regulation defined"
        )
    ),
    ""
)</f>
        <v/>
      </c>
      <c r="AB2852" s="62" t="str">
        <f t="shared" si="44"/>
        <v/>
      </c>
    </row>
    <row r="2853" spans="20:28" x14ac:dyDescent="0.2">
      <c r="T2853" s="60" t="str">
        <f>IF(P2853&lt;&gt;"",
    IF(OR(O2853="", Q2853="", R2853=""),
        "Fill all the required columns",
        IFERROR(
            IF(OR(
                AND(R2853="Marine Protected", VLOOKUP(O2853, Reference!$A$2:$D$34, 4, FALSE) &lt;= P2853),
                AND(R2853="General Use", VLOOKUP(O2853, Reference!$A$2:$D$34, 3, FALSE) &lt;= P2853)
            ),
                "Exceeded",
                "OK"
            ),
            "No Regulation defined"
        )
    ),
    ""
)</f>
        <v/>
      </c>
      <c r="AB2853" s="62" t="str">
        <f t="shared" si="44"/>
        <v/>
      </c>
    </row>
    <row r="2854" spans="20:28" x14ac:dyDescent="0.2">
      <c r="T2854" s="60" t="str">
        <f>IF(P2854&lt;&gt;"",
    IF(OR(O2854="", Q2854="", R2854=""),
        "Fill all the required columns",
        IFERROR(
            IF(OR(
                AND(R2854="Marine Protected", VLOOKUP(O2854, Reference!$A$2:$D$34, 4, FALSE) &lt;= P2854),
                AND(R2854="General Use", VLOOKUP(O2854, Reference!$A$2:$D$34, 3, FALSE) &lt;= P2854)
            ),
                "Exceeded",
                "OK"
            ),
            "No Regulation defined"
        )
    ),
    ""
)</f>
        <v/>
      </c>
      <c r="AB2854" s="62" t="str">
        <f t="shared" si="44"/>
        <v/>
      </c>
    </row>
    <row r="2855" spans="20:28" x14ac:dyDescent="0.2">
      <c r="T2855" s="60" t="str">
        <f>IF(P2855&lt;&gt;"",
    IF(OR(O2855="", Q2855="", R2855=""),
        "Fill all the required columns",
        IFERROR(
            IF(OR(
                AND(R2855="Marine Protected", VLOOKUP(O2855, Reference!$A$2:$D$34, 4, FALSE) &lt;= P2855),
                AND(R2855="General Use", VLOOKUP(O2855, Reference!$A$2:$D$34, 3, FALSE) &lt;= P2855)
            ),
                "Exceeded",
                "OK"
            ),
            "No Regulation defined"
        )
    ),
    ""
)</f>
        <v/>
      </c>
      <c r="AB2855" s="62" t="str">
        <f t="shared" si="44"/>
        <v/>
      </c>
    </row>
    <row r="2856" spans="20:28" x14ac:dyDescent="0.2">
      <c r="T2856" s="60" t="str">
        <f>IF(P2856&lt;&gt;"",
    IF(OR(O2856="", Q2856="", R2856=""),
        "Fill all the required columns",
        IFERROR(
            IF(OR(
                AND(R2856="Marine Protected", VLOOKUP(O2856, Reference!$A$2:$D$34, 4, FALSE) &lt;= P2856),
                AND(R2856="General Use", VLOOKUP(O2856, Reference!$A$2:$D$34, 3, FALSE) &lt;= P2856)
            ),
                "Exceeded",
                "OK"
            ),
            "No Regulation defined"
        )
    ),
    ""
)</f>
        <v/>
      </c>
      <c r="AB2856" s="62" t="str">
        <f t="shared" si="44"/>
        <v/>
      </c>
    </row>
    <row r="2857" spans="20:28" x14ac:dyDescent="0.2">
      <c r="T2857" s="60" t="str">
        <f>IF(P2857&lt;&gt;"",
    IF(OR(O2857="", Q2857="", R2857=""),
        "Fill all the required columns",
        IFERROR(
            IF(OR(
                AND(R2857="Marine Protected", VLOOKUP(O2857, Reference!$A$2:$D$34, 4, FALSE) &lt;= P2857),
                AND(R2857="General Use", VLOOKUP(O2857, Reference!$A$2:$D$34, 3, FALSE) &lt;= P2857)
            ),
                "Exceeded",
                "OK"
            ),
            "No Regulation defined"
        )
    ),
    ""
)</f>
        <v/>
      </c>
      <c r="AB2857" s="62" t="str">
        <f t="shared" si="44"/>
        <v/>
      </c>
    </row>
    <row r="2858" spans="20:28" x14ac:dyDescent="0.2">
      <c r="T2858" s="60" t="str">
        <f>IF(P2858&lt;&gt;"",
    IF(OR(O2858="", Q2858="", R2858=""),
        "Fill all the required columns",
        IFERROR(
            IF(OR(
                AND(R2858="Marine Protected", VLOOKUP(O2858, Reference!$A$2:$D$34, 4, FALSE) &lt;= P2858),
                AND(R2858="General Use", VLOOKUP(O2858, Reference!$A$2:$D$34, 3, FALSE) &lt;= P2858)
            ),
                "Exceeded",
                "OK"
            ),
            "No Regulation defined"
        )
    ),
    ""
)</f>
        <v/>
      </c>
      <c r="AB2858" s="62" t="str">
        <f t="shared" si="44"/>
        <v/>
      </c>
    </row>
    <row r="2859" spans="20:28" x14ac:dyDescent="0.2">
      <c r="T2859" s="60" t="str">
        <f>IF(P2859&lt;&gt;"",
    IF(OR(O2859="", Q2859="", R2859=""),
        "Fill all the required columns",
        IFERROR(
            IF(OR(
                AND(R2859="Marine Protected", VLOOKUP(O2859, Reference!$A$2:$D$34, 4, FALSE) &lt;= P2859),
                AND(R2859="General Use", VLOOKUP(O2859, Reference!$A$2:$D$34, 3, FALSE) &lt;= P2859)
            ),
                "Exceeded",
                "OK"
            ),
            "No Regulation defined"
        )
    ),
    ""
)</f>
        <v/>
      </c>
      <c r="AB2859" s="62" t="str">
        <f t="shared" si="44"/>
        <v/>
      </c>
    </row>
    <row r="2860" spans="20:28" x14ac:dyDescent="0.2">
      <c r="T2860" s="60" t="str">
        <f>IF(P2860&lt;&gt;"",
    IF(OR(O2860="", Q2860="", R2860=""),
        "Fill all the required columns",
        IFERROR(
            IF(OR(
                AND(R2860="Marine Protected", VLOOKUP(O2860, Reference!$A$2:$D$34, 4, FALSE) &lt;= P2860),
                AND(R2860="General Use", VLOOKUP(O2860, Reference!$A$2:$D$34, 3, FALSE) &lt;= P2860)
            ),
                "Exceeded",
                "OK"
            ),
            "No Regulation defined"
        )
    ),
    ""
)</f>
        <v/>
      </c>
      <c r="AB2860" s="62" t="str">
        <f t="shared" si="44"/>
        <v/>
      </c>
    </row>
    <row r="2861" spans="20:28" x14ac:dyDescent="0.2">
      <c r="T2861" s="60" t="str">
        <f>IF(P2861&lt;&gt;"",
    IF(OR(O2861="", Q2861="", R2861=""),
        "Fill all the required columns",
        IFERROR(
            IF(OR(
                AND(R2861="Marine Protected", VLOOKUP(O2861, Reference!$A$2:$D$34, 4, FALSE) &lt;= P2861),
                AND(R2861="General Use", VLOOKUP(O2861, Reference!$A$2:$D$34, 3, FALSE) &lt;= P2861)
            ),
                "Exceeded",
                "OK"
            ),
            "No Regulation defined"
        )
    ),
    ""
)</f>
        <v/>
      </c>
      <c r="AB2861" s="62" t="str">
        <f t="shared" si="44"/>
        <v/>
      </c>
    </row>
    <row r="2862" spans="20:28" x14ac:dyDescent="0.2">
      <c r="T2862" s="60" t="str">
        <f>IF(P2862&lt;&gt;"",
    IF(OR(O2862="", Q2862="", R2862=""),
        "Fill all the required columns",
        IFERROR(
            IF(OR(
                AND(R2862="Marine Protected", VLOOKUP(O2862, Reference!$A$2:$D$34, 4, FALSE) &lt;= P2862),
                AND(R2862="General Use", VLOOKUP(O2862, Reference!$A$2:$D$34, 3, FALSE) &lt;= P2862)
            ),
                "Exceeded",
                "OK"
            ),
            "No Regulation defined"
        )
    ),
    ""
)</f>
        <v/>
      </c>
      <c r="AB2862" s="62" t="str">
        <f t="shared" si="44"/>
        <v/>
      </c>
    </row>
    <row r="2863" spans="20:28" x14ac:dyDescent="0.2">
      <c r="T2863" s="60" t="str">
        <f>IF(P2863&lt;&gt;"",
    IF(OR(O2863="", Q2863="", R2863=""),
        "Fill all the required columns",
        IFERROR(
            IF(OR(
                AND(R2863="Marine Protected", VLOOKUP(O2863, Reference!$A$2:$D$34, 4, FALSE) &lt;= P2863),
                AND(R2863="General Use", VLOOKUP(O2863, Reference!$A$2:$D$34, 3, FALSE) &lt;= P2863)
            ),
                "Exceeded",
                "OK"
            ),
            "No Regulation defined"
        )
    ),
    ""
)</f>
        <v/>
      </c>
      <c r="AB2863" s="62" t="str">
        <f t="shared" si="44"/>
        <v/>
      </c>
    </row>
    <row r="2864" spans="20:28" x14ac:dyDescent="0.2">
      <c r="T2864" s="60" t="str">
        <f>IF(P2864&lt;&gt;"",
    IF(OR(O2864="", Q2864="", R2864=""),
        "Fill all the required columns",
        IFERROR(
            IF(OR(
                AND(R2864="Marine Protected", VLOOKUP(O2864, Reference!$A$2:$D$34, 4, FALSE) &lt;= P2864),
                AND(R2864="General Use", VLOOKUP(O2864, Reference!$A$2:$D$34, 3, FALSE) &lt;= P2864)
            ),
                "Exceeded",
                "OK"
            ),
            "No Regulation defined"
        )
    ),
    ""
)</f>
        <v/>
      </c>
      <c r="AB2864" s="62" t="str">
        <f t="shared" si="44"/>
        <v/>
      </c>
    </row>
    <row r="2865" spans="20:28" x14ac:dyDescent="0.2">
      <c r="T2865" s="60" t="str">
        <f>IF(P2865&lt;&gt;"",
    IF(OR(O2865="", Q2865="", R2865=""),
        "Fill all the required columns",
        IFERROR(
            IF(OR(
                AND(R2865="Marine Protected", VLOOKUP(O2865, Reference!$A$2:$D$34, 4, FALSE) &lt;= P2865),
                AND(R2865="General Use", VLOOKUP(O2865, Reference!$A$2:$D$34, 3, FALSE) &lt;= P2865)
            ),
                "Exceeded",
                "OK"
            ),
            "No Regulation defined"
        )
    ),
    ""
)</f>
        <v/>
      </c>
      <c r="AB2865" s="62" t="str">
        <f t="shared" si="44"/>
        <v/>
      </c>
    </row>
    <row r="2866" spans="20:28" x14ac:dyDescent="0.2">
      <c r="T2866" s="60" t="str">
        <f>IF(P2866&lt;&gt;"",
    IF(OR(O2866="", Q2866="", R2866=""),
        "Fill all the required columns",
        IFERROR(
            IF(OR(
                AND(R2866="Marine Protected", VLOOKUP(O2866, Reference!$A$2:$D$34, 4, FALSE) &lt;= P2866),
                AND(R2866="General Use", VLOOKUP(O2866, Reference!$A$2:$D$34, 3, FALSE) &lt;= P2866)
            ),
                "Exceeded",
                "OK"
            ),
            "No Regulation defined"
        )
    ),
    ""
)</f>
        <v/>
      </c>
      <c r="AB2866" s="62" t="str">
        <f t="shared" si="44"/>
        <v/>
      </c>
    </row>
    <row r="2867" spans="20:28" x14ac:dyDescent="0.2">
      <c r="T2867" s="60" t="str">
        <f>IF(P2867&lt;&gt;"",
    IF(OR(O2867="", Q2867="", R2867=""),
        "Fill all the required columns",
        IFERROR(
            IF(OR(
                AND(R2867="Marine Protected", VLOOKUP(O2867, Reference!$A$2:$D$34, 4, FALSE) &lt;= P2867),
                AND(R2867="General Use", VLOOKUP(O2867, Reference!$A$2:$D$34, 3, FALSE) &lt;= P2867)
            ),
                "Exceeded",
                "OK"
            ),
            "No Regulation defined"
        )
    ),
    ""
)</f>
        <v/>
      </c>
      <c r="AB2867" s="62" t="str">
        <f t="shared" si="44"/>
        <v/>
      </c>
    </row>
    <row r="2868" spans="20:28" x14ac:dyDescent="0.2">
      <c r="T2868" s="60" t="str">
        <f>IF(P2868&lt;&gt;"",
    IF(OR(O2868="", Q2868="", R2868=""),
        "Fill all the required columns",
        IFERROR(
            IF(OR(
                AND(R2868="Marine Protected", VLOOKUP(O2868, Reference!$A$2:$D$34, 4, FALSE) &lt;= P2868),
                AND(R2868="General Use", VLOOKUP(O2868, Reference!$A$2:$D$34, 3, FALSE) &lt;= P2868)
            ),
                "Exceeded",
                "OK"
            ),
            "No Regulation defined"
        )
    ),
    ""
)</f>
        <v/>
      </c>
      <c r="AB2868" s="62" t="str">
        <f t="shared" si="44"/>
        <v/>
      </c>
    </row>
    <row r="2869" spans="20:28" x14ac:dyDescent="0.2">
      <c r="T2869" s="60" t="str">
        <f>IF(P2869&lt;&gt;"",
    IF(OR(O2869="", Q2869="", R2869=""),
        "Fill all the required columns",
        IFERROR(
            IF(OR(
                AND(R2869="Marine Protected", VLOOKUP(O2869, Reference!$A$2:$D$34, 4, FALSE) &lt;= P2869),
                AND(R2869="General Use", VLOOKUP(O2869, Reference!$A$2:$D$34, 3, FALSE) &lt;= P2869)
            ),
                "Exceeded",
                "OK"
            ),
            "No Regulation defined"
        )
    ),
    ""
)</f>
        <v/>
      </c>
      <c r="AB2869" s="62" t="str">
        <f t="shared" si="44"/>
        <v/>
      </c>
    </row>
    <row r="2870" spans="20:28" x14ac:dyDescent="0.2">
      <c r="T2870" s="60" t="str">
        <f>IF(P2870&lt;&gt;"",
    IF(OR(O2870="", Q2870="", R2870=""),
        "Fill all the required columns",
        IFERROR(
            IF(OR(
                AND(R2870="Marine Protected", VLOOKUP(O2870, Reference!$A$2:$D$34, 4, FALSE) &lt;= P2870),
                AND(R2870="General Use", VLOOKUP(O2870, Reference!$A$2:$D$34, 3, FALSE) &lt;= P2870)
            ),
                "Exceeded",
                "OK"
            ),
            "No Regulation defined"
        )
    ),
    ""
)</f>
        <v/>
      </c>
      <c r="AB2870" s="62" t="str">
        <f t="shared" si="44"/>
        <v/>
      </c>
    </row>
    <row r="2871" spans="20:28" x14ac:dyDescent="0.2">
      <c r="T2871" s="60" t="str">
        <f>IF(P2871&lt;&gt;"",
    IF(OR(O2871="", Q2871="", R2871=""),
        "Fill all the required columns",
        IFERROR(
            IF(OR(
                AND(R2871="Marine Protected", VLOOKUP(O2871, Reference!$A$2:$D$34, 4, FALSE) &lt;= P2871),
                AND(R2871="General Use", VLOOKUP(O2871, Reference!$A$2:$D$34, 3, FALSE) &lt;= P2871)
            ),
                "Exceeded",
                "OK"
            ),
            "No Regulation defined"
        )
    ),
    ""
)</f>
        <v/>
      </c>
      <c r="AB2871" s="62" t="str">
        <f t="shared" si="44"/>
        <v/>
      </c>
    </row>
    <row r="2872" spans="20:28" x14ac:dyDescent="0.2">
      <c r="T2872" s="60" t="str">
        <f>IF(P2872&lt;&gt;"",
    IF(OR(O2872="", Q2872="", R2872=""),
        "Fill all the required columns",
        IFERROR(
            IF(OR(
                AND(R2872="Marine Protected", VLOOKUP(O2872, Reference!$A$2:$D$34, 4, FALSE) &lt;= P2872),
                AND(R2872="General Use", VLOOKUP(O2872, Reference!$A$2:$D$34, 3, FALSE) &lt;= P2872)
            ),
                "Exceeded",
                "OK"
            ),
            "No Regulation defined"
        )
    ),
    ""
)</f>
        <v/>
      </c>
      <c r="AB2872" s="62" t="str">
        <f t="shared" si="44"/>
        <v/>
      </c>
    </row>
    <row r="2873" spans="20:28" x14ac:dyDescent="0.2">
      <c r="T2873" s="60" t="str">
        <f>IF(P2873&lt;&gt;"",
    IF(OR(O2873="", Q2873="", R2873=""),
        "Fill all the required columns",
        IFERROR(
            IF(OR(
                AND(R2873="Marine Protected", VLOOKUP(O2873, Reference!$A$2:$D$34, 4, FALSE) &lt;= P2873),
                AND(R2873="General Use", VLOOKUP(O2873, Reference!$A$2:$D$34, 3, FALSE) &lt;= P2873)
            ),
                "Exceeded",
                "OK"
            ),
            "No Regulation defined"
        )
    ),
    ""
)</f>
        <v/>
      </c>
      <c r="AB2873" s="62" t="str">
        <f t="shared" si="44"/>
        <v/>
      </c>
    </row>
    <row r="2874" spans="20:28" x14ac:dyDescent="0.2">
      <c r="T2874" s="60" t="str">
        <f>IF(P2874&lt;&gt;"",
    IF(OR(O2874="", Q2874="", R2874=""),
        "Fill all the required columns",
        IFERROR(
            IF(OR(
                AND(R2874="Marine Protected", VLOOKUP(O2874, Reference!$A$2:$D$34, 4, FALSE) &lt;= P2874),
                AND(R2874="General Use", VLOOKUP(O2874, Reference!$A$2:$D$34, 3, FALSE) &lt;= P2874)
            ),
                "Exceeded",
                "OK"
            ),
            "No Regulation defined"
        )
    ),
    ""
)</f>
        <v/>
      </c>
      <c r="AB2874" s="62" t="str">
        <f t="shared" si="44"/>
        <v/>
      </c>
    </row>
    <row r="2875" spans="20:28" x14ac:dyDescent="0.2">
      <c r="T2875" s="60" t="str">
        <f>IF(P2875&lt;&gt;"",
    IF(OR(O2875="", Q2875="", R2875=""),
        "Fill all the required columns",
        IFERROR(
            IF(OR(
                AND(R2875="Marine Protected", VLOOKUP(O2875, Reference!$A$2:$D$34, 4, FALSE) &lt;= P2875),
                AND(R2875="General Use", VLOOKUP(O2875, Reference!$A$2:$D$34, 3, FALSE) &lt;= P2875)
            ),
                "Exceeded",
                "OK"
            ),
            "No Regulation defined"
        )
    ),
    ""
)</f>
        <v/>
      </c>
      <c r="AB2875" s="62" t="str">
        <f t="shared" si="44"/>
        <v/>
      </c>
    </row>
    <row r="2876" spans="20:28" x14ac:dyDescent="0.2">
      <c r="T2876" s="60" t="str">
        <f>IF(P2876&lt;&gt;"",
    IF(OR(O2876="", Q2876="", R2876=""),
        "Fill all the required columns",
        IFERROR(
            IF(OR(
                AND(R2876="Marine Protected", VLOOKUP(O2876, Reference!$A$2:$D$34, 4, FALSE) &lt;= P2876),
                AND(R2876="General Use", VLOOKUP(O2876, Reference!$A$2:$D$34, 3, FALSE) &lt;= P2876)
            ),
                "Exceeded",
                "OK"
            ),
            "No Regulation defined"
        )
    ),
    ""
)</f>
        <v/>
      </c>
      <c r="AB2876" s="62" t="str">
        <f t="shared" si="44"/>
        <v/>
      </c>
    </row>
    <row r="2877" spans="20:28" x14ac:dyDescent="0.2">
      <c r="T2877" s="60" t="str">
        <f>IF(P2877&lt;&gt;"",
    IF(OR(O2877="", Q2877="", R2877=""),
        "Fill all the required columns",
        IFERROR(
            IF(OR(
                AND(R2877="Marine Protected", VLOOKUP(O2877, Reference!$A$2:$D$34, 4, FALSE) &lt;= P2877),
                AND(R2877="General Use", VLOOKUP(O2877, Reference!$A$2:$D$34, 3, FALSE) &lt;= P2877)
            ),
                "Exceeded",
                "OK"
            ),
            "No Regulation defined"
        )
    ),
    ""
)</f>
        <v/>
      </c>
      <c r="AB2877" s="62" t="str">
        <f t="shared" si="44"/>
        <v/>
      </c>
    </row>
    <row r="2878" spans="20:28" x14ac:dyDescent="0.2">
      <c r="T2878" s="60" t="str">
        <f>IF(P2878&lt;&gt;"",
    IF(OR(O2878="", Q2878="", R2878=""),
        "Fill all the required columns",
        IFERROR(
            IF(OR(
                AND(R2878="Marine Protected", VLOOKUP(O2878, Reference!$A$2:$D$34, 4, FALSE) &lt;= P2878),
                AND(R2878="General Use", VLOOKUP(O2878, Reference!$A$2:$D$34, 3, FALSE) &lt;= P2878)
            ),
                "Exceeded",
                "OK"
            ),
            "No Regulation defined"
        )
    ),
    ""
)</f>
        <v/>
      </c>
      <c r="AB2878" s="62" t="str">
        <f t="shared" si="44"/>
        <v/>
      </c>
    </row>
    <row r="2879" spans="20:28" x14ac:dyDescent="0.2">
      <c r="T2879" s="60" t="str">
        <f>IF(P2879&lt;&gt;"",
    IF(OR(O2879="", Q2879="", R2879=""),
        "Fill all the required columns",
        IFERROR(
            IF(OR(
                AND(R2879="Marine Protected", VLOOKUP(O2879, Reference!$A$2:$D$34, 4, FALSE) &lt;= P2879),
                AND(R2879="General Use", VLOOKUP(O2879, Reference!$A$2:$D$34, 3, FALSE) &lt;= P2879)
            ),
                "Exceeded",
                "OK"
            ),
            "No Regulation defined"
        )
    ),
    ""
)</f>
        <v/>
      </c>
      <c r="AB2879" s="62" t="str">
        <f t="shared" si="44"/>
        <v/>
      </c>
    </row>
    <row r="2880" spans="20:28" x14ac:dyDescent="0.2">
      <c r="T2880" s="60" t="str">
        <f>IF(P2880&lt;&gt;"",
    IF(OR(O2880="", Q2880="", R2880=""),
        "Fill all the required columns",
        IFERROR(
            IF(OR(
                AND(R2880="Marine Protected", VLOOKUP(O2880, Reference!$A$2:$D$34, 4, FALSE) &lt;= P2880),
                AND(R2880="General Use", VLOOKUP(O2880, Reference!$A$2:$D$34, 3, FALSE) &lt;= P2880)
            ),
                "Exceeded",
                "OK"
            ),
            "No Regulation defined"
        )
    ),
    ""
)</f>
        <v/>
      </c>
      <c r="AB2880" s="62" t="str">
        <f t="shared" si="44"/>
        <v/>
      </c>
    </row>
    <row r="2881" spans="20:28" x14ac:dyDescent="0.2">
      <c r="T2881" s="60" t="str">
        <f>IF(P2881&lt;&gt;"",
    IF(OR(O2881="", Q2881="", R2881=""),
        "Fill all the required columns",
        IFERROR(
            IF(OR(
                AND(R2881="Marine Protected", VLOOKUP(O2881, Reference!$A$2:$D$34, 4, FALSE) &lt;= P2881),
                AND(R2881="General Use", VLOOKUP(O2881, Reference!$A$2:$D$34, 3, FALSE) &lt;= P2881)
            ),
                "Exceeded",
                "OK"
            ),
            "No Regulation defined"
        )
    ),
    ""
)</f>
        <v/>
      </c>
      <c r="AB2881" s="62" t="str">
        <f t="shared" si="44"/>
        <v/>
      </c>
    </row>
    <row r="2882" spans="20:28" x14ac:dyDescent="0.2">
      <c r="T2882" s="60" t="str">
        <f>IF(P2882&lt;&gt;"",
    IF(OR(O2882="", Q2882="", R2882=""),
        "Fill all the required columns",
        IFERROR(
            IF(OR(
                AND(R2882="Marine Protected", VLOOKUP(O2882, Reference!$A$2:$D$34, 4, FALSE) &lt;= P2882),
                AND(R2882="General Use", VLOOKUP(O2882, Reference!$A$2:$D$34, 3, FALSE) &lt;= P2882)
            ),
                "Exceeded",
                "OK"
            ),
            "No Regulation defined"
        )
    ),
    ""
)</f>
        <v/>
      </c>
      <c r="AB2882" s="62" t="str">
        <f t="shared" si="44"/>
        <v/>
      </c>
    </row>
    <row r="2883" spans="20:28" x14ac:dyDescent="0.2">
      <c r="T2883" s="60" t="str">
        <f>IF(P2883&lt;&gt;"",
    IF(OR(O2883="", Q2883="", R2883=""),
        "Fill all the required columns",
        IFERROR(
            IF(OR(
                AND(R2883="Marine Protected", VLOOKUP(O2883, Reference!$A$2:$D$34, 4, FALSE) &lt;= P2883),
                AND(R2883="General Use", VLOOKUP(O2883, Reference!$A$2:$D$34, 3, FALSE) &lt;= P2883)
            ),
                "Exceeded",
                "OK"
            ),
            "No Regulation defined"
        )
    ),
    ""
)</f>
        <v/>
      </c>
      <c r="AB2883" s="62" t="str">
        <f t="shared" ref="AB2883:AB2946" si="45">IF(COUNTA(A2883, E2883, F2883, H2883, I2883, O2883, P2883, Q2883, R2883,S2883) = 0, "", IF(COUNTA(A2883, E2883, F2883, H2883, I2883, O2883, P2883, Q2883, R2883,S2883) = 10, "OK", "Incomplete"))</f>
        <v/>
      </c>
    </row>
    <row r="2884" spans="20:28" x14ac:dyDescent="0.2">
      <c r="T2884" s="60" t="str">
        <f>IF(P2884&lt;&gt;"",
    IF(OR(O2884="", Q2884="", R2884=""),
        "Fill all the required columns",
        IFERROR(
            IF(OR(
                AND(R2884="Marine Protected", VLOOKUP(O2884, Reference!$A$2:$D$34, 4, FALSE) &lt;= P2884),
                AND(R2884="General Use", VLOOKUP(O2884, Reference!$A$2:$D$34, 3, FALSE) &lt;= P2884)
            ),
                "Exceeded",
                "OK"
            ),
            "No Regulation defined"
        )
    ),
    ""
)</f>
        <v/>
      </c>
      <c r="AB2884" s="62" t="str">
        <f t="shared" si="45"/>
        <v/>
      </c>
    </row>
    <row r="2885" spans="20:28" x14ac:dyDescent="0.2">
      <c r="T2885" s="60" t="str">
        <f>IF(P2885&lt;&gt;"",
    IF(OR(O2885="", Q2885="", R2885=""),
        "Fill all the required columns",
        IFERROR(
            IF(OR(
                AND(R2885="Marine Protected", VLOOKUP(O2885, Reference!$A$2:$D$34, 4, FALSE) &lt;= P2885),
                AND(R2885="General Use", VLOOKUP(O2885, Reference!$A$2:$D$34, 3, FALSE) &lt;= P2885)
            ),
                "Exceeded",
                "OK"
            ),
            "No Regulation defined"
        )
    ),
    ""
)</f>
        <v/>
      </c>
      <c r="AB2885" s="62" t="str">
        <f t="shared" si="45"/>
        <v/>
      </c>
    </row>
    <row r="2886" spans="20:28" x14ac:dyDescent="0.2">
      <c r="T2886" s="60" t="str">
        <f>IF(P2886&lt;&gt;"",
    IF(OR(O2886="", Q2886="", R2886=""),
        "Fill all the required columns",
        IFERROR(
            IF(OR(
                AND(R2886="Marine Protected", VLOOKUP(O2886, Reference!$A$2:$D$34, 4, FALSE) &lt;= P2886),
                AND(R2886="General Use", VLOOKUP(O2886, Reference!$A$2:$D$34, 3, FALSE) &lt;= P2886)
            ),
                "Exceeded",
                "OK"
            ),
            "No Regulation defined"
        )
    ),
    ""
)</f>
        <v/>
      </c>
      <c r="AB2886" s="62" t="str">
        <f t="shared" si="45"/>
        <v/>
      </c>
    </row>
    <row r="2887" spans="20:28" x14ac:dyDescent="0.2">
      <c r="T2887" s="60" t="str">
        <f>IF(P2887&lt;&gt;"",
    IF(OR(O2887="", Q2887="", R2887=""),
        "Fill all the required columns",
        IFERROR(
            IF(OR(
                AND(R2887="Marine Protected", VLOOKUP(O2887, Reference!$A$2:$D$34, 4, FALSE) &lt;= P2887),
                AND(R2887="General Use", VLOOKUP(O2887, Reference!$A$2:$D$34, 3, FALSE) &lt;= P2887)
            ),
                "Exceeded",
                "OK"
            ),
            "No Regulation defined"
        )
    ),
    ""
)</f>
        <v/>
      </c>
      <c r="AB2887" s="62" t="str">
        <f t="shared" si="45"/>
        <v/>
      </c>
    </row>
    <row r="2888" spans="20:28" x14ac:dyDescent="0.2">
      <c r="T2888" s="60" t="str">
        <f>IF(P2888&lt;&gt;"",
    IF(OR(O2888="", Q2888="", R2888=""),
        "Fill all the required columns",
        IFERROR(
            IF(OR(
                AND(R2888="Marine Protected", VLOOKUP(O2888, Reference!$A$2:$D$34, 4, FALSE) &lt;= P2888),
                AND(R2888="General Use", VLOOKUP(O2888, Reference!$A$2:$D$34, 3, FALSE) &lt;= P2888)
            ),
                "Exceeded",
                "OK"
            ),
            "No Regulation defined"
        )
    ),
    ""
)</f>
        <v/>
      </c>
      <c r="AB2888" s="62" t="str">
        <f t="shared" si="45"/>
        <v/>
      </c>
    </row>
    <row r="2889" spans="20:28" x14ac:dyDescent="0.2">
      <c r="T2889" s="60" t="str">
        <f>IF(P2889&lt;&gt;"",
    IF(OR(O2889="", Q2889="", R2889=""),
        "Fill all the required columns",
        IFERROR(
            IF(OR(
                AND(R2889="Marine Protected", VLOOKUP(O2889, Reference!$A$2:$D$34, 4, FALSE) &lt;= P2889),
                AND(R2889="General Use", VLOOKUP(O2889, Reference!$A$2:$D$34, 3, FALSE) &lt;= P2889)
            ),
                "Exceeded",
                "OK"
            ),
            "No Regulation defined"
        )
    ),
    ""
)</f>
        <v/>
      </c>
      <c r="AB2889" s="62" t="str">
        <f t="shared" si="45"/>
        <v/>
      </c>
    </row>
    <row r="2890" spans="20:28" x14ac:dyDescent="0.2">
      <c r="T2890" s="60" t="str">
        <f>IF(P2890&lt;&gt;"",
    IF(OR(O2890="", Q2890="", R2890=""),
        "Fill all the required columns",
        IFERROR(
            IF(OR(
                AND(R2890="Marine Protected", VLOOKUP(O2890, Reference!$A$2:$D$34, 4, FALSE) &lt;= P2890),
                AND(R2890="General Use", VLOOKUP(O2890, Reference!$A$2:$D$34, 3, FALSE) &lt;= P2890)
            ),
                "Exceeded",
                "OK"
            ),
            "No Regulation defined"
        )
    ),
    ""
)</f>
        <v/>
      </c>
      <c r="AB2890" s="62" t="str">
        <f t="shared" si="45"/>
        <v/>
      </c>
    </row>
    <row r="2891" spans="20:28" x14ac:dyDescent="0.2">
      <c r="T2891" s="60" t="str">
        <f>IF(P2891&lt;&gt;"",
    IF(OR(O2891="", Q2891="", R2891=""),
        "Fill all the required columns",
        IFERROR(
            IF(OR(
                AND(R2891="Marine Protected", VLOOKUP(O2891, Reference!$A$2:$D$34, 4, FALSE) &lt;= P2891),
                AND(R2891="General Use", VLOOKUP(O2891, Reference!$A$2:$D$34, 3, FALSE) &lt;= P2891)
            ),
                "Exceeded",
                "OK"
            ),
            "No Regulation defined"
        )
    ),
    ""
)</f>
        <v/>
      </c>
      <c r="AB2891" s="62" t="str">
        <f t="shared" si="45"/>
        <v/>
      </c>
    </row>
    <row r="2892" spans="20:28" x14ac:dyDescent="0.2">
      <c r="T2892" s="60" t="str">
        <f>IF(P2892&lt;&gt;"",
    IF(OR(O2892="", Q2892="", R2892=""),
        "Fill all the required columns",
        IFERROR(
            IF(OR(
                AND(R2892="Marine Protected", VLOOKUP(O2892, Reference!$A$2:$D$34, 4, FALSE) &lt;= P2892),
                AND(R2892="General Use", VLOOKUP(O2892, Reference!$A$2:$D$34, 3, FALSE) &lt;= P2892)
            ),
                "Exceeded",
                "OK"
            ),
            "No Regulation defined"
        )
    ),
    ""
)</f>
        <v/>
      </c>
      <c r="AB2892" s="62" t="str">
        <f t="shared" si="45"/>
        <v/>
      </c>
    </row>
    <row r="2893" spans="20:28" x14ac:dyDescent="0.2">
      <c r="T2893" s="60" t="str">
        <f>IF(P2893&lt;&gt;"",
    IF(OR(O2893="", Q2893="", R2893=""),
        "Fill all the required columns",
        IFERROR(
            IF(OR(
                AND(R2893="Marine Protected", VLOOKUP(O2893, Reference!$A$2:$D$34, 4, FALSE) &lt;= P2893),
                AND(R2893="General Use", VLOOKUP(O2893, Reference!$A$2:$D$34, 3, FALSE) &lt;= P2893)
            ),
                "Exceeded",
                "OK"
            ),
            "No Regulation defined"
        )
    ),
    ""
)</f>
        <v/>
      </c>
      <c r="AB2893" s="62" t="str">
        <f t="shared" si="45"/>
        <v/>
      </c>
    </row>
    <row r="2894" spans="20:28" x14ac:dyDescent="0.2">
      <c r="T2894" s="60" t="str">
        <f>IF(P2894&lt;&gt;"",
    IF(OR(O2894="", Q2894="", R2894=""),
        "Fill all the required columns",
        IFERROR(
            IF(OR(
                AND(R2894="Marine Protected", VLOOKUP(O2894, Reference!$A$2:$D$34, 4, FALSE) &lt;= P2894),
                AND(R2894="General Use", VLOOKUP(O2894, Reference!$A$2:$D$34, 3, FALSE) &lt;= P2894)
            ),
                "Exceeded",
                "OK"
            ),
            "No Regulation defined"
        )
    ),
    ""
)</f>
        <v/>
      </c>
      <c r="AB2894" s="62" t="str">
        <f t="shared" si="45"/>
        <v/>
      </c>
    </row>
    <row r="2895" spans="20:28" x14ac:dyDescent="0.2">
      <c r="T2895" s="60" t="str">
        <f>IF(P2895&lt;&gt;"",
    IF(OR(O2895="", Q2895="", R2895=""),
        "Fill all the required columns",
        IFERROR(
            IF(OR(
                AND(R2895="Marine Protected", VLOOKUP(O2895, Reference!$A$2:$D$34, 4, FALSE) &lt;= P2895),
                AND(R2895="General Use", VLOOKUP(O2895, Reference!$A$2:$D$34, 3, FALSE) &lt;= P2895)
            ),
                "Exceeded",
                "OK"
            ),
            "No Regulation defined"
        )
    ),
    ""
)</f>
        <v/>
      </c>
      <c r="AB2895" s="62" t="str">
        <f t="shared" si="45"/>
        <v/>
      </c>
    </row>
    <row r="2896" spans="20:28" x14ac:dyDescent="0.2">
      <c r="T2896" s="60" t="str">
        <f>IF(P2896&lt;&gt;"",
    IF(OR(O2896="", Q2896="", R2896=""),
        "Fill all the required columns",
        IFERROR(
            IF(OR(
                AND(R2896="Marine Protected", VLOOKUP(O2896, Reference!$A$2:$D$34, 4, FALSE) &lt;= P2896),
                AND(R2896="General Use", VLOOKUP(O2896, Reference!$A$2:$D$34, 3, FALSE) &lt;= P2896)
            ),
                "Exceeded",
                "OK"
            ),
            "No Regulation defined"
        )
    ),
    ""
)</f>
        <v/>
      </c>
      <c r="AB2896" s="62" t="str">
        <f t="shared" si="45"/>
        <v/>
      </c>
    </row>
    <row r="2897" spans="20:28" x14ac:dyDescent="0.2">
      <c r="T2897" s="60" t="str">
        <f>IF(P2897&lt;&gt;"",
    IF(OR(O2897="", Q2897="", R2897=""),
        "Fill all the required columns",
        IFERROR(
            IF(OR(
                AND(R2897="Marine Protected", VLOOKUP(O2897, Reference!$A$2:$D$34, 4, FALSE) &lt;= P2897),
                AND(R2897="General Use", VLOOKUP(O2897, Reference!$A$2:$D$34, 3, FALSE) &lt;= P2897)
            ),
                "Exceeded",
                "OK"
            ),
            "No Regulation defined"
        )
    ),
    ""
)</f>
        <v/>
      </c>
      <c r="AB2897" s="62" t="str">
        <f t="shared" si="45"/>
        <v/>
      </c>
    </row>
    <row r="2898" spans="20:28" x14ac:dyDescent="0.2">
      <c r="T2898" s="60" t="str">
        <f>IF(P2898&lt;&gt;"",
    IF(OR(O2898="", Q2898="", R2898=""),
        "Fill all the required columns",
        IFERROR(
            IF(OR(
                AND(R2898="Marine Protected", VLOOKUP(O2898, Reference!$A$2:$D$34, 4, FALSE) &lt;= P2898),
                AND(R2898="General Use", VLOOKUP(O2898, Reference!$A$2:$D$34, 3, FALSE) &lt;= P2898)
            ),
                "Exceeded",
                "OK"
            ),
            "No Regulation defined"
        )
    ),
    ""
)</f>
        <v/>
      </c>
      <c r="AB2898" s="62" t="str">
        <f t="shared" si="45"/>
        <v/>
      </c>
    </row>
    <row r="2899" spans="20:28" x14ac:dyDescent="0.2">
      <c r="T2899" s="60" t="str">
        <f>IF(P2899&lt;&gt;"",
    IF(OR(O2899="", Q2899="", R2899=""),
        "Fill all the required columns",
        IFERROR(
            IF(OR(
                AND(R2899="Marine Protected", VLOOKUP(O2899, Reference!$A$2:$D$34, 4, FALSE) &lt;= P2899),
                AND(R2899="General Use", VLOOKUP(O2899, Reference!$A$2:$D$34, 3, FALSE) &lt;= P2899)
            ),
                "Exceeded",
                "OK"
            ),
            "No Regulation defined"
        )
    ),
    ""
)</f>
        <v/>
      </c>
      <c r="AB2899" s="62" t="str">
        <f t="shared" si="45"/>
        <v/>
      </c>
    </row>
    <row r="2900" spans="20:28" x14ac:dyDescent="0.2">
      <c r="T2900" s="60" t="str">
        <f>IF(P2900&lt;&gt;"",
    IF(OR(O2900="", Q2900="", R2900=""),
        "Fill all the required columns",
        IFERROR(
            IF(OR(
                AND(R2900="Marine Protected", VLOOKUP(O2900, Reference!$A$2:$D$34, 4, FALSE) &lt;= P2900),
                AND(R2900="General Use", VLOOKUP(O2900, Reference!$A$2:$D$34, 3, FALSE) &lt;= P2900)
            ),
                "Exceeded",
                "OK"
            ),
            "No Regulation defined"
        )
    ),
    ""
)</f>
        <v/>
      </c>
      <c r="AB2900" s="62" t="str">
        <f t="shared" si="45"/>
        <v/>
      </c>
    </row>
    <row r="2901" spans="20:28" x14ac:dyDescent="0.2">
      <c r="T2901" s="60" t="str">
        <f>IF(P2901&lt;&gt;"",
    IF(OR(O2901="", Q2901="", R2901=""),
        "Fill all the required columns",
        IFERROR(
            IF(OR(
                AND(R2901="Marine Protected", VLOOKUP(O2901, Reference!$A$2:$D$34, 4, FALSE) &lt;= P2901),
                AND(R2901="General Use", VLOOKUP(O2901, Reference!$A$2:$D$34, 3, FALSE) &lt;= P2901)
            ),
                "Exceeded",
                "OK"
            ),
            "No Regulation defined"
        )
    ),
    ""
)</f>
        <v/>
      </c>
      <c r="AB2901" s="62" t="str">
        <f t="shared" si="45"/>
        <v/>
      </c>
    </row>
    <row r="2902" spans="20:28" x14ac:dyDescent="0.2">
      <c r="T2902" s="60" t="str">
        <f>IF(P2902&lt;&gt;"",
    IF(OR(O2902="", Q2902="", R2902=""),
        "Fill all the required columns",
        IFERROR(
            IF(OR(
                AND(R2902="Marine Protected", VLOOKUP(O2902, Reference!$A$2:$D$34, 4, FALSE) &lt;= P2902),
                AND(R2902="General Use", VLOOKUP(O2902, Reference!$A$2:$D$34, 3, FALSE) &lt;= P2902)
            ),
                "Exceeded",
                "OK"
            ),
            "No Regulation defined"
        )
    ),
    ""
)</f>
        <v/>
      </c>
      <c r="AB2902" s="62" t="str">
        <f t="shared" si="45"/>
        <v/>
      </c>
    </row>
    <row r="2903" spans="20:28" x14ac:dyDescent="0.2">
      <c r="T2903" s="60" t="str">
        <f>IF(P2903&lt;&gt;"",
    IF(OR(O2903="", Q2903="", R2903=""),
        "Fill all the required columns",
        IFERROR(
            IF(OR(
                AND(R2903="Marine Protected", VLOOKUP(O2903, Reference!$A$2:$D$34, 4, FALSE) &lt;= P2903),
                AND(R2903="General Use", VLOOKUP(O2903, Reference!$A$2:$D$34, 3, FALSE) &lt;= P2903)
            ),
                "Exceeded",
                "OK"
            ),
            "No Regulation defined"
        )
    ),
    ""
)</f>
        <v/>
      </c>
      <c r="AB2903" s="62" t="str">
        <f t="shared" si="45"/>
        <v/>
      </c>
    </row>
    <row r="2904" spans="20:28" x14ac:dyDescent="0.2">
      <c r="T2904" s="60" t="str">
        <f>IF(P2904&lt;&gt;"",
    IF(OR(O2904="", Q2904="", R2904=""),
        "Fill all the required columns",
        IFERROR(
            IF(OR(
                AND(R2904="Marine Protected", VLOOKUP(O2904, Reference!$A$2:$D$34, 4, FALSE) &lt;= P2904),
                AND(R2904="General Use", VLOOKUP(O2904, Reference!$A$2:$D$34, 3, FALSE) &lt;= P2904)
            ),
                "Exceeded",
                "OK"
            ),
            "No Regulation defined"
        )
    ),
    ""
)</f>
        <v/>
      </c>
      <c r="AB2904" s="62" t="str">
        <f t="shared" si="45"/>
        <v/>
      </c>
    </row>
    <row r="2905" spans="20:28" x14ac:dyDescent="0.2">
      <c r="T2905" s="60" t="str">
        <f>IF(P2905&lt;&gt;"",
    IF(OR(O2905="", Q2905="", R2905=""),
        "Fill all the required columns",
        IFERROR(
            IF(OR(
                AND(R2905="Marine Protected", VLOOKUP(O2905, Reference!$A$2:$D$34, 4, FALSE) &lt;= P2905),
                AND(R2905="General Use", VLOOKUP(O2905, Reference!$A$2:$D$34, 3, FALSE) &lt;= P2905)
            ),
                "Exceeded",
                "OK"
            ),
            "No Regulation defined"
        )
    ),
    ""
)</f>
        <v/>
      </c>
      <c r="AB2905" s="62" t="str">
        <f t="shared" si="45"/>
        <v/>
      </c>
    </row>
    <row r="2906" spans="20:28" x14ac:dyDescent="0.2">
      <c r="T2906" s="60" t="str">
        <f>IF(P2906&lt;&gt;"",
    IF(OR(O2906="", Q2906="", R2906=""),
        "Fill all the required columns",
        IFERROR(
            IF(OR(
                AND(R2906="Marine Protected", VLOOKUP(O2906, Reference!$A$2:$D$34, 4, FALSE) &lt;= P2906),
                AND(R2906="General Use", VLOOKUP(O2906, Reference!$A$2:$D$34, 3, FALSE) &lt;= P2906)
            ),
                "Exceeded",
                "OK"
            ),
            "No Regulation defined"
        )
    ),
    ""
)</f>
        <v/>
      </c>
      <c r="AB2906" s="62" t="str">
        <f t="shared" si="45"/>
        <v/>
      </c>
    </row>
    <row r="2907" spans="20:28" x14ac:dyDescent="0.2">
      <c r="T2907" s="60" t="str">
        <f>IF(P2907&lt;&gt;"",
    IF(OR(O2907="", Q2907="", R2907=""),
        "Fill all the required columns",
        IFERROR(
            IF(OR(
                AND(R2907="Marine Protected", VLOOKUP(O2907, Reference!$A$2:$D$34, 4, FALSE) &lt;= P2907),
                AND(R2907="General Use", VLOOKUP(O2907, Reference!$A$2:$D$34, 3, FALSE) &lt;= P2907)
            ),
                "Exceeded",
                "OK"
            ),
            "No Regulation defined"
        )
    ),
    ""
)</f>
        <v/>
      </c>
      <c r="AB2907" s="62" t="str">
        <f t="shared" si="45"/>
        <v/>
      </c>
    </row>
    <row r="2908" spans="20:28" x14ac:dyDescent="0.2">
      <c r="T2908" s="60" t="str">
        <f>IF(P2908&lt;&gt;"",
    IF(OR(O2908="", Q2908="", R2908=""),
        "Fill all the required columns",
        IFERROR(
            IF(OR(
                AND(R2908="Marine Protected", VLOOKUP(O2908, Reference!$A$2:$D$34, 4, FALSE) &lt;= P2908),
                AND(R2908="General Use", VLOOKUP(O2908, Reference!$A$2:$D$34, 3, FALSE) &lt;= P2908)
            ),
                "Exceeded",
                "OK"
            ),
            "No Regulation defined"
        )
    ),
    ""
)</f>
        <v/>
      </c>
      <c r="AB2908" s="62" t="str">
        <f t="shared" si="45"/>
        <v/>
      </c>
    </row>
    <row r="2909" spans="20:28" x14ac:dyDescent="0.2">
      <c r="T2909" s="60" t="str">
        <f>IF(P2909&lt;&gt;"",
    IF(OR(O2909="", Q2909="", R2909=""),
        "Fill all the required columns",
        IFERROR(
            IF(OR(
                AND(R2909="Marine Protected", VLOOKUP(O2909, Reference!$A$2:$D$34, 4, FALSE) &lt;= P2909),
                AND(R2909="General Use", VLOOKUP(O2909, Reference!$A$2:$D$34, 3, FALSE) &lt;= P2909)
            ),
                "Exceeded",
                "OK"
            ),
            "No Regulation defined"
        )
    ),
    ""
)</f>
        <v/>
      </c>
      <c r="AB2909" s="62" t="str">
        <f t="shared" si="45"/>
        <v/>
      </c>
    </row>
    <row r="2910" spans="20:28" x14ac:dyDescent="0.2">
      <c r="T2910" s="60" t="str">
        <f>IF(P2910&lt;&gt;"",
    IF(OR(O2910="", Q2910="", R2910=""),
        "Fill all the required columns",
        IFERROR(
            IF(OR(
                AND(R2910="Marine Protected", VLOOKUP(O2910, Reference!$A$2:$D$34, 4, FALSE) &lt;= P2910),
                AND(R2910="General Use", VLOOKUP(O2910, Reference!$A$2:$D$34, 3, FALSE) &lt;= P2910)
            ),
                "Exceeded",
                "OK"
            ),
            "No Regulation defined"
        )
    ),
    ""
)</f>
        <v/>
      </c>
      <c r="AB2910" s="62" t="str">
        <f t="shared" si="45"/>
        <v/>
      </c>
    </row>
    <row r="2911" spans="20:28" x14ac:dyDescent="0.2">
      <c r="T2911" s="60" t="str">
        <f>IF(P2911&lt;&gt;"",
    IF(OR(O2911="", Q2911="", R2911=""),
        "Fill all the required columns",
        IFERROR(
            IF(OR(
                AND(R2911="Marine Protected", VLOOKUP(O2911, Reference!$A$2:$D$34, 4, FALSE) &lt;= P2911),
                AND(R2911="General Use", VLOOKUP(O2911, Reference!$A$2:$D$34, 3, FALSE) &lt;= P2911)
            ),
                "Exceeded",
                "OK"
            ),
            "No Regulation defined"
        )
    ),
    ""
)</f>
        <v/>
      </c>
      <c r="AB2911" s="62" t="str">
        <f t="shared" si="45"/>
        <v/>
      </c>
    </row>
    <row r="2912" spans="20:28" x14ac:dyDescent="0.2">
      <c r="T2912" s="60" t="str">
        <f>IF(P2912&lt;&gt;"",
    IF(OR(O2912="", Q2912="", R2912=""),
        "Fill all the required columns",
        IFERROR(
            IF(OR(
                AND(R2912="Marine Protected", VLOOKUP(O2912, Reference!$A$2:$D$34, 4, FALSE) &lt;= P2912),
                AND(R2912="General Use", VLOOKUP(O2912, Reference!$A$2:$D$34, 3, FALSE) &lt;= P2912)
            ),
                "Exceeded",
                "OK"
            ),
            "No Regulation defined"
        )
    ),
    ""
)</f>
        <v/>
      </c>
      <c r="AB2912" s="62" t="str">
        <f t="shared" si="45"/>
        <v/>
      </c>
    </row>
    <row r="2913" spans="20:28" x14ac:dyDescent="0.2">
      <c r="T2913" s="60" t="str">
        <f>IF(P2913&lt;&gt;"",
    IF(OR(O2913="", Q2913="", R2913=""),
        "Fill all the required columns",
        IFERROR(
            IF(OR(
                AND(R2913="Marine Protected", VLOOKUP(O2913, Reference!$A$2:$D$34, 4, FALSE) &lt;= P2913),
                AND(R2913="General Use", VLOOKUP(O2913, Reference!$A$2:$D$34, 3, FALSE) &lt;= P2913)
            ),
                "Exceeded",
                "OK"
            ),
            "No Regulation defined"
        )
    ),
    ""
)</f>
        <v/>
      </c>
      <c r="AB2913" s="62" t="str">
        <f t="shared" si="45"/>
        <v/>
      </c>
    </row>
    <row r="2914" spans="20:28" x14ac:dyDescent="0.2">
      <c r="T2914" s="60" t="str">
        <f>IF(P2914&lt;&gt;"",
    IF(OR(O2914="", Q2914="", R2914=""),
        "Fill all the required columns",
        IFERROR(
            IF(OR(
                AND(R2914="Marine Protected", VLOOKUP(O2914, Reference!$A$2:$D$34, 4, FALSE) &lt;= P2914),
                AND(R2914="General Use", VLOOKUP(O2914, Reference!$A$2:$D$34, 3, FALSE) &lt;= P2914)
            ),
                "Exceeded",
                "OK"
            ),
            "No Regulation defined"
        )
    ),
    ""
)</f>
        <v/>
      </c>
      <c r="AB2914" s="62" t="str">
        <f t="shared" si="45"/>
        <v/>
      </c>
    </row>
    <row r="2915" spans="20:28" x14ac:dyDescent="0.2">
      <c r="T2915" s="60" t="str">
        <f>IF(P2915&lt;&gt;"",
    IF(OR(O2915="", Q2915="", R2915=""),
        "Fill all the required columns",
        IFERROR(
            IF(OR(
                AND(R2915="Marine Protected", VLOOKUP(O2915, Reference!$A$2:$D$34, 4, FALSE) &lt;= P2915),
                AND(R2915="General Use", VLOOKUP(O2915, Reference!$A$2:$D$34, 3, FALSE) &lt;= P2915)
            ),
                "Exceeded",
                "OK"
            ),
            "No Regulation defined"
        )
    ),
    ""
)</f>
        <v/>
      </c>
      <c r="AB2915" s="62" t="str">
        <f t="shared" si="45"/>
        <v/>
      </c>
    </row>
    <row r="2916" spans="20:28" x14ac:dyDescent="0.2">
      <c r="T2916" s="60" t="str">
        <f>IF(P2916&lt;&gt;"",
    IF(OR(O2916="", Q2916="", R2916=""),
        "Fill all the required columns",
        IFERROR(
            IF(OR(
                AND(R2916="Marine Protected", VLOOKUP(O2916, Reference!$A$2:$D$34, 4, FALSE) &lt;= P2916),
                AND(R2916="General Use", VLOOKUP(O2916, Reference!$A$2:$D$34, 3, FALSE) &lt;= P2916)
            ),
                "Exceeded",
                "OK"
            ),
            "No Regulation defined"
        )
    ),
    ""
)</f>
        <v/>
      </c>
      <c r="AB2916" s="62" t="str">
        <f t="shared" si="45"/>
        <v/>
      </c>
    </row>
    <row r="2917" spans="20:28" x14ac:dyDescent="0.2">
      <c r="T2917" s="60" t="str">
        <f>IF(P2917&lt;&gt;"",
    IF(OR(O2917="", Q2917="", R2917=""),
        "Fill all the required columns",
        IFERROR(
            IF(OR(
                AND(R2917="Marine Protected", VLOOKUP(O2917, Reference!$A$2:$D$34, 4, FALSE) &lt;= P2917),
                AND(R2917="General Use", VLOOKUP(O2917, Reference!$A$2:$D$34, 3, FALSE) &lt;= P2917)
            ),
                "Exceeded",
                "OK"
            ),
            "No Regulation defined"
        )
    ),
    ""
)</f>
        <v/>
      </c>
      <c r="AB2917" s="62" t="str">
        <f t="shared" si="45"/>
        <v/>
      </c>
    </row>
    <row r="2918" spans="20:28" x14ac:dyDescent="0.2">
      <c r="T2918" s="60" t="str">
        <f>IF(P2918&lt;&gt;"",
    IF(OR(O2918="", Q2918="", R2918=""),
        "Fill all the required columns",
        IFERROR(
            IF(OR(
                AND(R2918="Marine Protected", VLOOKUP(O2918, Reference!$A$2:$D$34, 4, FALSE) &lt;= P2918),
                AND(R2918="General Use", VLOOKUP(O2918, Reference!$A$2:$D$34, 3, FALSE) &lt;= P2918)
            ),
                "Exceeded",
                "OK"
            ),
            "No Regulation defined"
        )
    ),
    ""
)</f>
        <v/>
      </c>
      <c r="AB2918" s="62" t="str">
        <f t="shared" si="45"/>
        <v/>
      </c>
    </row>
    <row r="2919" spans="20:28" x14ac:dyDescent="0.2">
      <c r="T2919" s="60" t="str">
        <f>IF(P2919&lt;&gt;"",
    IF(OR(O2919="", Q2919="", R2919=""),
        "Fill all the required columns",
        IFERROR(
            IF(OR(
                AND(R2919="Marine Protected", VLOOKUP(O2919, Reference!$A$2:$D$34, 4, FALSE) &lt;= P2919),
                AND(R2919="General Use", VLOOKUP(O2919, Reference!$A$2:$D$34, 3, FALSE) &lt;= P2919)
            ),
                "Exceeded",
                "OK"
            ),
            "No Regulation defined"
        )
    ),
    ""
)</f>
        <v/>
      </c>
      <c r="AB2919" s="62" t="str">
        <f t="shared" si="45"/>
        <v/>
      </c>
    </row>
    <row r="2920" spans="20:28" x14ac:dyDescent="0.2">
      <c r="T2920" s="60" t="str">
        <f>IF(P2920&lt;&gt;"",
    IF(OR(O2920="", Q2920="", R2920=""),
        "Fill all the required columns",
        IFERROR(
            IF(OR(
                AND(R2920="Marine Protected", VLOOKUP(O2920, Reference!$A$2:$D$34, 4, FALSE) &lt;= P2920),
                AND(R2920="General Use", VLOOKUP(O2920, Reference!$A$2:$D$34, 3, FALSE) &lt;= P2920)
            ),
                "Exceeded",
                "OK"
            ),
            "No Regulation defined"
        )
    ),
    ""
)</f>
        <v/>
      </c>
      <c r="AB2920" s="62" t="str">
        <f t="shared" si="45"/>
        <v/>
      </c>
    </row>
    <row r="2921" spans="20:28" x14ac:dyDescent="0.2">
      <c r="T2921" s="60" t="str">
        <f>IF(P2921&lt;&gt;"",
    IF(OR(O2921="", Q2921="", R2921=""),
        "Fill all the required columns",
        IFERROR(
            IF(OR(
                AND(R2921="Marine Protected", VLOOKUP(O2921, Reference!$A$2:$D$34, 4, FALSE) &lt;= P2921),
                AND(R2921="General Use", VLOOKUP(O2921, Reference!$A$2:$D$34, 3, FALSE) &lt;= P2921)
            ),
                "Exceeded",
                "OK"
            ),
            "No Regulation defined"
        )
    ),
    ""
)</f>
        <v/>
      </c>
      <c r="AB2921" s="62" t="str">
        <f t="shared" si="45"/>
        <v/>
      </c>
    </row>
    <row r="2922" spans="20:28" x14ac:dyDescent="0.2">
      <c r="T2922" s="60" t="str">
        <f>IF(P2922&lt;&gt;"",
    IF(OR(O2922="", Q2922="", R2922=""),
        "Fill all the required columns",
        IFERROR(
            IF(OR(
                AND(R2922="Marine Protected", VLOOKUP(O2922, Reference!$A$2:$D$34, 4, FALSE) &lt;= P2922),
                AND(R2922="General Use", VLOOKUP(O2922, Reference!$A$2:$D$34, 3, FALSE) &lt;= P2922)
            ),
                "Exceeded",
                "OK"
            ),
            "No Regulation defined"
        )
    ),
    ""
)</f>
        <v/>
      </c>
      <c r="AB2922" s="62" t="str">
        <f t="shared" si="45"/>
        <v/>
      </c>
    </row>
    <row r="2923" spans="20:28" x14ac:dyDescent="0.2">
      <c r="T2923" s="60" t="str">
        <f>IF(P2923&lt;&gt;"",
    IF(OR(O2923="", Q2923="", R2923=""),
        "Fill all the required columns",
        IFERROR(
            IF(OR(
                AND(R2923="Marine Protected", VLOOKUP(O2923, Reference!$A$2:$D$34, 4, FALSE) &lt;= P2923),
                AND(R2923="General Use", VLOOKUP(O2923, Reference!$A$2:$D$34, 3, FALSE) &lt;= P2923)
            ),
                "Exceeded",
                "OK"
            ),
            "No Regulation defined"
        )
    ),
    ""
)</f>
        <v/>
      </c>
      <c r="AB2923" s="62" t="str">
        <f t="shared" si="45"/>
        <v/>
      </c>
    </row>
    <row r="2924" spans="20:28" x14ac:dyDescent="0.2">
      <c r="T2924" s="60" t="str">
        <f>IF(P2924&lt;&gt;"",
    IF(OR(O2924="", Q2924="", R2924=""),
        "Fill all the required columns",
        IFERROR(
            IF(OR(
                AND(R2924="Marine Protected", VLOOKUP(O2924, Reference!$A$2:$D$34, 4, FALSE) &lt;= P2924),
                AND(R2924="General Use", VLOOKUP(O2924, Reference!$A$2:$D$34, 3, FALSE) &lt;= P2924)
            ),
                "Exceeded",
                "OK"
            ),
            "No Regulation defined"
        )
    ),
    ""
)</f>
        <v/>
      </c>
      <c r="AB2924" s="62" t="str">
        <f t="shared" si="45"/>
        <v/>
      </c>
    </row>
    <row r="2925" spans="20:28" x14ac:dyDescent="0.2">
      <c r="T2925" s="60" t="str">
        <f>IF(P2925&lt;&gt;"",
    IF(OR(O2925="", Q2925="", R2925=""),
        "Fill all the required columns",
        IFERROR(
            IF(OR(
                AND(R2925="Marine Protected", VLOOKUP(O2925, Reference!$A$2:$D$34, 4, FALSE) &lt;= P2925),
                AND(R2925="General Use", VLOOKUP(O2925, Reference!$A$2:$D$34, 3, FALSE) &lt;= P2925)
            ),
                "Exceeded",
                "OK"
            ),
            "No Regulation defined"
        )
    ),
    ""
)</f>
        <v/>
      </c>
      <c r="AB2925" s="62" t="str">
        <f t="shared" si="45"/>
        <v/>
      </c>
    </row>
    <row r="2926" spans="20:28" x14ac:dyDescent="0.2">
      <c r="T2926" s="60" t="str">
        <f>IF(P2926&lt;&gt;"",
    IF(OR(O2926="", Q2926="", R2926=""),
        "Fill all the required columns",
        IFERROR(
            IF(OR(
                AND(R2926="Marine Protected", VLOOKUP(O2926, Reference!$A$2:$D$34, 4, FALSE) &lt;= P2926),
                AND(R2926="General Use", VLOOKUP(O2926, Reference!$A$2:$D$34, 3, FALSE) &lt;= P2926)
            ),
                "Exceeded",
                "OK"
            ),
            "No Regulation defined"
        )
    ),
    ""
)</f>
        <v/>
      </c>
      <c r="AB2926" s="62" t="str">
        <f t="shared" si="45"/>
        <v/>
      </c>
    </row>
    <row r="2927" spans="20:28" x14ac:dyDescent="0.2">
      <c r="T2927" s="60" t="str">
        <f>IF(P2927&lt;&gt;"",
    IF(OR(O2927="", Q2927="", R2927=""),
        "Fill all the required columns",
        IFERROR(
            IF(OR(
                AND(R2927="Marine Protected", VLOOKUP(O2927, Reference!$A$2:$D$34, 4, FALSE) &lt;= P2927),
                AND(R2927="General Use", VLOOKUP(O2927, Reference!$A$2:$D$34, 3, FALSE) &lt;= P2927)
            ),
                "Exceeded",
                "OK"
            ),
            "No Regulation defined"
        )
    ),
    ""
)</f>
        <v/>
      </c>
      <c r="AB2927" s="62" t="str">
        <f t="shared" si="45"/>
        <v/>
      </c>
    </row>
    <row r="2928" spans="20:28" x14ac:dyDescent="0.2">
      <c r="T2928" s="60" t="str">
        <f>IF(P2928&lt;&gt;"",
    IF(OR(O2928="", Q2928="", R2928=""),
        "Fill all the required columns",
        IFERROR(
            IF(OR(
                AND(R2928="Marine Protected", VLOOKUP(O2928, Reference!$A$2:$D$34, 4, FALSE) &lt;= P2928),
                AND(R2928="General Use", VLOOKUP(O2928, Reference!$A$2:$D$34, 3, FALSE) &lt;= P2928)
            ),
                "Exceeded",
                "OK"
            ),
            "No Regulation defined"
        )
    ),
    ""
)</f>
        <v/>
      </c>
      <c r="AB2928" s="62" t="str">
        <f t="shared" si="45"/>
        <v/>
      </c>
    </row>
    <row r="2929" spans="20:28" x14ac:dyDescent="0.2">
      <c r="T2929" s="60" t="str">
        <f>IF(P2929&lt;&gt;"",
    IF(OR(O2929="", Q2929="", R2929=""),
        "Fill all the required columns",
        IFERROR(
            IF(OR(
                AND(R2929="Marine Protected", VLOOKUP(O2929, Reference!$A$2:$D$34, 4, FALSE) &lt;= P2929),
                AND(R2929="General Use", VLOOKUP(O2929, Reference!$A$2:$D$34, 3, FALSE) &lt;= P2929)
            ),
                "Exceeded",
                "OK"
            ),
            "No Regulation defined"
        )
    ),
    ""
)</f>
        <v/>
      </c>
      <c r="AB2929" s="62" t="str">
        <f t="shared" si="45"/>
        <v/>
      </c>
    </row>
    <row r="2930" spans="20:28" x14ac:dyDescent="0.2">
      <c r="T2930" s="60" t="str">
        <f>IF(P2930&lt;&gt;"",
    IF(OR(O2930="", Q2930="", R2930=""),
        "Fill all the required columns",
        IFERROR(
            IF(OR(
                AND(R2930="Marine Protected", VLOOKUP(O2930, Reference!$A$2:$D$34, 4, FALSE) &lt;= P2930),
                AND(R2930="General Use", VLOOKUP(O2930, Reference!$A$2:$D$34, 3, FALSE) &lt;= P2930)
            ),
                "Exceeded",
                "OK"
            ),
            "No Regulation defined"
        )
    ),
    ""
)</f>
        <v/>
      </c>
      <c r="AB2930" s="62" t="str">
        <f t="shared" si="45"/>
        <v/>
      </c>
    </row>
    <row r="2931" spans="20:28" x14ac:dyDescent="0.2">
      <c r="T2931" s="60" t="str">
        <f>IF(P2931&lt;&gt;"",
    IF(OR(O2931="", Q2931="", R2931=""),
        "Fill all the required columns",
        IFERROR(
            IF(OR(
                AND(R2931="Marine Protected", VLOOKUP(O2931, Reference!$A$2:$D$34, 4, FALSE) &lt;= P2931),
                AND(R2931="General Use", VLOOKUP(O2931, Reference!$A$2:$D$34, 3, FALSE) &lt;= P2931)
            ),
                "Exceeded",
                "OK"
            ),
            "No Regulation defined"
        )
    ),
    ""
)</f>
        <v/>
      </c>
      <c r="AB2931" s="62" t="str">
        <f t="shared" si="45"/>
        <v/>
      </c>
    </row>
    <row r="2932" spans="20:28" x14ac:dyDescent="0.2">
      <c r="T2932" s="60" t="str">
        <f>IF(P2932&lt;&gt;"",
    IF(OR(O2932="", Q2932="", R2932=""),
        "Fill all the required columns",
        IFERROR(
            IF(OR(
                AND(R2932="Marine Protected", VLOOKUP(O2932, Reference!$A$2:$D$34, 4, FALSE) &lt;= P2932),
                AND(R2932="General Use", VLOOKUP(O2932, Reference!$A$2:$D$34, 3, FALSE) &lt;= P2932)
            ),
                "Exceeded",
                "OK"
            ),
            "No Regulation defined"
        )
    ),
    ""
)</f>
        <v/>
      </c>
      <c r="AB2932" s="62" t="str">
        <f t="shared" si="45"/>
        <v/>
      </c>
    </row>
    <row r="2933" spans="20:28" x14ac:dyDescent="0.2">
      <c r="T2933" s="60" t="str">
        <f>IF(P2933&lt;&gt;"",
    IF(OR(O2933="", Q2933="", R2933=""),
        "Fill all the required columns",
        IFERROR(
            IF(OR(
                AND(R2933="Marine Protected", VLOOKUP(O2933, Reference!$A$2:$D$34, 4, FALSE) &lt;= P2933),
                AND(R2933="General Use", VLOOKUP(O2933, Reference!$A$2:$D$34, 3, FALSE) &lt;= P2933)
            ),
                "Exceeded",
                "OK"
            ),
            "No Regulation defined"
        )
    ),
    ""
)</f>
        <v/>
      </c>
      <c r="AB2933" s="62" t="str">
        <f t="shared" si="45"/>
        <v/>
      </c>
    </row>
    <row r="2934" spans="20:28" x14ac:dyDescent="0.2">
      <c r="T2934" s="60" t="str">
        <f>IF(P2934&lt;&gt;"",
    IF(OR(O2934="", Q2934="", R2934=""),
        "Fill all the required columns",
        IFERROR(
            IF(OR(
                AND(R2934="Marine Protected", VLOOKUP(O2934, Reference!$A$2:$D$34, 4, FALSE) &lt;= P2934),
                AND(R2934="General Use", VLOOKUP(O2934, Reference!$A$2:$D$34, 3, FALSE) &lt;= P2934)
            ),
                "Exceeded",
                "OK"
            ),
            "No Regulation defined"
        )
    ),
    ""
)</f>
        <v/>
      </c>
      <c r="AB2934" s="62" t="str">
        <f t="shared" si="45"/>
        <v/>
      </c>
    </row>
    <row r="2935" spans="20:28" x14ac:dyDescent="0.2">
      <c r="T2935" s="60" t="str">
        <f>IF(P2935&lt;&gt;"",
    IF(OR(O2935="", Q2935="", R2935=""),
        "Fill all the required columns",
        IFERROR(
            IF(OR(
                AND(R2935="Marine Protected", VLOOKUP(O2935, Reference!$A$2:$D$34, 4, FALSE) &lt;= P2935),
                AND(R2935="General Use", VLOOKUP(O2935, Reference!$A$2:$D$34, 3, FALSE) &lt;= P2935)
            ),
                "Exceeded",
                "OK"
            ),
            "No Regulation defined"
        )
    ),
    ""
)</f>
        <v/>
      </c>
      <c r="AB2935" s="62" t="str">
        <f t="shared" si="45"/>
        <v/>
      </c>
    </row>
    <row r="2936" spans="20:28" x14ac:dyDescent="0.2">
      <c r="T2936" s="60" t="str">
        <f>IF(P2936&lt;&gt;"",
    IF(OR(O2936="", Q2936="", R2936=""),
        "Fill all the required columns",
        IFERROR(
            IF(OR(
                AND(R2936="Marine Protected", VLOOKUP(O2936, Reference!$A$2:$D$34, 4, FALSE) &lt;= P2936),
                AND(R2936="General Use", VLOOKUP(O2936, Reference!$A$2:$D$34, 3, FALSE) &lt;= P2936)
            ),
                "Exceeded",
                "OK"
            ),
            "No Regulation defined"
        )
    ),
    ""
)</f>
        <v/>
      </c>
      <c r="AB2936" s="62" t="str">
        <f t="shared" si="45"/>
        <v/>
      </c>
    </row>
    <row r="2937" spans="20:28" x14ac:dyDescent="0.2">
      <c r="T2937" s="60" t="str">
        <f>IF(P2937&lt;&gt;"",
    IF(OR(O2937="", Q2937="", R2937=""),
        "Fill all the required columns",
        IFERROR(
            IF(OR(
                AND(R2937="Marine Protected", VLOOKUP(O2937, Reference!$A$2:$D$34, 4, FALSE) &lt;= P2937),
                AND(R2937="General Use", VLOOKUP(O2937, Reference!$A$2:$D$34, 3, FALSE) &lt;= P2937)
            ),
                "Exceeded",
                "OK"
            ),
            "No Regulation defined"
        )
    ),
    ""
)</f>
        <v/>
      </c>
      <c r="AB2937" s="62" t="str">
        <f t="shared" si="45"/>
        <v/>
      </c>
    </row>
    <row r="2938" spans="20:28" x14ac:dyDescent="0.2">
      <c r="T2938" s="60" t="str">
        <f>IF(P2938&lt;&gt;"",
    IF(OR(O2938="", Q2938="", R2938=""),
        "Fill all the required columns",
        IFERROR(
            IF(OR(
                AND(R2938="Marine Protected", VLOOKUP(O2938, Reference!$A$2:$D$34, 4, FALSE) &lt;= P2938),
                AND(R2938="General Use", VLOOKUP(O2938, Reference!$A$2:$D$34, 3, FALSE) &lt;= P2938)
            ),
                "Exceeded",
                "OK"
            ),
            "No Regulation defined"
        )
    ),
    ""
)</f>
        <v/>
      </c>
      <c r="AB2938" s="62" t="str">
        <f t="shared" si="45"/>
        <v/>
      </c>
    </row>
    <row r="2939" spans="20:28" x14ac:dyDescent="0.2">
      <c r="T2939" s="60" t="str">
        <f>IF(P2939&lt;&gt;"",
    IF(OR(O2939="", Q2939="", R2939=""),
        "Fill all the required columns",
        IFERROR(
            IF(OR(
                AND(R2939="Marine Protected", VLOOKUP(O2939, Reference!$A$2:$D$34, 4, FALSE) &lt;= P2939),
                AND(R2939="General Use", VLOOKUP(O2939, Reference!$A$2:$D$34, 3, FALSE) &lt;= P2939)
            ),
                "Exceeded",
                "OK"
            ),
            "No Regulation defined"
        )
    ),
    ""
)</f>
        <v/>
      </c>
      <c r="AB2939" s="62" t="str">
        <f t="shared" si="45"/>
        <v/>
      </c>
    </row>
    <row r="2940" spans="20:28" x14ac:dyDescent="0.2">
      <c r="T2940" s="60" t="str">
        <f>IF(P2940&lt;&gt;"",
    IF(OR(O2940="", Q2940="", R2940=""),
        "Fill all the required columns",
        IFERROR(
            IF(OR(
                AND(R2940="Marine Protected", VLOOKUP(O2940, Reference!$A$2:$D$34, 4, FALSE) &lt;= P2940),
                AND(R2940="General Use", VLOOKUP(O2940, Reference!$A$2:$D$34, 3, FALSE) &lt;= P2940)
            ),
                "Exceeded",
                "OK"
            ),
            "No Regulation defined"
        )
    ),
    ""
)</f>
        <v/>
      </c>
      <c r="AB2940" s="62" t="str">
        <f t="shared" si="45"/>
        <v/>
      </c>
    </row>
    <row r="2941" spans="20:28" x14ac:dyDescent="0.2">
      <c r="T2941" s="60" t="str">
        <f>IF(P2941&lt;&gt;"",
    IF(OR(O2941="", Q2941="", R2941=""),
        "Fill all the required columns",
        IFERROR(
            IF(OR(
                AND(R2941="Marine Protected", VLOOKUP(O2941, Reference!$A$2:$D$34, 4, FALSE) &lt;= P2941),
                AND(R2941="General Use", VLOOKUP(O2941, Reference!$A$2:$D$34, 3, FALSE) &lt;= P2941)
            ),
                "Exceeded",
                "OK"
            ),
            "No Regulation defined"
        )
    ),
    ""
)</f>
        <v/>
      </c>
      <c r="AB2941" s="62" t="str">
        <f t="shared" si="45"/>
        <v/>
      </c>
    </row>
    <row r="2942" spans="20:28" x14ac:dyDescent="0.2">
      <c r="T2942" s="60" t="str">
        <f>IF(P2942&lt;&gt;"",
    IF(OR(O2942="", Q2942="", R2942=""),
        "Fill all the required columns",
        IFERROR(
            IF(OR(
                AND(R2942="Marine Protected", VLOOKUP(O2942, Reference!$A$2:$D$34, 4, FALSE) &lt;= P2942),
                AND(R2942="General Use", VLOOKUP(O2942, Reference!$A$2:$D$34, 3, FALSE) &lt;= P2942)
            ),
                "Exceeded",
                "OK"
            ),
            "No Regulation defined"
        )
    ),
    ""
)</f>
        <v/>
      </c>
      <c r="AB2942" s="62" t="str">
        <f t="shared" si="45"/>
        <v/>
      </c>
    </row>
    <row r="2943" spans="20:28" x14ac:dyDescent="0.2">
      <c r="T2943" s="60" t="str">
        <f>IF(P2943&lt;&gt;"",
    IF(OR(O2943="", Q2943="", R2943=""),
        "Fill all the required columns",
        IFERROR(
            IF(OR(
                AND(R2943="Marine Protected", VLOOKUP(O2943, Reference!$A$2:$D$34, 4, FALSE) &lt;= P2943),
                AND(R2943="General Use", VLOOKUP(O2943, Reference!$A$2:$D$34, 3, FALSE) &lt;= P2943)
            ),
                "Exceeded",
                "OK"
            ),
            "No Regulation defined"
        )
    ),
    ""
)</f>
        <v/>
      </c>
      <c r="AB2943" s="62" t="str">
        <f t="shared" si="45"/>
        <v/>
      </c>
    </row>
    <row r="2944" spans="20:28" x14ac:dyDescent="0.2">
      <c r="T2944" s="60" t="str">
        <f>IF(P2944&lt;&gt;"",
    IF(OR(O2944="", Q2944="", R2944=""),
        "Fill all the required columns",
        IFERROR(
            IF(OR(
                AND(R2944="Marine Protected", VLOOKUP(O2944, Reference!$A$2:$D$34, 4, FALSE) &lt;= P2944),
                AND(R2944="General Use", VLOOKUP(O2944, Reference!$A$2:$D$34, 3, FALSE) &lt;= P2944)
            ),
                "Exceeded",
                "OK"
            ),
            "No Regulation defined"
        )
    ),
    ""
)</f>
        <v/>
      </c>
      <c r="AB2944" s="62" t="str">
        <f t="shared" si="45"/>
        <v/>
      </c>
    </row>
    <row r="2945" spans="20:28" x14ac:dyDescent="0.2">
      <c r="T2945" s="60" t="str">
        <f>IF(P2945&lt;&gt;"",
    IF(OR(O2945="", Q2945="", R2945=""),
        "Fill all the required columns",
        IFERROR(
            IF(OR(
                AND(R2945="Marine Protected", VLOOKUP(O2945, Reference!$A$2:$D$34, 4, FALSE) &lt;= P2945),
                AND(R2945="General Use", VLOOKUP(O2945, Reference!$A$2:$D$34, 3, FALSE) &lt;= P2945)
            ),
                "Exceeded",
                "OK"
            ),
            "No Regulation defined"
        )
    ),
    ""
)</f>
        <v/>
      </c>
      <c r="AB2945" s="62" t="str">
        <f t="shared" si="45"/>
        <v/>
      </c>
    </row>
    <row r="2946" spans="20:28" x14ac:dyDescent="0.2">
      <c r="T2946" s="60" t="str">
        <f>IF(P2946&lt;&gt;"",
    IF(OR(O2946="", Q2946="", R2946=""),
        "Fill all the required columns",
        IFERROR(
            IF(OR(
                AND(R2946="Marine Protected", VLOOKUP(O2946, Reference!$A$2:$D$34, 4, FALSE) &lt;= P2946),
                AND(R2946="General Use", VLOOKUP(O2946, Reference!$A$2:$D$34, 3, FALSE) &lt;= P2946)
            ),
                "Exceeded",
                "OK"
            ),
            "No Regulation defined"
        )
    ),
    ""
)</f>
        <v/>
      </c>
      <c r="AB2946" s="62" t="str">
        <f t="shared" si="45"/>
        <v/>
      </c>
    </row>
    <row r="2947" spans="20:28" x14ac:dyDescent="0.2">
      <c r="T2947" s="60" t="str">
        <f>IF(P2947&lt;&gt;"",
    IF(OR(O2947="", Q2947="", R2947=""),
        "Fill all the required columns",
        IFERROR(
            IF(OR(
                AND(R2947="Marine Protected", VLOOKUP(O2947, Reference!$A$2:$D$34, 4, FALSE) &lt;= P2947),
                AND(R2947="General Use", VLOOKUP(O2947, Reference!$A$2:$D$34, 3, FALSE) &lt;= P2947)
            ),
                "Exceeded",
                "OK"
            ),
            "No Regulation defined"
        )
    ),
    ""
)</f>
        <v/>
      </c>
      <c r="AB2947" s="62" t="str">
        <f t="shared" ref="AB2947:AB3010" si="46">IF(COUNTA(A2947, E2947, F2947, H2947, I2947, O2947, P2947, Q2947, R2947,S2947) = 0, "", IF(COUNTA(A2947, E2947, F2947, H2947, I2947, O2947, P2947, Q2947, R2947,S2947) = 10, "OK", "Incomplete"))</f>
        <v/>
      </c>
    </row>
    <row r="2948" spans="20:28" x14ac:dyDescent="0.2">
      <c r="T2948" s="60" t="str">
        <f>IF(P2948&lt;&gt;"",
    IF(OR(O2948="", Q2948="", R2948=""),
        "Fill all the required columns",
        IFERROR(
            IF(OR(
                AND(R2948="Marine Protected", VLOOKUP(O2948, Reference!$A$2:$D$34, 4, FALSE) &lt;= P2948),
                AND(R2948="General Use", VLOOKUP(O2948, Reference!$A$2:$D$34, 3, FALSE) &lt;= P2948)
            ),
                "Exceeded",
                "OK"
            ),
            "No Regulation defined"
        )
    ),
    ""
)</f>
        <v/>
      </c>
      <c r="AB2948" s="62" t="str">
        <f t="shared" si="46"/>
        <v/>
      </c>
    </row>
    <row r="2949" spans="20:28" x14ac:dyDescent="0.2">
      <c r="T2949" s="60" t="str">
        <f>IF(P2949&lt;&gt;"",
    IF(OR(O2949="", Q2949="", R2949=""),
        "Fill all the required columns",
        IFERROR(
            IF(OR(
                AND(R2949="Marine Protected", VLOOKUP(O2949, Reference!$A$2:$D$34, 4, FALSE) &lt;= P2949),
                AND(R2949="General Use", VLOOKUP(O2949, Reference!$A$2:$D$34, 3, FALSE) &lt;= P2949)
            ),
                "Exceeded",
                "OK"
            ),
            "No Regulation defined"
        )
    ),
    ""
)</f>
        <v/>
      </c>
      <c r="AB2949" s="62" t="str">
        <f t="shared" si="46"/>
        <v/>
      </c>
    </row>
    <row r="2950" spans="20:28" x14ac:dyDescent="0.2">
      <c r="T2950" s="60" t="str">
        <f>IF(P2950&lt;&gt;"",
    IF(OR(O2950="", Q2950="", R2950=""),
        "Fill all the required columns",
        IFERROR(
            IF(OR(
                AND(R2950="Marine Protected", VLOOKUP(O2950, Reference!$A$2:$D$34, 4, FALSE) &lt;= P2950),
                AND(R2950="General Use", VLOOKUP(O2950, Reference!$A$2:$D$34, 3, FALSE) &lt;= P2950)
            ),
                "Exceeded",
                "OK"
            ),
            "No Regulation defined"
        )
    ),
    ""
)</f>
        <v/>
      </c>
      <c r="AB2950" s="62" t="str">
        <f t="shared" si="46"/>
        <v/>
      </c>
    </row>
    <row r="2951" spans="20:28" x14ac:dyDescent="0.2">
      <c r="T2951" s="60" t="str">
        <f>IF(P2951&lt;&gt;"",
    IF(OR(O2951="", Q2951="", R2951=""),
        "Fill all the required columns",
        IFERROR(
            IF(OR(
                AND(R2951="Marine Protected", VLOOKUP(O2951, Reference!$A$2:$D$34, 4, FALSE) &lt;= P2951),
                AND(R2951="General Use", VLOOKUP(O2951, Reference!$A$2:$D$34, 3, FALSE) &lt;= P2951)
            ),
                "Exceeded",
                "OK"
            ),
            "No Regulation defined"
        )
    ),
    ""
)</f>
        <v/>
      </c>
      <c r="AB2951" s="62" t="str">
        <f t="shared" si="46"/>
        <v/>
      </c>
    </row>
    <row r="2952" spans="20:28" x14ac:dyDescent="0.2">
      <c r="T2952" s="60" t="str">
        <f>IF(P2952&lt;&gt;"",
    IF(OR(O2952="", Q2952="", R2952=""),
        "Fill all the required columns",
        IFERROR(
            IF(OR(
                AND(R2952="Marine Protected", VLOOKUP(O2952, Reference!$A$2:$D$34, 4, FALSE) &lt;= P2952),
                AND(R2952="General Use", VLOOKUP(O2952, Reference!$A$2:$D$34, 3, FALSE) &lt;= P2952)
            ),
                "Exceeded",
                "OK"
            ),
            "No Regulation defined"
        )
    ),
    ""
)</f>
        <v/>
      </c>
      <c r="AB2952" s="62" t="str">
        <f t="shared" si="46"/>
        <v/>
      </c>
    </row>
    <row r="2953" spans="20:28" x14ac:dyDescent="0.2">
      <c r="T2953" s="60" t="str">
        <f>IF(P2953&lt;&gt;"",
    IF(OR(O2953="", Q2953="", R2953=""),
        "Fill all the required columns",
        IFERROR(
            IF(OR(
                AND(R2953="Marine Protected", VLOOKUP(O2953, Reference!$A$2:$D$34, 4, FALSE) &lt;= P2953),
                AND(R2953="General Use", VLOOKUP(O2953, Reference!$A$2:$D$34, 3, FALSE) &lt;= P2953)
            ),
                "Exceeded",
                "OK"
            ),
            "No Regulation defined"
        )
    ),
    ""
)</f>
        <v/>
      </c>
      <c r="AB2953" s="62" t="str">
        <f t="shared" si="46"/>
        <v/>
      </c>
    </row>
    <row r="2954" spans="20:28" x14ac:dyDescent="0.2">
      <c r="T2954" s="60" t="str">
        <f>IF(P2954&lt;&gt;"",
    IF(OR(O2954="", Q2954="", R2954=""),
        "Fill all the required columns",
        IFERROR(
            IF(OR(
                AND(R2954="Marine Protected", VLOOKUP(O2954, Reference!$A$2:$D$34, 4, FALSE) &lt;= P2954),
                AND(R2954="General Use", VLOOKUP(O2954, Reference!$A$2:$D$34, 3, FALSE) &lt;= P2954)
            ),
                "Exceeded",
                "OK"
            ),
            "No Regulation defined"
        )
    ),
    ""
)</f>
        <v/>
      </c>
      <c r="AB2954" s="62" t="str">
        <f t="shared" si="46"/>
        <v/>
      </c>
    </row>
    <row r="2955" spans="20:28" x14ac:dyDescent="0.2">
      <c r="T2955" s="60" t="str">
        <f>IF(P2955&lt;&gt;"",
    IF(OR(O2955="", Q2955="", R2955=""),
        "Fill all the required columns",
        IFERROR(
            IF(OR(
                AND(R2955="Marine Protected", VLOOKUP(O2955, Reference!$A$2:$D$34, 4, FALSE) &lt;= P2955),
                AND(R2955="General Use", VLOOKUP(O2955, Reference!$A$2:$D$34, 3, FALSE) &lt;= P2955)
            ),
                "Exceeded",
                "OK"
            ),
            "No Regulation defined"
        )
    ),
    ""
)</f>
        <v/>
      </c>
      <c r="AB2955" s="62" t="str">
        <f t="shared" si="46"/>
        <v/>
      </c>
    </row>
    <row r="2956" spans="20:28" x14ac:dyDescent="0.2">
      <c r="T2956" s="60" t="str">
        <f>IF(P2956&lt;&gt;"",
    IF(OR(O2956="", Q2956="", R2956=""),
        "Fill all the required columns",
        IFERROR(
            IF(OR(
                AND(R2956="Marine Protected", VLOOKUP(O2956, Reference!$A$2:$D$34, 4, FALSE) &lt;= P2956),
                AND(R2956="General Use", VLOOKUP(O2956, Reference!$A$2:$D$34, 3, FALSE) &lt;= P2956)
            ),
                "Exceeded",
                "OK"
            ),
            "No Regulation defined"
        )
    ),
    ""
)</f>
        <v/>
      </c>
      <c r="AB2956" s="62" t="str">
        <f t="shared" si="46"/>
        <v/>
      </c>
    </row>
    <row r="2957" spans="20:28" x14ac:dyDescent="0.2">
      <c r="T2957" s="60" t="str">
        <f>IF(P2957&lt;&gt;"",
    IF(OR(O2957="", Q2957="", R2957=""),
        "Fill all the required columns",
        IFERROR(
            IF(OR(
                AND(R2957="Marine Protected", VLOOKUP(O2957, Reference!$A$2:$D$34, 4, FALSE) &lt;= P2957),
                AND(R2957="General Use", VLOOKUP(O2957, Reference!$A$2:$D$34, 3, FALSE) &lt;= P2957)
            ),
                "Exceeded",
                "OK"
            ),
            "No Regulation defined"
        )
    ),
    ""
)</f>
        <v/>
      </c>
      <c r="AB2957" s="62" t="str">
        <f t="shared" si="46"/>
        <v/>
      </c>
    </row>
    <row r="2958" spans="20:28" x14ac:dyDescent="0.2">
      <c r="T2958" s="60" t="str">
        <f>IF(P2958&lt;&gt;"",
    IF(OR(O2958="", Q2958="", R2958=""),
        "Fill all the required columns",
        IFERROR(
            IF(OR(
                AND(R2958="Marine Protected", VLOOKUP(O2958, Reference!$A$2:$D$34, 4, FALSE) &lt;= P2958),
                AND(R2958="General Use", VLOOKUP(O2958, Reference!$A$2:$D$34, 3, FALSE) &lt;= P2958)
            ),
                "Exceeded",
                "OK"
            ),
            "No Regulation defined"
        )
    ),
    ""
)</f>
        <v/>
      </c>
      <c r="AB2958" s="62" t="str">
        <f t="shared" si="46"/>
        <v/>
      </c>
    </row>
    <row r="2959" spans="20:28" x14ac:dyDescent="0.2">
      <c r="T2959" s="60" t="str">
        <f>IF(P2959&lt;&gt;"",
    IF(OR(O2959="", Q2959="", R2959=""),
        "Fill all the required columns",
        IFERROR(
            IF(OR(
                AND(R2959="Marine Protected", VLOOKUP(O2959, Reference!$A$2:$D$34, 4, FALSE) &lt;= P2959),
                AND(R2959="General Use", VLOOKUP(O2959, Reference!$A$2:$D$34, 3, FALSE) &lt;= P2959)
            ),
                "Exceeded",
                "OK"
            ),
            "No Regulation defined"
        )
    ),
    ""
)</f>
        <v/>
      </c>
      <c r="AB2959" s="62" t="str">
        <f t="shared" si="46"/>
        <v/>
      </c>
    </row>
    <row r="2960" spans="20:28" x14ac:dyDescent="0.2">
      <c r="T2960" s="60" t="str">
        <f>IF(P2960&lt;&gt;"",
    IF(OR(O2960="", Q2960="", R2960=""),
        "Fill all the required columns",
        IFERROR(
            IF(OR(
                AND(R2960="Marine Protected", VLOOKUP(O2960, Reference!$A$2:$D$34, 4, FALSE) &lt;= P2960),
                AND(R2960="General Use", VLOOKUP(O2960, Reference!$A$2:$D$34, 3, FALSE) &lt;= P2960)
            ),
                "Exceeded",
                "OK"
            ),
            "No Regulation defined"
        )
    ),
    ""
)</f>
        <v/>
      </c>
      <c r="AB2960" s="62" t="str">
        <f t="shared" si="46"/>
        <v/>
      </c>
    </row>
    <row r="2961" spans="20:28" x14ac:dyDescent="0.2">
      <c r="T2961" s="60" t="str">
        <f>IF(P2961&lt;&gt;"",
    IF(OR(O2961="", Q2961="", R2961=""),
        "Fill all the required columns",
        IFERROR(
            IF(OR(
                AND(R2961="Marine Protected", VLOOKUP(O2961, Reference!$A$2:$D$34, 4, FALSE) &lt;= P2961),
                AND(R2961="General Use", VLOOKUP(O2961, Reference!$A$2:$D$34, 3, FALSE) &lt;= P2961)
            ),
                "Exceeded",
                "OK"
            ),
            "No Regulation defined"
        )
    ),
    ""
)</f>
        <v/>
      </c>
      <c r="AB2961" s="62" t="str">
        <f t="shared" si="46"/>
        <v/>
      </c>
    </row>
    <row r="2962" spans="20:28" x14ac:dyDescent="0.2">
      <c r="T2962" s="60" t="str">
        <f>IF(P2962&lt;&gt;"",
    IF(OR(O2962="", Q2962="", R2962=""),
        "Fill all the required columns",
        IFERROR(
            IF(OR(
                AND(R2962="Marine Protected", VLOOKUP(O2962, Reference!$A$2:$D$34, 4, FALSE) &lt;= P2962),
                AND(R2962="General Use", VLOOKUP(O2962, Reference!$A$2:$D$34, 3, FALSE) &lt;= P2962)
            ),
                "Exceeded",
                "OK"
            ),
            "No Regulation defined"
        )
    ),
    ""
)</f>
        <v/>
      </c>
      <c r="AB2962" s="62" t="str">
        <f t="shared" si="46"/>
        <v/>
      </c>
    </row>
    <row r="2963" spans="20:28" x14ac:dyDescent="0.2">
      <c r="T2963" s="60" t="str">
        <f>IF(P2963&lt;&gt;"",
    IF(OR(O2963="", Q2963="", R2963=""),
        "Fill all the required columns",
        IFERROR(
            IF(OR(
                AND(R2963="Marine Protected", VLOOKUP(O2963, Reference!$A$2:$D$34, 4, FALSE) &lt;= P2963),
                AND(R2963="General Use", VLOOKUP(O2963, Reference!$A$2:$D$34, 3, FALSE) &lt;= P2963)
            ),
                "Exceeded",
                "OK"
            ),
            "No Regulation defined"
        )
    ),
    ""
)</f>
        <v/>
      </c>
      <c r="AB2963" s="62" t="str">
        <f t="shared" si="46"/>
        <v/>
      </c>
    </row>
    <row r="2964" spans="20:28" x14ac:dyDescent="0.2">
      <c r="T2964" s="60" t="str">
        <f>IF(P2964&lt;&gt;"",
    IF(OR(O2964="", Q2964="", R2964=""),
        "Fill all the required columns",
        IFERROR(
            IF(OR(
                AND(R2964="Marine Protected", VLOOKUP(O2964, Reference!$A$2:$D$34, 4, FALSE) &lt;= P2964),
                AND(R2964="General Use", VLOOKUP(O2964, Reference!$A$2:$D$34, 3, FALSE) &lt;= P2964)
            ),
                "Exceeded",
                "OK"
            ),
            "No Regulation defined"
        )
    ),
    ""
)</f>
        <v/>
      </c>
      <c r="AB2964" s="62" t="str">
        <f t="shared" si="46"/>
        <v/>
      </c>
    </row>
    <row r="2965" spans="20:28" x14ac:dyDescent="0.2">
      <c r="T2965" s="60" t="str">
        <f>IF(P2965&lt;&gt;"",
    IF(OR(O2965="", Q2965="", R2965=""),
        "Fill all the required columns",
        IFERROR(
            IF(OR(
                AND(R2965="Marine Protected", VLOOKUP(O2965, Reference!$A$2:$D$34, 4, FALSE) &lt;= P2965),
                AND(R2965="General Use", VLOOKUP(O2965, Reference!$A$2:$D$34, 3, FALSE) &lt;= P2965)
            ),
                "Exceeded",
                "OK"
            ),
            "No Regulation defined"
        )
    ),
    ""
)</f>
        <v/>
      </c>
      <c r="AB2965" s="62" t="str">
        <f t="shared" si="46"/>
        <v/>
      </c>
    </row>
    <row r="2966" spans="20:28" x14ac:dyDescent="0.2">
      <c r="T2966" s="60" t="str">
        <f>IF(P2966&lt;&gt;"",
    IF(OR(O2966="", Q2966="", R2966=""),
        "Fill all the required columns",
        IFERROR(
            IF(OR(
                AND(R2966="Marine Protected", VLOOKUP(O2966, Reference!$A$2:$D$34, 4, FALSE) &lt;= P2966),
                AND(R2966="General Use", VLOOKUP(O2966, Reference!$A$2:$D$34, 3, FALSE) &lt;= P2966)
            ),
                "Exceeded",
                "OK"
            ),
            "No Regulation defined"
        )
    ),
    ""
)</f>
        <v/>
      </c>
      <c r="AB2966" s="62" t="str">
        <f t="shared" si="46"/>
        <v/>
      </c>
    </row>
    <row r="2967" spans="20:28" x14ac:dyDescent="0.2">
      <c r="T2967" s="60" t="str">
        <f>IF(P2967&lt;&gt;"",
    IF(OR(O2967="", Q2967="", R2967=""),
        "Fill all the required columns",
        IFERROR(
            IF(OR(
                AND(R2967="Marine Protected", VLOOKUP(O2967, Reference!$A$2:$D$34, 4, FALSE) &lt;= P2967),
                AND(R2967="General Use", VLOOKUP(O2967, Reference!$A$2:$D$34, 3, FALSE) &lt;= P2967)
            ),
                "Exceeded",
                "OK"
            ),
            "No Regulation defined"
        )
    ),
    ""
)</f>
        <v/>
      </c>
      <c r="AB2967" s="62" t="str">
        <f t="shared" si="46"/>
        <v/>
      </c>
    </row>
    <row r="2968" spans="20:28" x14ac:dyDescent="0.2">
      <c r="T2968" s="60" t="str">
        <f>IF(P2968&lt;&gt;"",
    IF(OR(O2968="", Q2968="", R2968=""),
        "Fill all the required columns",
        IFERROR(
            IF(OR(
                AND(R2968="Marine Protected", VLOOKUP(O2968, Reference!$A$2:$D$34, 4, FALSE) &lt;= P2968),
                AND(R2968="General Use", VLOOKUP(O2968, Reference!$A$2:$D$34, 3, FALSE) &lt;= P2968)
            ),
                "Exceeded",
                "OK"
            ),
            "No Regulation defined"
        )
    ),
    ""
)</f>
        <v/>
      </c>
      <c r="AB2968" s="62" t="str">
        <f t="shared" si="46"/>
        <v/>
      </c>
    </row>
    <row r="2969" spans="20:28" x14ac:dyDescent="0.2">
      <c r="T2969" s="60" t="str">
        <f>IF(P2969&lt;&gt;"",
    IF(OR(O2969="", Q2969="", R2969=""),
        "Fill all the required columns",
        IFERROR(
            IF(OR(
                AND(R2969="Marine Protected", VLOOKUP(O2969, Reference!$A$2:$D$34, 4, FALSE) &lt;= P2969),
                AND(R2969="General Use", VLOOKUP(O2969, Reference!$A$2:$D$34, 3, FALSE) &lt;= P2969)
            ),
                "Exceeded",
                "OK"
            ),
            "No Regulation defined"
        )
    ),
    ""
)</f>
        <v/>
      </c>
      <c r="AB2969" s="62" t="str">
        <f t="shared" si="46"/>
        <v/>
      </c>
    </row>
    <row r="2970" spans="20:28" x14ac:dyDescent="0.2">
      <c r="T2970" s="60" t="str">
        <f>IF(P2970&lt;&gt;"",
    IF(OR(O2970="", Q2970="", R2970=""),
        "Fill all the required columns",
        IFERROR(
            IF(OR(
                AND(R2970="Marine Protected", VLOOKUP(O2970, Reference!$A$2:$D$34, 4, FALSE) &lt;= P2970),
                AND(R2970="General Use", VLOOKUP(O2970, Reference!$A$2:$D$34, 3, FALSE) &lt;= P2970)
            ),
                "Exceeded",
                "OK"
            ),
            "No Regulation defined"
        )
    ),
    ""
)</f>
        <v/>
      </c>
      <c r="AB2970" s="62" t="str">
        <f t="shared" si="46"/>
        <v/>
      </c>
    </row>
    <row r="2971" spans="20:28" x14ac:dyDescent="0.2">
      <c r="T2971" s="60" t="str">
        <f>IF(P2971&lt;&gt;"",
    IF(OR(O2971="", Q2971="", R2971=""),
        "Fill all the required columns",
        IFERROR(
            IF(OR(
                AND(R2971="Marine Protected", VLOOKUP(O2971, Reference!$A$2:$D$34, 4, FALSE) &lt;= P2971),
                AND(R2971="General Use", VLOOKUP(O2971, Reference!$A$2:$D$34, 3, FALSE) &lt;= P2971)
            ),
                "Exceeded",
                "OK"
            ),
            "No Regulation defined"
        )
    ),
    ""
)</f>
        <v/>
      </c>
      <c r="AB2971" s="62" t="str">
        <f t="shared" si="46"/>
        <v/>
      </c>
    </row>
    <row r="2972" spans="20:28" x14ac:dyDescent="0.2">
      <c r="T2972" s="60" t="str">
        <f>IF(P2972&lt;&gt;"",
    IF(OR(O2972="", Q2972="", R2972=""),
        "Fill all the required columns",
        IFERROR(
            IF(OR(
                AND(R2972="Marine Protected", VLOOKUP(O2972, Reference!$A$2:$D$34, 4, FALSE) &lt;= P2972),
                AND(R2972="General Use", VLOOKUP(O2972, Reference!$A$2:$D$34, 3, FALSE) &lt;= P2972)
            ),
                "Exceeded",
                "OK"
            ),
            "No Regulation defined"
        )
    ),
    ""
)</f>
        <v/>
      </c>
      <c r="AB2972" s="62" t="str">
        <f t="shared" si="46"/>
        <v/>
      </c>
    </row>
    <row r="2973" spans="20:28" x14ac:dyDescent="0.2">
      <c r="T2973" s="60" t="str">
        <f>IF(P2973&lt;&gt;"",
    IF(OR(O2973="", Q2973="", R2973=""),
        "Fill all the required columns",
        IFERROR(
            IF(OR(
                AND(R2973="Marine Protected", VLOOKUP(O2973, Reference!$A$2:$D$34, 4, FALSE) &lt;= P2973),
                AND(R2973="General Use", VLOOKUP(O2973, Reference!$A$2:$D$34, 3, FALSE) &lt;= P2973)
            ),
                "Exceeded",
                "OK"
            ),
            "No Regulation defined"
        )
    ),
    ""
)</f>
        <v/>
      </c>
      <c r="AB2973" s="62" t="str">
        <f t="shared" si="46"/>
        <v/>
      </c>
    </row>
    <row r="2974" spans="20:28" x14ac:dyDescent="0.2">
      <c r="T2974" s="60" t="str">
        <f>IF(P2974&lt;&gt;"",
    IF(OR(O2974="", Q2974="", R2974=""),
        "Fill all the required columns",
        IFERROR(
            IF(OR(
                AND(R2974="Marine Protected", VLOOKUP(O2974, Reference!$A$2:$D$34, 4, FALSE) &lt;= P2974),
                AND(R2974="General Use", VLOOKUP(O2974, Reference!$A$2:$D$34, 3, FALSE) &lt;= P2974)
            ),
                "Exceeded",
                "OK"
            ),
            "No Regulation defined"
        )
    ),
    ""
)</f>
        <v/>
      </c>
      <c r="AB2974" s="62" t="str">
        <f t="shared" si="46"/>
        <v/>
      </c>
    </row>
    <row r="2975" spans="20:28" x14ac:dyDescent="0.2">
      <c r="T2975" s="60" t="str">
        <f>IF(P2975&lt;&gt;"",
    IF(OR(O2975="", Q2975="", R2975=""),
        "Fill all the required columns",
        IFERROR(
            IF(OR(
                AND(R2975="Marine Protected", VLOOKUP(O2975, Reference!$A$2:$D$34, 4, FALSE) &lt;= P2975),
                AND(R2975="General Use", VLOOKUP(O2975, Reference!$A$2:$D$34, 3, FALSE) &lt;= P2975)
            ),
                "Exceeded",
                "OK"
            ),
            "No Regulation defined"
        )
    ),
    ""
)</f>
        <v/>
      </c>
      <c r="AB2975" s="62" t="str">
        <f t="shared" si="46"/>
        <v/>
      </c>
    </row>
    <row r="2976" spans="20:28" x14ac:dyDescent="0.2">
      <c r="T2976" s="60" t="str">
        <f>IF(P2976&lt;&gt;"",
    IF(OR(O2976="", Q2976="", R2976=""),
        "Fill all the required columns",
        IFERROR(
            IF(OR(
                AND(R2976="Marine Protected", VLOOKUP(O2976, Reference!$A$2:$D$34, 4, FALSE) &lt;= P2976),
                AND(R2976="General Use", VLOOKUP(O2976, Reference!$A$2:$D$34, 3, FALSE) &lt;= P2976)
            ),
                "Exceeded",
                "OK"
            ),
            "No Regulation defined"
        )
    ),
    ""
)</f>
        <v/>
      </c>
      <c r="AB2976" s="62" t="str">
        <f t="shared" si="46"/>
        <v/>
      </c>
    </row>
    <row r="2977" spans="20:28" x14ac:dyDescent="0.2">
      <c r="T2977" s="60" t="str">
        <f>IF(P2977&lt;&gt;"",
    IF(OR(O2977="", Q2977="", R2977=""),
        "Fill all the required columns",
        IFERROR(
            IF(OR(
                AND(R2977="Marine Protected", VLOOKUP(O2977, Reference!$A$2:$D$34, 4, FALSE) &lt;= P2977),
                AND(R2977="General Use", VLOOKUP(O2977, Reference!$A$2:$D$34, 3, FALSE) &lt;= P2977)
            ),
                "Exceeded",
                "OK"
            ),
            "No Regulation defined"
        )
    ),
    ""
)</f>
        <v/>
      </c>
      <c r="AB2977" s="62" t="str">
        <f t="shared" si="46"/>
        <v/>
      </c>
    </row>
    <row r="2978" spans="20:28" x14ac:dyDescent="0.2">
      <c r="T2978" s="60" t="str">
        <f>IF(P2978&lt;&gt;"",
    IF(OR(O2978="", Q2978="", R2978=""),
        "Fill all the required columns",
        IFERROR(
            IF(OR(
                AND(R2978="Marine Protected", VLOOKUP(O2978, Reference!$A$2:$D$34, 4, FALSE) &lt;= P2978),
                AND(R2978="General Use", VLOOKUP(O2978, Reference!$A$2:$D$34, 3, FALSE) &lt;= P2978)
            ),
                "Exceeded",
                "OK"
            ),
            "No Regulation defined"
        )
    ),
    ""
)</f>
        <v/>
      </c>
      <c r="AB2978" s="62" t="str">
        <f t="shared" si="46"/>
        <v/>
      </c>
    </row>
    <row r="2979" spans="20:28" x14ac:dyDescent="0.2">
      <c r="T2979" s="60" t="str">
        <f>IF(P2979&lt;&gt;"",
    IF(OR(O2979="", Q2979="", R2979=""),
        "Fill all the required columns",
        IFERROR(
            IF(OR(
                AND(R2979="Marine Protected", VLOOKUP(O2979, Reference!$A$2:$D$34, 4, FALSE) &lt;= P2979),
                AND(R2979="General Use", VLOOKUP(O2979, Reference!$A$2:$D$34, 3, FALSE) &lt;= P2979)
            ),
                "Exceeded",
                "OK"
            ),
            "No Regulation defined"
        )
    ),
    ""
)</f>
        <v/>
      </c>
      <c r="AB2979" s="62" t="str">
        <f t="shared" si="46"/>
        <v/>
      </c>
    </row>
    <row r="2980" spans="20:28" x14ac:dyDescent="0.2">
      <c r="T2980" s="60" t="str">
        <f>IF(P2980&lt;&gt;"",
    IF(OR(O2980="", Q2980="", R2980=""),
        "Fill all the required columns",
        IFERROR(
            IF(OR(
                AND(R2980="Marine Protected", VLOOKUP(O2980, Reference!$A$2:$D$34, 4, FALSE) &lt;= P2980),
                AND(R2980="General Use", VLOOKUP(O2980, Reference!$A$2:$D$34, 3, FALSE) &lt;= P2980)
            ),
                "Exceeded",
                "OK"
            ),
            "No Regulation defined"
        )
    ),
    ""
)</f>
        <v/>
      </c>
      <c r="AB2980" s="62" t="str">
        <f t="shared" si="46"/>
        <v/>
      </c>
    </row>
    <row r="2981" spans="20:28" x14ac:dyDescent="0.2">
      <c r="T2981" s="60" t="str">
        <f>IF(P2981&lt;&gt;"",
    IF(OR(O2981="", Q2981="", R2981=""),
        "Fill all the required columns",
        IFERROR(
            IF(OR(
                AND(R2981="Marine Protected", VLOOKUP(O2981, Reference!$A$2:$D$34, 4, FALSE) &lt;= P2981),
                AND(R2981="General Use", VLOOKUP(O2981, Reference!$A$2:$D$34, 3, FALSE) &lt;= P2981)
            ),
                "Exceeded",
                "OK"
            ),
            "No Regulation defined"
        )
    ),
    ""
)</f>
        <v/>
      </c>
      <c r="AB2981" s="62" t="str">
        <f t="shared" si="46"/>
        <v/>
      </c>
    </row>
    <row r="2982" spans="20:28" x14ac:dyDescent="0.2">
      <c r="T2982" s="60" t="str">
        <f>IF(P2982&lt;&gt;"",
    IF(OR(O2982="", Q2982="", R2982=""),
        "Fill all the required columns",
        IFERROR(
            IF(OR(
                AND(R2982="Marine Protected", VLOOKUP(O2982, Reference!$A$2:$D$34, 4, FALSE) &lt;= P2982),
                AND(R2982="General Use", VLOOKUP(O2982, Reference!$A$2:$D$34, 3, FALSE) &lt;= P2982)
            ),
                "Exceeded",
                "OK"
            ),
            "No Regulation defined"
        )
    ),
    ""
)</f>
        <v/>
      </c>
      <c r="AB2982" s="62" t="str">
        <f t="shared" si="46"/>
        <v/>
      </c>
    </row>
    <row r="2983" spans="20:28" x14ac:dyDescent="0.2">
      <c r="T2983" s="60" t="str">
        <f>IF(P2983&lt;&gt;"",
    IF(OR(O2983="", Q2983="", R2983=""),
        "Fill all the required columns",
        IFERROR(
            IF(OR(
                AND(R2983="Marine Protected", VLOOKUP(O2983, Reference!$A$2:$D$34, 4, FALSE) &lt;= P2983),
                AND(R2983="General Use", VLOOKUP(O2983, Reference!$A$2:$D$34, 3, FALSE) &lt;= P2983)
            ),
                "Exceeded",
                "OK"
            ),
            "No Regulation defined"
        )
    ),
    ""
)</f>
        <v/>
      </c>
      <c r="AB2983" s="62" t="str">
        <f t="shared" si="46"/>
        <v/>
      </c>
    </row>
    <row r="2984" spans="20:28" x14ac:dyDescent="0.2">
      <c r="T2984" s="60" t="str">
        <f>IF(P2984&lt;&gt;"",
    IF(OR(O2984="", Q2984="", R2984=""),
        "Fill all the required columns",
        IFERROR(
            IF(OR(
                AND(R2984="Marine Protected", VLOOKUP(O2984, Reference!$A$2:$D$34, 4, FALSE) &lt;= P2984),
                AND(R2984="General Use", VLOOKUP(O2984, Reference!$A$2:$D$34, 3, FALSE) &lt;= P2984)
            ),
                "Exceeded",
                "OK"
            ),
            "No Regulation defined"
        )
    ),
    ""
)</f>
        <v/>
      </c>
      <c r="AB2984" s="62" t="str">
        <f t="shared" si="46"/>
        <v/>
      </c>
    </row>
    <row r="2985" spans="20:28" x14ac:dyDescent="0.2">
      <c r="T2985" s="60" t="str">
        <f>IF(P2985&lt;&gt;"",
    IF(OR(O2985="", Q2985="", R2985=""),
        "Fill all the required columns",
        IFERROR(
            IF(OR(
                AND(R2985="Marine Protected", VLOOKUP(O2985, Reference!$A$2:$D$34, 4, FALSE) &lt;= P2985),
                AND(R2985="General Use", VLOOKUP(O2985, Reference!$A$2:$D$34, 3, FALSE) &lt;= P2985)
            ),
                "Exceeded",
                "OK"
            ),
            "No Regulation defined"
        )
    ),
    ""
)</f>
        <v/>
      </c>
      <c r="AB2985" s="62" t="str">
        <f t="shared" si="46"/>
        <v/>
      </c>
    </row>
    <row r="2986" spans="20:28" x14ac:dyDescent="0.2">
      <c r="T2986" s="60" t="str">
        <f>IF(P2986&lt;&gt;"",
    IF(OR(O2986="", Q2986="", R2986=""),
        "Fill all the required columns",
        IFERROR(
            IF(OR(
                AND(R2986="Marine Protected", VLOOKUP(O2986, Reference!$A$2:$D$34, 4, FALSE) &lt;= P2986),
                AND(R2986="General Use", VLOOKUP(O2986, Reference!$A$2:$D$34, 3, FALSE) &lt;= P2986)
            ),
                "Exceeded",
                "OK"
            ),
            "No Regulation defined"
        )
    ),
    ""
)</f>
        <v/>
      </c>
      <c r="AB2986" s="62" t="str">
        <f t="shared" si="46"/>
        <v/>
      </c>
    </row>
    <row r="2987" spans="20:28" x14ac:dyDescent="0.2">
      <c r="T2987" s="60" t="str">
        <f>IF(P2987&lt;&gt;"",
    IF(OR(O2987="", Q2987="", R2987=""),
        "Fill all the required columns",
        IFERROR(
            IF(OR(
                AND(R2987="Marine Protected", VLOOKUP(O2987, Reference!$A$2:$D$34, 4, FALSE) &lt;= P2987),
                AND(R2987="General Use", VLOOKUP(O2987, Reference!$A$2:$D$34, 3, FALSE) &lt;= P2987)
            ),
                "Exceeded",
                "OK"
            ),
            "No Regulation defined"
        )
    ),
    ""
)</f>
        <v/>
      </c>
      <c r="AB2987" s="62" t="str">
        <f t="shared" si="46"/>
        <v/>
      </c>
    </row>
    <row r="2988" spans="20:28" x14ac:dyDescent="0.2">
      <c r="T2988" s="60" t="str">
        <f>IF(P2988&lt;&gt;"",
    IF(OR(O2988="", Q2988="", R2988=""),
        "Fill all the required columns",
        IFERROR(
            IF(OR(
                AND(R2988="Marine Protected", VLOOKUP(O2988, Reference!$A$2:$D$34, 4, FALSE) &lt;= P2988),
                AND(R2988="General Use", VLOOKUP(O2988, Reference!$A$2:$D$34, 3, FALSE) &lt;= P2988)
            ),
                "Exceeded",
                "OK"
            ),
            "No Regulation defined"
        )
    ),
    ""
)</f>
        <v/>
      </c>
      <c r="AB2988" s="62" t="str">
        <f t="shared" si="46"/>
        <v/>
      </c>
    </row>
    <row r="2989" spans="20:28" x14ac:dyDescent="0.2">
      <c r="T2989" s="60" t="str">
        <f>IF(P2989&lt;&gt;"",
    IF(OR(O2989="", Q2989="", R2989=""),
        "Fill all the required columns",
        IFERROR(
            IF(OR(
                AND(R2989="Marine Protected", VLOOKUP(O2989, Reference!$A$2:$D$34, 4, FALSE) &lt;= P2989),
                AND(R2989="General Use", VLOOKUP(O2989, Reference!$A$2:$D$34, 3, FALSE) &lt;= P2989)
            ),
                "Exceeded",
                "OK"
            ),
            "No Regulation defined"
        )
    ),
    ""
)</f>
        <v/>
      </c>
      <c r="AB2989" s="62" t="str">
        <f t="shared" si="46"/>
        <v/>
      </c>
    </row>
    <row r="2990" spans="20:28" x14ac:dyDescent="0.2">
      <c r="T2990" s="60" t="str">
        <f>IF(P2990&lt;&gt;"",
    IF(OR(O2990="", Q2990="", R2990=""),
        "Fill all the required columns",
        IFERROR(
            IF(OR(
                AND(R2990="Marine Protected", VLOOKUP(O2990, Reference!$A$2:$D$34, 4, FALSE) &lt;= P2990),
                AND(R2990="General Use", VLOOKUP(O2990, Reference!$A$2:$D$34, 3, FALSE) &lt;= P2990)
            ),
                "Exceeded",
                "OK"
            ),
            "No Regulation defined"
        )
    ),
    ""
)</f>
        <v/>
      </c>
      <c r="AB2990" s="62" t="str">
        <f t="shared" si="46"/>
        <v/>
      </c>
    </row>
    <row r="2991" spans="20:28" x14ac:dyDescent="0.2">
      <c r="T2991" s="60" t="str">
        <f>IF(P2991&lt;&gt;"",
    IF(OR(O2991="", Q2991="", R2991=""),
        "Fill all the required columns",
        IFERROR(
            IF(OR(
                AND(R2991="Marine Protected", VLOOKUP(O2991, Reference!$A$2:$D$34, 4, FALSE) &lt;= P2991),
                AND(R2991="General Use", VLOOKUP(O2991, Reference!$A$2:$D$34, 3, FALSE) &lt;= P2991)
            ),
                "Exceeded",
                "OK"
            ),
            "No Regulation defined"
        )
    ),
    ""
)</f>
        <v/>
      </c>
      <c r="AB2991" s="62" t="str">
        <f t="shared" si="46"/>
        <v/>
      </c>
    </row>
    <row r="2992" spans="20:28" x14ac:dyDescent="0.2">
      <c r="T2992" s="60" t="str">
        <f>IF(P2992&lt;&gt;"",
    IF(OR(O2992="", Q2992="", R2992=""),
        "Fill all the required columns",
        IFERROR(
            IF(OR(
                AND(R2992="Marine Protected", VLOOKUP(O2992, Reference!$A$2:$D$34, 4, FALSE) &lt;= P2992),
                AND(R2992="General Use", VLOOKUP(O2992, Reference!$A$2:$D$34, 3, FALSE) &lt;= P2992)
            ),
                "Exceeded",
                "OK"
            ),
            "No Regulation defined"
        )
    ),
    ""
)</f>
        <v/>
      </c>
      <c r="AB2992" s="62" t="str">
        <f t="shared" si="46"/>
        <v/>
      </c>
    </row>
    <row r="2993" spans="20:28" x14ac:dyDescent="0.2">
      <c r="T2993" s="60" t="str">
        <f>IF(P2993&lt;&gt;"",
    IF(OR(O2993="", Q2993="", R2993=""),
        "Fill all the required columns",
        IFERROR(
            IF(OR(
                AND(R2993="Marine Protected", VLOOKUP(O2993, Reference!$A$2:$D$34, 4, FALSE) &lt;= P2993),
                AND(R2993="General Use", VLOOKUP(O2993, Reference!$A$2:$D$34, 3, FALSE) &lt;= P2993)
            ),
                "Exceeded",
                "OK"
            ),
            "No Regulation defined"
        )
    ),
    ""
)</f>
        <v/>
      </c>
      <c r="AB2993" s="62" t="str">
        <f t="shared" si="46"/>
        <v/>
      </c>
    </row>
    <row r="2994" spans="20:28" x14ac:dyDescent="0.2">
      <c r="T2994" s="60" t="str">
        <f>IF(P2994&lt;&gt;"",
    IF(OR(O2994="", Q2994="", R2994=""),
        "Fill all the required columns",
        IFERROR(
            IF(OR(
                AND(R2994="Marine Protected", VLOOKUP(O2994, Reference!$A$2:$D$34, 4, FALSE) &lt;= P2994),
                AND(R2994="General Use", VLOOKUP(O2994, Reference!$A$2:$D$34, 3, FALSE) &lt;= P2994)
            ),
                "Exceeded",
                "OK"
            ),
            "No Regulation defined"
        )
    ),
    ""
)</f>
        <v/>
      </c>
      <c r="AB2994" s="62" t="str">
        <f t="shared" si="46"/>
        <v/>
      </c>
    </row>
    <row r="2995" spans="20:28" x14ac:dyDescent="0.2">
      <c r="T2995" s="60" t="str">
        <f>IF(P2995&lt;&gt;"",
    IF(OR(O2995="", Q2995="", R2995=""),
        "Fill all the required columns",
        IFERROR(
            IF(OR(
                AND(R2995="Marine Protected", VLOOKUP(O2995, Reference!$A$2:$D$34, 4, FALSE) &lt;= P2995),
                AND(R2995="General Use", VLOOKUP(O2995, Reference!$A$2:$D$34, 3, FALSE) &lt;= P2995)
            ),
                "Exceeded",
                "OK"
            ),
            "No Regulation defined"
        )
    ),
    ""
)</f>
        <v/>
      </c>
      <c r="AB2995" s="62" t="str">
        <f t="shared" si="46"/>
        <v/>
      </c>
    </row>
    <row r="2996" spans="20:28" x14ac:dyDescent="0.2">
      <c r="T2996" s="60" t="str">
        <f>IF(P2996&lt;&gt;"",
    IF(OR(O2996="", Q2996="", R2996=""),
        "Fill all the required columns",
        IFERROR(
            IF(OR(
                AND(R2996="Marine Protected", VLOOKUP(O2996, Reference!$A$2:$D$34, 4, FALSE) &lt;= P2996),
                AND(R2996="General Use", VLOOKUP(O2996, Reference!$A$2:$D$34, 3, FALSE) &lt;= P2996)
            ),
                "Exceeded",
                "OK"
            ),
            "No Regulation defined"
        )
    ),
    ""
)</f>
        <v/>
      </c>
      <c r="AB2996" s="62" t="str">
        <f t="shared" si="46"/>
        <v/>
      </c>
    </row>
    <row r="2997" spans="20:28" x14ac:dyDescent="0.2">
      <c r="T2997" s="60" t="str">
        <f>IF(P2997&lt;&gt;"",
    IF(OR(O2997="", Q2997="", R2997=""),
        "Fill all the required columns",
        IFERROR(
            IF(OR(
                AND(R2997="Marine Protected", VLOOKUP(O2997, Reference!$A$2:$D$34, 4, FALSE) &lt;= P2997),
                AND(R2997="General Use", VLOOKUP(O2997, Reference!$A$2:$D$34, 3, FALSE) &lt;= P2997)
            ),
                "Exceeded",
                "OK"
            ),
            "No Regulation defined"
        )
    ),
    ""
)</f>
        <v/>
      </c>
      <c r="AB2997" s="62" t="str">
        <f t="shared" si="46"/>
        <v/>
      </c>
    </row>
    <row r="2998" spans="20:28" x14ac:dyDescent="0.2">
      <c r="T2998" s="60" t="str">
        <f>IF(P2998&lt;&gt;"",
    IF(OR(O2998="", Q2998="", R2998=""),
        "Fill all the required columns",
        IFERROR(
            IF(OR(
                AND(R2998="Marine Protected", VLOOKUP(O2998, Reference!$A$2:$D$34, 4, FALSE) &lt;= P2998),
                AND(R2998="General Use", VLOOKUP(O2998, Reference!$A$2:$D$34, 3, FALSE) &lt;= P2998)
            ),
                "Exceeded",
                "OK"
            ),
            "No Regulation defined"
        )
    ),
    ""
)</f>
        <v/>
      </c>
      <c r="AB2998" s="62" t="str">
        <f t="shared" si="46"/>
        <v/>
      </c>
    </row>
    <row r="2999" spans="20:28" x14ac:dyDescent="0.2">
      <c r="T2999" s="60" t="str">
        <f>IF(P2999&lt;&gt;"",
    IF(OR(O2999="", Q2999="", R2999=""),
        "Fill all the required columns",
        IFERROR(
            IF(OR(
                AND(R2999="Marine Protected", VLOOKUP(O2999, Reference!$A$2:$D$34, 4, FALSE) &lt;= P2999),
                AND(R2999="General Use", VLOOKUP(O2999, Reference!$A$2:$D$34, 3, FALSE) &lt;= P2999)
            ),
                "Exceeded",
                "OK"
            ),
            "No Regulation defined"
        )
    ),
    ""
)</f>
        <v/>
      </c>
      <c r="AB2999" s="62" t="str">
        <f t="shared" si="46"/>
        <v/>
      </c>
    </row>
    <row r="3000" spans="20:28" x14ac:dyDescent="0.2">
      <c r="T3000" s="60" t="str">
        <f>IF(P3000&lt;&gt;"",
    IF(OR(O3000="", Q3000="", R3000=""),
        "Fill all the required columns",
        IFERROR(
            IF(OR(
                AND(R3000="Marine Protected", VLOOKUP(O3000, Reference!$A$2:$D$34, 4, FALSE) &lt;= P3000),
                AND(R3000="General Use", VLOOKUP(O3000, Reference!$A$2:$D$34, 3, FALSE) &lt;= P3000)
            ),
                "Exceeded",
                "OK"
            ),
            "No Regulation defined"
        )
    ),
    ""
)</f>
        <v/>
      </c>
      <c r="AB3000" s="62" t="str">
        <f t="shared" si="46"/>
        <v/>
      </c>
    </row>
    <row r="3001" spans="20:28" x14ac:dyDescent="0.2">
      <c r="T3001" s="60" t="str">
        <f>IF(P3001&lt;&gt;"",
    IF(OR(O3001="", Q3001="", R3001=""),
        "Fill all the required columns",
        IFERROR(
            IF(OR(
                AND(R3001="Marine Protected", VLOOKUP(O3001, Reference!$A$2:$D$34, 4, FALSE) &lt;= P3001),
                AND(R3001="General Use", VLOOKUP(O3001, Reference!$A$2:$D$34, 3, FALSE) &lt;= P3001)
            ),
                "Exceeded",
                "OK"
            ),
            "No Regulation defined"
        )
    ),
    ""
)</f>
        <v/>
      </c>
      <c r="AB3001" s="62" t="str">
        <f t="shared" si="46"/>
        <v/>
      </c>
    </row>
    <row r="3002" spans="20:28" x14ac:dyDescent="0.2">
      <c r="T3002" s="60" t="str">
        <f>IF(P3002&lt;&gt;"",
    IF(OR(O3002="", Q3002="", R3002=""),
        "Fill all the required columns",
        IFERROR(
            IF(OR(
                AND(R3002="Marine Protected", VLOOKUP(O3002, Reference!$A$2:$D$34, 4, FALSE) &lt;= P3002),
                AND(R3002="General Use", VLOOKUP(O3002, Reference!$A$2:$D$34, 3, FALSE) &lt;= P3002)
            ),
                "Exceeded",
                "OK"
            ),
            "No Regulation defined"
        )
    ),
    ""
)</f>
        <v/>
      </c>
      <c r="AB3002" s="62" t="str">
        <f t="shared" si="46"/>
        <v/>
      </c>
    </row>
    <row r="3003" spans="20:28" x14ac:dyDescent="0.2">
      <c r="T3003" s="60" t="str">
        <f>IF(P3003&lt;&gt;"",
    IF(OR(O3003="", Q3003="", R3003=""),
        "Fill all the required columns",
        IFERROR(
            IF(OR(
                AND(R3003="Marine Protected", VLOOKUP(O3003, Reference!$A$2:$D$34, 4, FALSE) &lt;= P3003),
                AND(R3003="General Use", VLOOKUP(O3003, Reference!$A$2:$D$34, 3, FALSE) &lt;= P3003)
            ),
                "Exceeded",
                "OK"
            ),
            "No Regulation defined"
        )
    ),
    ""
)</f>
        <v/>
      </c>
      <c r="AB3003" s="62" t="str">
        <f t="shared" si="46"/>
        <v/>
      </c>
    </row>
    <row r="3004" spans="20:28" x14ac:dyDescent="0.2">
      <c r="T3004" s="60" t="str">
        <f>IF(P3004&lt;&gt;"",
    IF(OR(O3004="", Q3004="", R3004=""),
        "Fill all the required columns",
        IFERROR(
            IF(OR(
                AND(R3004="Marine Protected", VLOOKUP(O3004, Reference!$A$2:$D$34, 4, FALSE) &lt;= P3004),
                AND(R3004="General Use", VLOOKUP(O3004, Reference!$A$2:$D$34, 3, FALSE) &lt;= P3004)
            ),
                "Exceeded",
                "OK"
            ),
            "No Regulation defined"
        )
    ),
    ""
)</f>
        <v/>
      </c>
      <c r="AB3004" s="62" t="str">
        <f t="shared" si="46"/>
        <v/>
      </c>
    </row>
    <row r="3005" spans="20:28" x14ac:dyDescent="0.2">
      <c r="T3005" s="60" t="str">
        <f>IF(P3005&lt;&gt;"",
    IF(OR(O3005="", Q3005="", R3005=""),
        "Fill all the required columns",
        IFERROR(
            IF(OR(
                AND(R3005="Marine Protected", VLOOKUP(O3005, Reference!$A$2:$D$34, 4, FALSE) &lt;= P3005),
                AND(R3005="General Use", VLOOKUP(O3005, Reference!$A$2:$D$34, 3, FALSE) &lt;= P3005)
            ),
                "Exceeded",
                "OK"
            ),
            "No Regulation defined"
        )
    ),
    ""
)</f>
        <v/>
      </c>
      <c r="AB3005" s="62" t="str">
        <f t="shared" si="46"/>
        <v/>
      </c>
    </row>
    <row r="3006" spans="20:28" x14ac:dyDescent="0.2">
      <c r="T3006" s="60" t="str">
        <f>IF(P3006&lt;&gt;"",
    IF(OR(O3006="", Q3006="", R3006=""),
        "Fill all the required columns",
        IFERROR(
            IF(OR(
                AND(R3006="Marine Protected", VLOOKUP(O3006, Reference!$A$2:$D$34, 4, FALSE) &lt;= P3006),
                AND(R3006="General Use", VLOOKUP(O3006, Reference!$A$2:$D$34, 3, FALSE) &lt;= P3006)
            ),
                "Exceeded",
                "OK"
            ),
            "No Regulation defined"
        )
    ),
    ""
)</f>
        <v/>
      </c>
      <c r="AB3006" s="62" t="str">
        <f t="shared" si="46"/>
        <v/>
      </c>
    </row>
    <row r="3007" spans="20:28" x14ac:dyDescent="0.2">
      <c r="T3007" s="60" t="str">
        <f>IF(P3007&lt;&gt;"",
    IF(OR(O3007="", Q3007="", R3007=""),
        "Fill all the required columns",
        IFERROR(
            IF(OR(
                AND(R3007="Marine Protected", VLOOKUP(O3007, Reference!$A$2:$D$34, 4, FALSE) &lt;= P3007),
                AND(R3007="General Use", VLOOKUP(O3007, Reference!$A$2:$D$34, 3, FALSE) &lt;= P3007)
            ),
                "Exceeded",
                "OK"
            ),
            "No Regulation defined"
        )
    ),
    ""
)</f>
        <v/>
      </c>
      <c r="AB3007" s="62" t="str">
        <f t="shared" si="46"/>
        <v/>
      </c>
    </row>
    <row r="3008" spans="20:28" x14ac:dyDescent="0.2">
      <c r="T3008" s="60" t="str">
        <f>IF(P3008&lt;&gt;"",
    IF(OR(O3008="", Q3008="", R3008=""),
        "Fill all the required columns",
        IFERROR(
            IF(OR(
                AND(R3008="Marine Protected", VLOOKUP(O3008, Reference!$A$2:$D$34, 4, FALSE) &lt;= P3008),
                AND(R3008="General Use", VLOOKUP(O3008, Reference!$A$2:$D$34, 3, FALSE) &lt;= P3008)
            ),
                "Exceeded",
                "OK"
            ),
            "No Regulation defined"
        )
    ),
    ""
)</f>
        <v/>
      </c>
      <c r="AB3008" s="62" t="str">
        <f t="shared" si="46"/>
        <v/>
      </c>
    </row>
    <row r="3009" spans="20:28" x14ac:dyDescent="0.2">
      <c r="T3009" s="60" t="str">
        <f>IF(P3009&lt;&gt;"",
    IF(OR(O3009="", Q3009="", R3009=""),
        "Fill all the required columns",
        IFERROR(
            IF(OR(
                AND(R3009="Marine Protected", VLOOKUP(O3009, Reference!$A$2:$D$34, 4, FALSE) &lt;= P3009),
                AND(R3009="General Use", VLOOKUP(O3009, Reference!$A$2:$D$34, 3, FALSE) &lt;= P3009)
            ),
                "Exceeded",
                "OK"
            ),
            "No Regulation defined"
        )
    ),
    ""
)</f>
        <v/>
      </c>
      <c r="AB3009" s="62" t="str">
        <f t="shared" si="46"/>
        <v/>
      </c>
    </row>
    <row r="3010" spans="20:28" x14ac:dyDescent="0.2">
      <c r="T3010" s="60" t="str">
        <f>IF(P3010&lt;&gt;"",
    IF(OR(O3010="", Q3010="", R3010=""),
        "Fill all the required columns",
        IFERROR(
            IF(OR(
                AND(R3010="Marine Protected", VLOOKUP(O3010, Reference!$A$2:$D$34, 4, FALSE) &lt;= P3010),
                AND(R3010="General Use", VLOOKUP(O3010, Reference!$A$2:$D$34, 3, FALSE) &lt;= P3010)
            ),
                "Exceeded",
                "OK"
            ),
            "No Regulation defined"
        )
    ),
    ""
)</f>
        <v/>
      </c>
      <c r="AB3010" s="62" t="str">
        <f t="shared" si="46"/>
        <v/>
      </c>
    </row>
    <row r="3011" spans="20:28" x14ac:dyDescent="0.2">
      <c r="T3011" s="60" t="str">
        <f>IF(P3011&lt;&gt;"",
    IF(OR(O3011="", Q3011="", R3011=""),
        "Fill all the required columns",
        IFERROR(
            IF(OR(
                AND(R3011="Marine Protected", VLOOKUP(O3011, Reference!$A$2:$D$34, 4, FALSE) &lt;= P3011),
                AND(R3011="General Use", VLOOKUP(O3011, Reference!$A$2:$D$34, 3, FALSE) &lt;= P3011)
            ),
                "Exceeded",
                "OK"
            ),
            "No Regulation defined"
        )
    ),
    ""
)</f>
        <v/>
      </c>
      <c r="AB3011" s="62" t="str">
        <f t="shared" ref="AB3011:AB3074" si="47">IF(COUNTA(A3011, E3011, F3011, H3011, I3011, O3011, P3011, Q3011, R3011,S3011) = 0, "", IF(COUNTA(A3011, E3011, F3011, H3011, I3011, O3011, P3011, Q3011, R3011,S3011) = 10, "OK", "Incomplete"))</f>
        <v/>
      </c>
    </row>
    <row r="3012" spans="20:28" x14ac:dyDescent="0.2">
      <c r="T3012" s="60" t="str">
        <f>IF(P3012&lt;&gt;"",
    IF(OR(O3012="", Q3012="", R3012=""),
        "Fill all the required columns",
        IFERROR(
            IF(OR(
                AND(R3012="Marine Protected", VLOOKUP(O3012, Reference!$A$2:$D$34, 4, FALSE) &lt;= P3012),
                AND(R3012="General Use", VLOOKUP(O3012, Reference!$A$2:$D$34, 3, FALSE) &lt;= P3012)
            ),
                "Exceeded",
                "OK"
            ),
            "No Regulation defined"
        )
    ),
    ""
)</f>
        <v/>
      </c>
      <c r="AB3012" s="62" t="str">
        <f t="shared" si="47"/>
        <v/>
      </c>
    </row>
    <row r="3013" spans="20:28" x14ac:dyDescent="0.2">
      <c r="T3013" s="60" t="str">
        <f>IF(P3013&lt;&gt;"",
    IF(OR(O3013="", Q3013="", R3013=""),
        "Fill all the required columns",
        IFERROR(
            IF(OR(
                AND(R3013="Marine Protected", VLOOKUP(O3013, Reference!$A$2:$D$34, 4, FALSE) &lt;= P3013),
                AND(R3013="General Use", VLOOKUP(O3013, Reference!$A$2:$D$34, 3, FALSE) &lt;= P3013)
            ),
                "Exceeded",
                "OK"
            ),
            "No Regulation defined"
        )
    ),
    ""
)</f>
        <v/>
      </c>
      <c r="AB3013" s="62" t="str">
        <f t="shared" si="47"/>
        <v/>
      </c>
    </row>
    <row r="3014" spans="20:28" x14ac:dyDescent="0.2">
      <c r="T3014" s="60" t="str">
        <f>IF(P3014&lt;&gt;"",
    IF(OR(O3014="", Q3014="", R3014=""),
        "Fill all the required columns",
        IFERROR(
            IF(OR(
                AND(R3014="Marine Protected", VLOOKUP(O3014, Reference!$A$2:$D$34, 4, FALSE) &lt;= P3014),
                AND(R3014="General Use", VLOOKUP(O3014, Reference!$A$2:$D$34, 3, FALSE) &lt;= P3014)
            ),
                "Exceeded",
                "OK"
            ),
            "No Regulation defined"
        )
    ),
    ""
)</f>
        <v/>
      </c>
      <c r="AB3014" s="62" t="str">
        <f t="shared" si="47"/>
        <v/>
      </c>
    </row>
    <row r="3015" spans="20:28" x14ac:dyDescent="0.2">
      <c r="T3015" s="60" t="str">
        <f>IF(P3015&lt;&gt;"",
    IF(OR(O3015="", Q3015="", R3015=""),
        "Fill all the required columns",
        IFERROR(
            IF(OR(
                AND(R3015="Marine Protected", VLOOKUP(O3015, Reference!$A$2:$D$34, 4, FALSE) &lt;= P3015),
                AND(R3015="General Use", VLOOKUP(O3015, Reference!$A$2:$D$34, 3, FALSE) &lt;= P3015)
            ),
                "Exceeded",
                "OK"
            ),
            "No Regulation defined"
        )
    ),
    ""
)</f>
        <v/>
      </c>
      <c r="AB3015" s="62" t="str">
        <f t="shared" si="47"/>
        <v/>
      </c>
    </row>
    <row r="3016" spans="20:28" x14ac:dyDescent="0.2">
      <c r="T3016" s="60" t="str">
        <f>IF(P3016&lt;&gt;"",
    IF(OR(O3016="", Q3016="", R3016=""),
        "Fill all the required columns",
        IFERROR(
            IF(OR(
                AND(R3016="Marine Protected", VLOOKUP(O3016, Reference!$A$2:$D$34, 4, FALSE) &lt;= P3016),
                AND(R3016="General Use", VLOOKUP(O3016, Reference!$A$2:$D$34, 3, FALSE) &lt;= P3016)
            ),
                "Exceeded",
                "OK"
            ),
            "No Regulation defined"
        )
    ),
    ""
)</f>
        <v/>
      </c>
      <c r="AB3016" s="62" t="str">
        <f t="shared" si="47"/>
        <v/>
      </c>
    </row>
    <row r="3017" spans="20:28" x14ac:dyDescent="0.2">
      <c r="T3017" s="60" t="str">
        <f>IF(P3017&lt;&gt;"",
    IF(OR(O3017="", Q3017="", R3017=""),
        "Fill all the required columns",
        IFERROR(
            IF(OR(
                AND(R3017="Marine Protected", VLOOKUP(O3017, Reference!$A$2:$D$34, 4, FALSE) &lt;= P3017),
                AND(R3017="General Use", VLOOKUP(O3017, Reference!$A$2:$D$34, 3, FALSE) &lt;= P3017)
            ),
                "Exceeded",
                "OK"
            ),
            "No Regulation defined"
        )
    ),
    ""
)</f>
        <v/>
      </c>
      <c r="AB3017" s="62" t="str">
        <f t="shared" si="47"/>
        <v/>
      </c>
    </row>
    <row r="3018" spans="20:28" x14ac:dyDescent="0.2">
      <c r="T3018" s="60" t="str">
        <f>IF(P3018&lt;&gt;"",
    IF(OR(O3018="", Q3018="", R3018=""),
        "Fill all the required columns",
        IFERROR(
            IF(OR(
                AND(R3018="Marine Protected", VLOOKUP(O3018, Reference!$A$2:$D$34, 4, FALSE) &lt;= P3018),
                AND(R3018="General Use", VLOOKUP(O3018, Reference!$A$2:$D$34, 3, FALSE) &lt;= P3018)
            ),
                "Exceeded",
                "OK"
            ),
            "No Regulation defined"
        )
    ),
    ""
)</f>
        <v/>
      </c>
      <c r="AB3018" s="62" t="str">
        <f t="shared" si="47"/>
        <v/>
      </c>
    </row>
    <row r="3019" spans="20:28" x14ac:dyDescent="0.2">
      <c r="T3019" s="60" t="str">
        <f>IF(P3019&lt;&gt;"",
    IF(OR(O3019="", Q3019="", R3019=""),
        "Fill all the required columns",
        IFERROR(
            IF(OR(
                AND(R3019="Marine Protected", VLOOKUP(O3019, Reference!$A$2:$D$34, 4, FALSE) &lt;= P3019),
                AND(R3019="General Use", VLOOKUP(O3019, Reference!$A$2:$D$34, 3, FALSE) &lt;= P3019)
            ),
                "Exceeded",
                "OK"
            ),
            "No Regulation defined"
        )
    ),
    ""
)</f>
        <v/>
      </c>
      <c r="AB3019" s="62" t="str">
        <f t="shared" si="47"/>
        <v/>
      </c>
    </row>
    <row r="3020" spans="20:28" x14ac:dyDescent="0.2">
      <c r="T3020" s="60" t="str">
        <f>IF(P3020&lt;&gt;"",
    IF(OR(O3020="", Q3020="", R3020=""),
        "Fill all the required columns",
        IFERROR(
            IF(OR(
                AND(R3020="Marine Protected", VLOOKUP(O3020, Reference!$A$2:$D$34, 4, FALSE) &lt;= P3020),
                AND(R3020="General Use", VLOOKUP(O3020, Reference!$A$2:$D$34, 3, FALSE) &lt;= P3020)
            ),
                "Exceeded",
                "OK"
            ),
            "No Regulation defined"
        )
    ),
    ""
)</f>
        <v/>
      </c>
      <c r="AB3020" s="62" t="str">
        <f t="shared" si="47"/>
        <v/>
      </c>
    </row>
    <row r="3021" spans="20:28" x14ac:dyDescent="0.2">
      <c r="T3021" s="60" t="str">
        <f>IF(P3021&lt;&gt;"",
    IF(OR(O3021="", Q3021="", R3021=""),
        "Fill all the required columns",
        IFERROR(
            IF(OR(
                AND(R3021="Marine Protected", VLOOKUP(O3021, Reference!$A$2:$D$34, 4, FALSE) &lt;= P3021),
                AND(R3021="General Use", VLOOKUP(O3021, Reference!$A$2:$D$34, 3, FALSE) &lt;= P3021)
            ),
                "Exceeded",
                "OK"
            ),
            "No Regulation defined"
        )
    ),
    ""
)</f>
        <v/>
      </c>
      <c r="AB3021" s="62" t="str">
        <f t="shared" si="47"/>
        <v/>
      </c>
    </row>
    <row r="3022" spans="20:28" x14ac:dyDescent="0.2">
      <c r="T3022" s="60" t="str">
        <f>IF(P3022&lt;&gt;"",
    IF(OR(O3022="", Q3022="", R3022=""),
        "Fill all the required columns",
        IFERROR(
            IF(OR(
                AND(R3022="Marine Protected", VLOOKUP(O3022, Reference!$A$2:$D$34, 4, FALSE) &lt;= P3022),
                AND(R3022="General Use", VLOOKUP(O3022, Reference!$A$2:$D$34, 3, FALSE) &lt;= P3022)
            ),
                "Exceeded",
                "OK"
            ),
            "No Regulation defined"
        )
    ),
    ""
)</f>
        <v/>
      </c>
      <c r="AB3022" s="62" t="str">
        <f t="shared" si="47"/>
        <v/>
      </c>
    </row>
    <row r="3023" spans="20:28" x14ac:dyDescent="0.2">
      <c r="T3023" s="60" t="str">
        <f>IF(P3023&lt;&gt;"",
    IF(OR(O3023="", Q3023="", R3023=""),
        "Fill all the required columns",
        IFERROR(
            IF(OR(
                AND(R3023="Marine Protected", VLOOKUP(O3023, Reference!$A$2:$D$34, 4, FALSE) &lt;= P3023),
                AND(R3023="General Use", VLOOKUP(O3023, Reference!$A$2:$D$34, 3, FALSE) &lt;= P3023)
            ),
                "Exceeded",
                "OK"
            ),
            "No Regulation defined"
        )
    ),
    ""
)</f>
        <v/>
      </c>
      <c r="AB3023" s="62" t="str">
        <f t="shared" si="47"/>
        <v/>
      </c>
    </row>
    <row r="3024" spans="20:28" x14ac:dyDescent="0.2">
      <c r="T3024" s="60" t="str">
        <f>IF(P3024&lt;&gt;"",
    IF(OR(O3024="", Q3024="", R3024=""),
        "Fill all the required columns",
        IFERROR(
            IF(OR(
                AND(R3024="Marine Protected", VLOOKUP(O3024, Reference!$A$2:$D$34, 4, FALSE) &lt;= P3024),
                AND(R3024="General Use", VLOOKUP(O3024, Reference!$A$2:$D$34, 3, FALSE) &lt;= P3024)
            ),
                "Exceeded",
                "OK"
            ),
            "No Regulation defined"
        )
    ),
    ""
)</f>
        <v/>
      </c>
      <c r="AB3024" s="62" t="str">
        <f t="shared" si="47"/>
        <v/>
      </c>
    </row>
    <row r="3025" spans="20:28" x14ac:dyDescent="0.2">
      <c r="T3025" s="60" t="str">
        <f>IF(P3025&lt;&gt;"",
    IF(OR(O3025="", Q3025="", R3025=""),
        "Fill all the required columns",
        IFERROR(
            IF(OR(
                AND(R3025="Marine Protected", VLOOKUP(O3025, Reference!$A$2:$D$34, 4, FALSE) &lt;= P3025),
                AND(R3025="General Use", VLOOKUP(O3025, Reference!$A$2:$D$34, 3, FALSE) &lt;= P3025)
            ),
                "Exceeded",
                "OK"
            ),
            "No Regulation defined"
        )
    ),
    ""
)</f>
        <v/>
      </c>
      <c r="AB3025" s="62" t="str">
        <f t="shared" si="47"/>
        <v/>
      </c>
    </row>
    <row r="3026" spans="20:28" x14ac:dyDescent="0.2">
      <c r="T3026" s="60" t="str">
        <f>IF(P3026&lt;&gt;"",
    IF(OR(O3026="", Q3026="", R3026=""),
        "Fill all the required columns",
        IFERROR(
            IF(OR(
                AND(R3026="Marine Protected", VLOOKUP(O3026, Reference!$A$2:$D$34, 4, FALSE) &lt;= P3026),
                AND(R3026="General Use", VLOOKUP(O3026, Reference!$A$2:$D$34, 3, FALSE) &lt;= P3026)
            ),
                "Exceeded",
                "OK"
            ),
            "No Regulation defined"
        )
    ),
    ""
)</f>
        <v/>
      </c>
      <c r="AB3026" s="62" t="str">
        <f t="shared" si="47"/>
        <v/>
      </c>
    </row>
    <row r="3027" spans="20:28" x14ac:dyDescent="0.2">
      <c r="T3027" s="60" t="str">
        <f>IF(P3027&lt;&gt;"",
    IF(OR(O3027="", Q3027="", R3027=""),
        "Fill all the required columns",
        IFERROR(
            IF(OR(
                AND(R3027="Marine Protected", VLOOKUP(O3027, Reference!$A$2:$D$34, 4, FALSE) &lt;= P3027),
                AND(R3027="General Use", VLOOKUP(O3027, Reference!$A$2:$D$34, 3, FALSE) &lt;= P3027)
            ),
                "Exceeded",
                "OK"
            ),
            "No Regulation defined"
        )
    ),
    ""
)</f>
        <v/>
      </c>
      <c r="AB3027" s="62" t="str">
        <f t="shared" si="47"/>
        <v/>
      </c>
    </row>
    <row r="3028" spans="20:28" x14ac:dyDescent="0.2">
      <c r="T3028" s="60" t="str">
        <f>IF(P3028&lt;&gt;"",
    IF(OR(O3028="", Q3028="", R3028=""),
        "Fill all the required columns",
        IFERROR(
            IF(OR(
                AND(R3028="Marine Protected", VLOOKUP(O3028, Reference!$A$2:$D$34, 4, FALSE) &lt;= P3028),
                AND(R3028="General Use", VLOOKUP(O3028, Reference!$A$2:$D$34, 3, FALSE) &lt;= P3028)
            ),
                "Exceeded",
                "OK"
            ),
            "No Regulation defined"
        )
    ),
    ""
)</f>
        <v/>
      </c>
      <c r="AB3028" s="62" t="str">
        <f t="shared" si="47"/>
        <v/>
      </c>
    </row>
    <row r="3029" spans="20:28" x14ac:dyDescent="0.2">
      <c r="T3029" s="60" t="str">
        <f>IF(P3029&lt;&gt;"",
    IF(OR(O3029="", Q3029="", R3029=""),
        "Fill all the required columns",
        IFERROR(
            IF(OR(
                AND(R3029="Marine Protected", VLOOKUP(O3029, Reference!$A$2:$D$34, 4, FALSE) &lt;= P3029),
                AND(R3029="General Use", VLOOKUP(O3029, Reference!$A$2:$D$34, 3, FALSE) &lt;= P3029)
            ),
                "Exceeded",
                "OK"
            ),
            "No Regulation defined"
        )
    ),
    ""
)</f>
        <v/>
      </c>
      <c r="AB3029" s="62" t="str">
        <f t="shared" si="47"/>
        <v/>
      </c>
    </row>
    <row r="3030" spans="20:28" x14ac:dyDescent="0.2">
      <c r="T3030" s="60" t="str">
        <f>IF(P3030&lt;&gt;"",
    IF(OR(O3030="", Q3030="", R3030=""),
        "Fill all the required columns",
        IFERROR(
            IF(OR(
                AND(R3030="Marine Protected", VLOOKUP(O3030, Reference!$A$2:$D$34, 4, FALSE) &lt;= P3030),
                AND(R3030="General Use", VLOOKUP(O3030, Reference!$A$2:$D$34, 3, FALSE) &lt;= P3030)
            ),
                "Exceeded",
                "OK"
            ),
            "No Regulation defined"
        )
    ),
    ""
)</f>
        <v/>
      </c>
      <c r="AB3030" s="62" t="str">
        <f t="shared" si="47"/>
        <v/>
      </c>
    </row>
    <row r="3031" spans="20:28" x14ac:dyDescent="0.2">
      <c r="T3031" s="60" t="str">
        <f>IF(P3031&lt;&gt;"",
    IF(OR(O3031="", Q3031="", R3031=""),
        "Fill all the required columns",
        IFERROR(
            IF(OR(
                AND(R3031="Marine Protected", VLOOKUP(O3031, Reference!$A$2:$D$34, 4, FALSE) &lt;= P3031),
                AND(R3031="General Use", VLOOKUP(O3031, Reference!$A$2:$D$34, 3, FALSE) &lt;= P3031)
            ),
                "Exceeded",
                "OK"
            ),
            "No Regulation defined"
        )
    ),
    ""
)</f>
        <v/>
      </c>
      <c r="AB3031" s="62" t="str">
        <f t="shared" si="47"/>
        <v/>
      </c>
    </row>
    <row r="3032" spans="20:28" x14ac:dyDescent="0.2">
      <c r="T3032" s="60" t="str">
        <f>IF(P3032&lt;&gt;"",
    IF(OR(O3032="", Q3032="", R3032=""),
        "Fill all the required columns",
        IFERROR(
            IF(OR(
                AND(R3032="Marine Protected", VLOOKUP(O3032, Reference!$A$2:$D$34, 4, FALSE) &lt;= P3032),
                AND(R3032="General Use", VLOOKUP(O3032, Reference!$A$2:$D$34, 3, FALSE) &lt;= P3032)
            ),
                "Exceeded",
                "OK"
            ),
            "No Regulation defined"
        )
    ),
    ""
)</f>
        <v/>
      </c>
      <c r="AB3032" s="62" t="str">
        <f t="shared" si="47"/>
        <v/>
      </c>
    </row>
    <row r="3033" spans="20:28" x14ac:dyDescent="0.2">
      <c r="T3033" s="60" t="str">
        <f>IF(P3033&lt;&gt;"",
    IF(OR(O3033="", Q3033="", R3033=""),
        "Fill all the required columns",
        IFERROR(
            IF(OR(
                AND(R3033="Marine Protected", VLOOKUP(O3033, Reference!$A$2:$D$34, 4, FALSE) &lt;= P3033),
                AND(R3033="General Use", VLOOKUP(O3033, Reference!$A$2:$D$34, 3, FALSE) &lt;= P3033)
            ),
                "Exceeded",
                "OK"
            ),
            "No Regulation defined"
        )
    ),
    ""
)</f>
        <v/>
      </c>
      <c r="AB3033" s="62" t="str">
        <f t="shared" si="47"/>
        <v/>
      </c>
    </row>
    <row r="3034" spans="20:28" x14ac:dyDescent="0.2">
      <c r="T3034" s="60" t="str">
        <f>IF(P3034&lt;&gt;"",
    IF(OR(O3034="", Q3034="", R3034=""),
        "Fill all the required columns",
        IFERROR(
            IF(OR(
                AND(R3034="Marine Protected", VLOOKUP(O3034, Reference!$A$2:$D$34, 4, FALSE) &lt;= P3034),
                AND(R3034="General Use", VLOOKUP(O3034, Reference!$A$2:$D$34, 3, FALSE) &lt;= P3034)
            ),
                "Exceeded",
                "OK"
            ),
            "No Regulation defined"
        )
    ),
    ""
)</f>
        <v/>
      </c>
      <c r="AB3034" s="62" t="str">
        <f t="shared" si="47"/>
        <v/>
      </c>
    </row>
    <row r="3035" spans="20:28" x14ac:dyDescent="0.2">
      <c r="T3035" s="60" t="str">
        <f>IF(P3035&lt;&gt;"",
    IF(OR(O3035="", Q3035="", R3035=""),
        "Fill all the required columns",
        IFERROR(
            IF(OR(
                AND(R3035="Marine Protected", VLOOKUP(O3035, Reference!$A$2:$D$34, 4, FALSE) &lt;= P3035),
                AND(R3035="General Use", VLOOKUP(O3035, Reference!$A$2:$D$34, 3, FALSE) &lt;= P3035)
            ),
                "Exceeded",
                "OK"
            ),
            "No Regulation defined"
        )
    ),
    ""
)</f>
        <v/>
      </c>
      <c r="AB3035" s="62" t="str">
        <f t="shared" si="47"/>
        <v/>
      </c>
    </row>
    <row r="3036" spans="20:28" x14ac:dyDescent="0.2">
      <c r="T3036" s="60" t="str">
        <f>IF(P3036&lt;&gt;"",
    IF(OR(O3036="", Q3036="", R3036=""),
        "Fill all the required columns",
        IFERROR(
            IF(OR(
                AND(R3036="Marine Protected", VLOOKUP(O3036, Reference!$A$2:$D$34, 4, FALSE) &lt;= P3036),
                AND(R3036="General Use", VLOOKUP(O3036, Reference!$A$2:$D$34, 3, FALSE) &lt;= P3036)
            ),
                "Exceeded",
                "OK"
            ),
            "No Regulation defined"
        )
    ),
    ""
)</f>
        <v/>
      </c>
      <c r="AB3036" s="62" t="str">
        <f t="shared" si="47"/>
        <v/>
      </c>
    </row>
    <row r="3037" spans="20:28" x14ac:dyDescent="0.2">
      <c r="T3037" s="60" t="str">
        <f>IF(P3037&lt;&gt;"",
    IF(OR(O3037="", Q3037="", R3037=""),
        "Fill all the required columns",
        IFERROR(
            IF(OR(
                AND(R3037="Marine Protected", VLOOKUP(O3037, Reference!$A$2:$D$34, 4, FALSE) &lt;= P3037),
                AND(R3037="General Use", VLOOKUP(O3037, Reference!$A$2:$D$34, 3, FALSE) &lt;= P3037)
            ),
                "Exceeded",
                "OK"
            ),
            "No Regulation defined"
        )
    ),
    ""
)</f>
        <v/>
      </c>
      <c r="AB3037" s="62" t="str">
        <f t="shared" si="47"/>
        <v/>
      </c>
    </row>
    <row r="3038" spans="20:28" x14ac:dyDescent="0.2">
      <c r="T3038" s="60" t="str">
        <f>IF(P3038&lt;&gt;"",
    IF(OR(O3038="", Q3038="", R3038=""),
        "Fill all the required columns",
        IFERROR(
            IF(OR(
                AND(R3038="Marine Protected", VLOOKUP(O3038, Reference!$A$2:$D$34, 4, FALSE) &lt;= P3038),
                AND(R3038="General Use", VLOOKUP(O3038, Reference!$A$2:$D$34, 3, FALSE) &lt;= P3038)
            ),
                "Exceeded",
                "OK"
            ),
            "No Regulation defined"
        )
    ),
    ""
)</f>
        <v/>
      </c>
      <c r="AB3038" s="62" t="str">
        <f t="shared" si="47"/>
        <v/>
      </c>
    </row>
    <row r="3039" spans="20:28" x14ac:dyDescent="0.2">
      <c r="T3039" s="60" t="str">
        <f>IF(P3039&lt;&gt;"",
    IF(OR(O3039="", Q3039="", R3039=""),
        "Fill all the required columns",
        IFERROR(
            IF(OR(
                AND(R3039="Marine Protected", VLOOKUP(O3039, Reference!$A$2:$D$34, 4, FALSE) &lt;= P3039),
                AND(R3039="General Use", VLOOKUP(O3039, Reference!$A$2:$D$34, 3, FALSE) &lt;= P3039)
            ),
                "Exceeded",
                "OK"
            ),
            "No Regulation defined"
        )
    ),
    ""
)</f>
        <v/>
      </c>
      <c r="AB3039" s="62" t="str">
        <f t="shared" si="47"/>
        <v/>
      </c>
    </row>
    <row r="3040" spans="20:28" x14ac:dyDescent="0.2">
      <c r="T3040" s="60" t="str">
        <f>IF(P3040&lt;&gt;"",
    IF(OR(O3040="", Q3040="", R3040=""),
        "Fill all the required columns",
        IFERROR(
            IF(OR(
                AND(R3040="Marine Protected", VLOOKUP(O3040, Reference!$A$2:$D$34, 4, FALSE) &lt;= P3040),
                AND(R3040="General Use", VLOOKUP(O3040, Reference!$A$2:$D$34, 3, FALSE) &lt;= P3040)
            ),
                "Exceeded",
                "OK"
            ),
            "No Regulation defined"
        )
    ),
    ""
)</f>
        <v/>
      </c>
      <c r="AB3040" s="62" t="str">
        <f t="shared" si="47"/>
        <v/>
      </c>
    </row>
    <row r="3041" spans="20:28" x14ac:dyDescent="0.2">
      <c r="T3041" s="60" t="str">
        <f>IF(P3041&lt;&gt;"",
    IF(OR(O3041="", Q3041="", R3041=""),
        "Fill all the required columns",
        IFERROR(
            IF(OR(
                AND(R3041="Marine Protected", VLOOKUP(O3041, Reference!$A$2:$D$34, 4, FALSE) &lt;= P3041),
                AND(R3041="General Use", VLOOKUP(O3041, Reference!$A$2:$D$34, 3, FALSE) &lt;= P3041)
            ),
                "Exceeded",
                "OK"
            ),
            "No Regulation defined"
        )
    ),
    ""
)</f>
        <v/>
      </c>
      <c r="AB3041" s="62" t="str">
        <f t="shared" si="47"/>
        <v/>
      </c>
    </row>
    <row r="3042" spans="20:28" x14ac:dyDescent="0.2">
      <c r="T3042" s="60" t="str">
        <f>IF(P3042&lt;&gt;"",
    IF(OR(O3042="", Q3042="", R3042=""),
        "Fill all the required columns",
        IFERROR(
            IF(OR(
                AND(R3042="Marine Protected", VLOOKUP(O3042, Reference!$A$2:$D$34, 4, FALSE) &lt;= P3042),
                AND(R3042="General Use", VLOOKUP(O3042, Reference!$A$2:$D$34, 3, FALSE) &lt;= P3042)
            ),
                "Exceeded",
                "OK"
            ),
            "No Regulation defined"
        )
    ),
    ""
)</f>
        <v/>
      </c>
      <c r="AB3042" s="62" t="str">
        <f t="shared" si="47"/>
        <v/>
      </c>
    </row>
    <row r="3043" spans="20:28" x14ac:dyDescent="0.2">
      <c r="T3043" s="60" t="str">
        <f>IF(P3043&lt;&gt;"",
    IF(OR(O3043="", Q3043="", R3043=""),
        "Fill all the required columns",
        IFERROR(
            IF(OR(
                AND(R3043="Marine Protected", VLOOKUP(O3043, Reference!$A$2:$D$34, 4, FALSE) &lt;= P3043),
                AND(R3043="General Use", VLOOKUP(O3043, Reference!$A$2:$D$34, 3, FALSE) &lt;= P3043)
            ),
                "Exceeded",
                "OK"
            ),
            "No Regulation defined"
        )
    ),
    ""
)</f>
        <v/>
      </c>
      <c r="AB3043" s="62" t="str">
        <f t="shared" si="47"/>
        <v/>
      </c>
    </row>
    <row r="3044" spans="20:28" x14ac:dyDescent="0.2">
      <c r="T3044" s="60" t="str">
        <f>IF(P3044&lt;&gt;"",
    IF(OR(O3044="", Q3044="", R3044=""),
        "Fill all the required columns",
        IFERROR(
            IF(OR(
                AND(R3044="Marine Protected", VLOOKUP(O3044, Reference!$A$2:$D$34, 4, FALSE) &lt;= P3044),
                AND(R3044="General Use", VLOOKUP(O3044, Reference!$A$2:$D$34, 3, FALSE) &lt;= P3044)
            ),
                "Exceeded",
                "OK"
            ),
            "No Regulation defined"
        )
    ),
    ""
)</f>
        <v/>
      </c>
      <c r="AB3044" s="62" t="str">
        <f t="shared" si="47"/>
        <v/>
      </c>
    </row>
    <row r="3045" spans="20:28" x14ac:dyDescent="0.2">
      <c r="T3045" s="60" t="str">
        <f>IF(P3045&lt;&gt;"",
    IF(OR(O3045="", Q3045="", R3045=""),
        "Fill all the required columns",
        IFERROR(
            IF(OR(
                AND(R3045="Marine Protected", VLOOKUP(O3045, Reference!$A$2:$D$34, 4, FALSE) &lt;= P3045),
                AND(R3045="General Use", VLOOKUP(O3045, Reference!$A$2:$D$34, 3, FALSE) &lt;= P3045)
            ),
                "Exceeded",
                "OK"
            ),
            "No Regulation defined"
        )
    ),
    ""
)</f>
        <v/>
      </c>
      <c r="AB3045" s="62" t="str">
        <f t="shared" si="47"/>
        <v/>
      </c>
    </row>
    <row r="3046" spans="20:28" x14ac:dyDescent="0.2">
      <c r="T3046" s="60" t="str">
        <f>IF(P3046&lt;&gt;"",
    IF(OR(O3046="", Q3046="", R3046=""),
        "Fill all the required columns",
        IFERROR(
            IF(OR(
                AND(R3046="Marine Protected", VLOOKUP(O3046, Reference!$A$2:$D$34, 4, FALSE) &lt;= P3046),
                AND(R3046="General Use", VLOOKUP(O3046, Reference!$A$2:$D$34, 3, FALSE) &lt;= P3046)
            ),
                "Exceeded",
                "OK"
            ),
            "No Regulation defined"
        )
    ),
    ""
)</f>
        <v/>
      </c>
      <c r="AB3046" s="62" t="str">
        <f t="shared" si="47"/>
        <v/>
      </c>
    </row>
    <row r="3047" spans="20:28" x14ac:dyDescent="0.2">
      <c r="T3047" s="60" t="str">
        <f>IF(P3047&lt;&gt;"",
    IF(OR(O3047="", Q3047="", R3047=""),
        "Fill all the required columns",
        IFERROR(
            IF(OR(
                AND(R3047="Marine Protected", VLOOKUP(O3047, Reference!$A$2:$D$34, 4, FALSE) &lt;= P3047),
                AND(R3047="General Use", VLOOKUP(O3047, Reference!$A$2:$D$34, 3, FALSE) &lt;= P3047)
            ),
                "Exceeded",
                "OK"
            ),
            "No Regulation defined"
        )
    ),
    ""
)</f>
        <v/>
      </c>
      <c r="AB3047" s="62" t="str">
        <f t="shared" si="47"/>
        <v/>
      </c>
    </row>
    <row r="3048" spans="20:28" x14ac:dyDescent="0.2">
      <c r="T3048" s="60" t="str">
        <f>IF(P3048&lt;&gt;"",
    IF(OR(O3048="", Q3048="", R3048=""),
        "Fill all the required columns",
        IFERROR(
            IF(OR(
                AND(R3048="Marine Protected", VLOOKUP(O3048, Reference!$A$2:$D$34, 4, FALSE) &lt;= P3048),
                AND(R3048="General Use", VLOOKUP(O3048, Reference!$A$2:$D$34, 3, FALSE) &lt;= P3048)
            ),
                "Exceeded",
                "OK"
            ),
            "No Regulation defined"
        )
    ),
    ""
)</f>
        <v/>
      </c>
      <c r="AB3048" s="62" t="str">
        <f t="shared" si="47"/>
        <v/>
      </c>
    </row>
    <row r="3049" spans="20:28" x14ac:dyDescent="0.2">
      <c r="T3049" s="60" t="str">
        <f>IF(P3049&lt;&gt;"",
    IF(OR(O3049="", Q3049="", R3049=""),
        "Fill all the required columns",
        IFERROR(
            IF(OR(
                AND(R3049="Marine Protected", VLOOKUP(O3049, Reference!$A$2:$D$34, 4, FALSE) &lt;= P3049),
                AND(R3049="General Use", VLOOKUP(O3049, Reference!$A$2:$D$34, 3, FALSE) &lt;= P3049)
            ),
                "Exceeded",
                "OK"
            ),
            "No Regulation defined"
        )
    ),
    ""
)</f>
        <v/>
      </c>
      <c r="AB3049" s="62" t="str">
        <f t="shared" si="47"/>
        <v/>
      </c>
    </row>
    <row r="3050" spans="20:28" x14ac:dyDescent="0.2">
      <c r="T3050" s="60" t="str">
        <f>IF(P3050&lt;&gt;"",
    IF(OR(O3050="", Q3050="", R3050=""),
        "Fill all the required columns",
        IFERROR(
            IF(OR(
                AND(R3050="Marine Protected", VLOOKUP(O3050, Reference!$A$2:$D$34, 4, FALSE) &lt;= P3050),
                AND(R3050="General Use", VLOOKUP(O3050, Reference!$A$2:$D$34, 3, FALSE) &lt;= P3050)
            ),
                "Exceeded",
                "OK"
            ),
            "No Regulation defined"
        )
    ),
    ""
)</f>
        <v/>
      </c>
      <c r="AB3050" s="62" t="str">
        <f t="shared" si="47"/>
        <v/>
      </c>
    </row>
    <row r="3051" spans="20:28" x14ac:dyDescent="0.2">
      <c r="T3051" s="60" t="str">
        <f>IF(P3051&lt;&gt;"",
    IF(OR(O3051="", Q3051="", R3051=""),
        "Fill all the required columns",
        IFERROR(
            IF(OR(
                AND(R3051="Marine Protected", VLOOKUP(O3051, Reference!$A$2:$D$34, 4, FALSE) &lt;= P3051),
                AND(R3051="General Use", VLOOKUP(O3051, Reference!$A$2:$D$34, 3, FALSE) &lt;= P3051)
            ),
                "Exceeded",
                "OK"
            ),
            "No Regulation defined"
        )
    ),
    ""
)</f>
        <v/>
      </c>
      <c r="AB3051" s="62" t="str">
        <f t="shared" si="47"/>
        <v/>
      </c>
    </row>
    <row r="3052" spans="20:28" x14ac:dyDescent="0.2">
      <c r="T3052" s="60" t="str">
        <f>IF(P3052&lt;&gt;"",
    IF(OR(O3052="", Q3052="", R3052=""),
        "Fill all the required columns",
        IFERROR(
            IF(OR(
                AND(R3052="Marine Protected", VLOOKUP(O3052, Reference!$A$2:$D$34, 4, FALSE) &lt;= P3052),
                AND(R3052="General Use", VLOOKUP(O3052, Reference!$A$2:$D$34, 3, FALSE) &lt;= P3052)
            ),
                "Exceeded",
                "OK"
            ),
            "No Regulation defined"
        )
    ),
    ""
)</f>
        <v/>
      </c>
      <c r="AB3052" s="62" t="str">
        <f t="shared" si="47"/>
        <v/>
      </c>
    </row>
    <row r="3053" spans="20:28" x14ac:dyDescent="0.2">
      <c r="T3053" s="60" t="str">
        <f>IF(P3053&lt;&gt;"",
    IF(OR(O3053="", Q3053="", R3053=""),
        "Fill all the required columns",
        IFERROR(
            IF(OR(
                AND(R3053="Marine Protected", VLOOKUP(O3053, Reference!$A$2:$D$34, 4, FALSE) &lt;= P3053),
                AND(R3053="General Use", VLOOKUP(O3053, Reference!$A$2:$D$34, 3, FALSE) &lt;= P3053)
            ),
                "Exceeded",
                "OK"
            ),
            "No Regulation defined"
        )
    ),
    ""
)</f>
        <v/>
      </c>
      <c r="AB3053" s="62" t="str">
        <f t="shared" si="47"/>
        <v/>
      </c>
    </row>
    <row r="3054" spans="20:28" x14ac:dyDescent="0.2">
      <c r="T3054" s="60" t="str">
        <f>IF(P3054&lt;&gt;"",
    IF(OR(O3054="", Q3054="", R3054=""),
        "Fill all the required columns",
        IFERROR(
            IF(OR(
                AND(R3054="Marine Protected", VLOOKUP(O3054, Reference!$A$2:$D$34, 4, FALSE) &lt;= P3054),
                AND(R3054="General Use", VLOOKUP(O3054, Reference!$A$2:$D$34, 3, FALSE) &lt;= P3054)
            ),
                "Exceeded",
                "OK"
            ),
            "No Regulation defined"
        )
    ),
    ""
)</f>
        <v/>
      </c>
      <c r="AB3054" s="62" t="str">
        <f t="shared" si="47"/>
        <v/>
      </c>
    </row>
    <row r="3055" spans="20:28" x14ac:dyDescent="0.2">
      <c r="T3055" s="60" t="str">
        <f>IF(P3055&lt;&gt;"",
    IF(OR(O3055="", Q3055="", R3055=""),
        "Fill all the required columns",
        IFERROR(
            IF(OR(
                AND(R3055="Marine Protected", VLOOKUP(O3055, Reference!$A$2:$D$34, 4, FALSE) &lt;= P3055),
                AND(R3055="General Use", VLOOKUP(O3055, Reference!$A$2:$D$34, 3, FALSE) &lt;= P3055)
            ),
                "Exceeded",
                "OK"
            ),
            "No Regulation defined"
        )
    ),
    ""
)</f>
        <v/>
      </c>
      <c r="AB3055" s="62" t="str">
        <f t="shared" si="47"/>
        <v/>
      </c>
    </row>
    <row r="3056" spans="20:28" x14ac:dyDescent="0.2">
      <c r="T3056" s="60" t="str">
        <f>IF(P3056&lt;&gt;"",
    IF(OR(O3056="", Q3056="", R3056=""),
        "Fill all the required columns",
        IFERROR(
            IF(OR(
                AND(R3056="Marine Protected", VLOOKUP(O3056, Reference!$A$2:$D$34, 4, FALSE) &lt;= P3056),
                AND(R3056="General Use", VLOOKUP(O3056, Reference!$A$2:$D$34, 3, FALSE) &lt;= P3056)
            ),
                "Exceeded",
                "OK"
            ),
            "No Regulation defined"
        )
    ),
    ""
)</f>
        <v/>
      </c>
      <c r="AB3056" s="62" t="str">
        <f t="shared" si="47"/>
        <v/>
      </c>
    </row>
    <row r="3057" spans="20:28" x14ac:dyDescent="0.2">
      <c r="T3057" s="60" t="str">
        <f>IF(P3057&lt;&gt;"",
    IF(OR(O3057="", Q3057="", R3057=""),
        "Fill all the required columns",
        IFERROR(
            IF(OR(
                AND(R3057="Marine Protected", VLOOKUP(O3057, Reference!$A$2:$D$34, 4, FALSE) &lt;= P3057),
                AND(R3057="General Use", VLOOKUP(O3057, Reference!$A$2:$D$34, 3, FALSE) &lt;= P3057)
            ),
                "Exceeded",
                "OK"
            ),
            "No Regulation defined"
        )
    ),
    ""
)</f>
        <v/>
      </c>
      <c r="AB3057" s="62" t="str">
        <f t="shared" si="47"/>
        <v/>
      </c>
    </row>
    <row r="3058" spans="20:28" x14ac:dyDescent="0.2">
      <c r="T3058" s="60" t="str">
        <f>IF(P3058&lt;&gt;"",
    IF(OR(O3058="", Q3058="", R3058=""),
        "Fill all the required columns",
        IFERROR(
            IF(OR(
                AND(R3058="Marine Protected", VLOOKUP(O3058, Reference!$A$2:$D$34, 4, FALSE) &lt;= P3058),
                AND(R3058="General Use", VLOOKUP(O3058, Reference!$A$2:$D$34, 3, FALSE) &lt;= P3058)
            ),
                "Exceeded",
                "OK"
            ),
            "No Regulation defined"
        )
    ),
    ""
)</f>
        <v/>
      </c>
      <c r="AB3058" s="62" t="str">
        <f t="shared" si="47"/>
        <v/>
      </c>
    </row>
    <row r="3059" spans="20:28" x14ac:dyDescent="0.2">
      <c r="T3059" s="60" t="str">
        <f>IF(P3059&lt;&gt;"",
    IF(OR(O3059="", Q3059="", R3059=""),
        "Fill all the required columns",
        IFERROR(
            IF(OR(
                AND(R3059="Marine Protected", VLOOKUP(O3059, Reference!$A$2:$D$34, 4, FALSE) &lt;= P3059),
                AND(R3059="General Use", VLOOKUP(O3059, Reference!$A$2:$D$34, 3, FALSE) &lt;= P3059)
            ),
                "Exceeded",
                "OK"
            ),
            "No Regulation defined"
        )
    ),
    ""
)</f>
        <v/>
      </c>
      <c r="AB3059" s="62" t="str">
        <f t="shared" si="47"/>
        <v/>
      </c>
    </row>
    <row r="3060" spans="20:28" x14ac:dyDescent="0.2">
      <c r="T3060" s="60" t="str">
        <f>IF(P3060&lt;&gt;"",
    IF(OR(O3060="", Q3060="", R3060=""),
        "Fill all the required columns",
        IFERROR(
            IF(OR(
                AND(R3060="Marine Protected", VLOOKUP(O3060, Reference!$A$2:$D$34, 4, FALSE) &lt;= P3060),
                AND(R3060="General Use", VLOOKUP(O3060, Reference!$A$2:$D$34, 3, FALSE) &lt;= P3060)
            ),
                "Exceeded",
                "OK"
            ),
            "No Regulation defined"
        )
    ),
    ""
)</f>
        <v/>
      </c>
      <c r="AB3060" s="62" t="str">
        <f t="shared" si="47"/>
        <v/>
      </c>
    </row>
    <row r="3061" spans="20:28" x14ac:dyDescent="0.2">
      <c r="T3061" s="60" t="str">
        <f>IF(P3061&lt;&gt;"",
    IF(OR(O3061="", Q3061="", R3061=""),
        "Fill all the required columns",
        IFERROR(
            IF(OR(
                AND(R3061="Marine Protected", VLOOKUP(O3061, Reference!$A$2:$D$34, 4, FALSE) &lt;= P3061),
                AND(R3061="General Use", VLOOKUP(O3061, Reference!$A$2:$D$34, 3, FALSE) &lt;= P3061)
            ),
                "Exceeded",
                "OK"
            ),
            "No Regulation defined"
        )
    ),
    ""
)</f>
        <v/>
      </c>
      <c r="AB3061" s="62" t="str">
        <f t="shared" si="47"/>
        <v/>
      </c>
    </row>
    <row r="3062" spans="20:28" x14ac:dyDescent="0.2">
      <c r="T3062" s="60" t="str">
        <f>IF(P3062&lt;&gt;"",
    IF(OR(O3062="", Q3062="", R3062=""),
        "Fill all the required columns",
        IFERROR(
            IF(OR(
                AND(R3062="Marine Protected", VLOOKUP(O3062, Reference!$A$2:$D$34, 4, FALSE) &lt;= P3062),
                AND(R3062="General Use", VLOOKUP(O3062, Reference!$A$2:$D$34, 3, FALSE) &lt;= P3062)
            ),
                "Exceeded",
                "OK"
            ),
            "No Regulation defined"
        )
    ),
    ""
)</f>
        <v/>
      </c>
      <c r="AB3062" s="62" t="str">
        <f t="shared" si="47"/>
        <v/>
      </c>
    </row>
    <row r="3063" spans="20:28" x14ac:dyDescent="0.2">
      <c r="T3063" s="60" t="str">
        <f>IF(P3063&lt;&gt;"",
    IF(OR(O3063="", Q3063="", R3063=""),
        "Fill all the required columns",
        IFERROR(
            IF(OR(
                AND(R3063="Marine Protected", VLOOKUP(O3063, Reference!$A$2:$D$34, 4, FALSE) &lt;= P3063),
                AND(R3063="General Use", VLOOKUP(O3063, Reference!$A$2:$D$34, 3, FALSE) &lt;= P3063)
            ),
                "Exceeded",
                "OK"
            ),
            "No Regulation defined"
        )
    ),
    ""
)</f>
        <v/>
      </c>
      <c r="AB3063" s="62" t="str">
        <f t="shared" si="47"/>
        <v/>
      </c>
    </row>
    <row r="3064" spans="20:28" x14ac:dyDescent="0.2">
      <c r="T3064" s="60" t="str">
        <f>IF(P3064&lt;&gt;"",
    IF(OR(O3064="", Q3064="", R3064=""),
        "Fill all the required columns",
        IFERROR(
            IF(OR(
                AND(R3064="Marine Protected", VLOOKUP(O3064, Reference!$A$2:$D$34, 4, FALSE) &lt;= P3064),
                AND(R3064="General Use", VLOOKUP(O3064, Reference!$A$2:$D$34, 3, FALSE) &lt;= P3064)
            ),
                "Exceeded",
                "OK"
            ),
            "No Regulation defined"
        )
    ),
    ""
)</f>
        <v/>
      </c>
      <c r="AB3064" s="62" t="str">
        <f t="shared" si="47"/>
        <v/>
      </c>
    </row>
    <row r="3065" spans="20:28" x14ac:dyDescent="0.2">
      <c r="T3065" s="60" t="str">
        <f>IF(P3065&lt;&gt;"",
    IF(OR(O3065="", Q3065="", R3065=""),
        "Fill all the required columns",
        IFERROR(
            IF(OR(
                AND(R3065="Marine Protected", VLOOKUP(O3065, Reference!$A$2:$D$34, 4, FALSE) &lt;= P3065),
                AND(R3065="General Use", VLOOKUP(O3065, Reference!$A$2:$D$34, 3, FALSE) &lt;= P3065)
            ),
                "Exceeded",
                "OK"
            ),
            "No Regulation defined"
        )
    ),
    ""
)</f>
        <v/>
      </c>
      <c r="AB3065" s="62" t="str">
        <f t="shared" si="47"/>
        <v/>
      </c>
    </row>
    <row r="3066" spans="20:28" x14ac:dyDescent="0.2">
      <c r="T3066" s="60" t="str">
        <f>IF(P3066&lt;&gt;"",
    IF(OR(O3066="", Q3066="", R3066=""),
        "Fill all the required columns",
        IFERROR(
            IF(OR(
                AND(R3066="Marine Protected", VLOOKUP(O3066, Reference!$A$2:$D$34, 4, FALSE) &lt;= P3066),
                AND(R3066="General Use", VLOOKUP(O3066, Reference!$A$2:$D$34, 3, FALSE) &lt;= P3066)
            ),
                "Exceeded",
                "OK"
            ),
            "No Regulation defined"
        )
    ),
    ""
)</f>
        <v/>
      </c>
      <c r="AB3066" s="62" t="str">
        <f t="shared" si="47"/>
        <v/>
      </c>
    </row>
    <row r="3067" spans="20:28" x14ac:dyDescent="0.2">
      <c r="T3067" s="60" t="str">
        <f>IF(P3067&lt;&gt;"",
    IF(OR(O3067="", Q3067="", R3067=""),
        "Fill all the required columns",
        IFERROR(
            IF(OR(
                AND(R3067="Marine Protected", VLOOKUP(O3067, Reference!$A$2:$D$34, 4, FALSE) &lt;= P3067),
                AND(R3067="General Use", VLOOKUP(O3067, Reference!$A$2:$D$34, 3, FALSE) &lt;= P3067)
            ),
                "Exceeded",
                "OK"
            ),
            "No Regulation defined"
        )
    ),
    ""
)</f>
        <v/>
      </c>
      <c r="AB3067" s="62" t="str">
        <f t="shared" si="47"/>
        <v/>
      </c>
    </row>
    <row r="3068" spans="20:28" x14ac:dyDescent="0.2">
      <c r="T3068" s="60" t="str">
        <f>IF(P3068&lt;&gt;"",
    IF(OR(O3068="", Q3068="", R3068=""),
        "Fill all the required columns",
        IFERROR(
            IF(OR(
                AND(R3068="Marine Protected", VLOOKUP(O3068, Reference!$A$2:$D$34, 4, FALSE) &lt;= P3068),
                AND(R3068="General Use", VLOOKUP(O3068, Reference!$A$2:$D$34, 3, FALSE) &lt;= P3068)
            ),
                "Exceeded",
                "OK"
            ),
            "No Regulation defined"
        )
    ),
    ""
)</f>
        <v/>
      </c>
      <c r="AB3068" s="62" t="str">
        <f t="shared" si="47"/>
        <v/>
      </c>
    </row>
    <row r="3069" spans="20:28" x14ac:dyDescent="0.2">
      <c r="T3069" s="60" t="str">
        <f>IF(P3069&lt;&gt;"",
    IF(OR(O3069="", Q3069="", R3069=""),
        "Fill all the required columns",
        IFERROR(
            IF(OR(
                AND(R3069="Marine Protected", VLOOKUP(O3069, Reference!$A$2:$D$34, 4, FALSE) &lt;= P3069),
                AND(R3069="General Use", VLOOKUP(O3069, Reference!$A$2:$D$34, 3, FALSE) &lt;= P3069)
            ),
                "Exceeded",
                "OK"
            ),
            "No Regulation defined"
        )
    ),
    ""
)</f>
        <v/>
      </c>
      <c r="AB3069" s="62" t="str">
        <f t="shared" si="47"/>
        <v/>
      </c>
    </row>
    <row r="3070" spans="20:28" x14ac:dyDescent="0.2">
      <c r="T3070" s="60" t="str">
        <f>IF(P3070&lt;&gt;"",
    IF(OR(O3070="", Q3070="", R3070=""),
        "Fill all the required columns",
        IFERROR(
            IF(OR(
                AND(R3070="Marine Protected", VLOOKUP(O3070, Reference!$A$2:$D$34, 4, FALSE) &lt;= P3070),
                AND(R3070="General Use", VLOOKUP(O3070, Reference!$A$2:$D$34, 3, FALSE) &lt;= P3070)
            ),
                "Exceeded",
                "OK"
            ),
            "No Regulation defined"
        )
    ),
    ""
)</f>
        <v/>
      </c>
      <c r="AB3070" s="62" t="str">
        <f t="shared" si="47"/>
        <v/>
      </c>
    </row>
    <row r="3071" spans="20:28" x14ac:dyDescent="0.2">
      <c r="T3071" s="60" t="str">
        <f>IF(P3071&lt;&gt;"",
    IF(OR(O3071="", Q3071="", R3071=""),
        "Fill all the required columns",
        IFERROR(
            IF(OR(
                AND(R3071="Marine Protected", VLOOKUP(O3071, Reference!$A$2:$D$34, 4, FALSE) &lt;= P3071),
                AND(R3071="General Use", VLOOKUP(O3071, Reference!$A$2:$D$34, 3, FALSE) &lt;= P3071)
            ),
                "Exceeded",
                "OK"
            ),
            "No Regulation defined"
        )
    ),
    ""
)</f>
        <v/>
      </c>
      <c r="AB3071" s="62" t="str">
        <f t="shared" si="47"/>
        <v/>
      </c>
    </row>
    <row r="3072" spans="20:28" x14ac:dyDescent="0.2">
      <c r="T3072" s="60" t="str">
        <f>IF(P3072&lt;&gt;"",
    IF(OR(O3072="", Q3072="", R3072=""),
        "Fill all the required columns",
        IFERROR(
            IF(OR(
                AND(R3072="Marine Protected", VLOOKUP(O3072, Reference!$A$2:$D$34, 4, FALSE) &lt;= P3072),
                AND(R3072="General Use", VLOOKUP(O3072, Reference!$A$2:$D$34, 3, FALSE) &lt;= P3072)
            ),
                "Exceeded",
                "OK"
            ),
            "No Regulation defined"
        )
    ),
    ""
)</f>
        <v/>
      </c>
      <c r="AB3072" s="62" t="str">
        <f t="shared" si="47"/>
        <v/>
      </c>
    </row>
    <row r="3073" spans="20:28" x14ac:dyDescent="0.2">
      <c r="T3073" s="60" t="str">
        <f>IF(P3073&lt;&gt;"",
    IF(OR(O3073="", Q3073="", R3073=""),
        "Fill all the required columns",
        IFERROR(
            IF(OR(
                AND(R3073="Marine Protected", VLOOKUP(O3073, Reference!$A$2:$D$34, 4, FALSE) &lt;= P3073),
                AND(R3073="General Use", VLOOKUP(O3073, Reference!$A$2:$D$34, 3, FALSE) &lt;= P3073)
            ),
                "Exceeded",
                "OK"
            ),
            "No Regulation defined"
        )
    ),
    ""
)</f>
        <v/>
      </c>
      <c r="AB3073" s="62" t="str">
        <f t="shared" si="47"/>
        <v/>
      </c>
    </row>
    <row r="3074" spans="20:28" x14ac:dyDescent="0.2">
      <c r="T3074" s="60" t="str">
        <f>IF(P3074&lt;&gt;"",
    IF(OR(O3074="", Q3074="", R3074=""),
        "Fill all the required columns",
        IFERROR(
            IF(OR(
                AND(R3074="Marine Protected", VLOOKUP(O3074, Reference!$A$2:$D$34, 4, FALSE) &lt;= P3074),
                AND(R3074="General Use", VLOOKUP(O3074, Reference!$A$2:$D$34, 3, FALSE) &lt;= P3074)
            ),
                "Exceeded",
                "OK"
            ),
            "No Regulation defined"
        )
    ),
    ""
)</f>
        <v/>
      </c>
      <c r="AB3074" s="62" t="str">
        <f t="shared" si="47"/>
        <v/>
      </c>
    </row>
    <row r="3075" spans="20:28" x14ac:dyDescent="0.2">
      <c r="T3075" s="60" t="str">
        <f>IF(P3075&lt;&gt;"",
    IF(OR(O3075="", Q3075="", R3075=""),
        "Fill all the required columns",
        IFERROR(
            IF(OR(
                AND(R3075="Marine Protected", VLOOKUP(O3075, Reference!$A$2:$D$34, 4, FALSE) &lt;= P3075),
                AND(R3075="General Use", VLOOKUP(O3075, Reference!$A$2:$D$34, 3, FALSE) &lt;= P3075)
            ),
                "Exceeded",
                "OK"
            ),
            "No Regulation defined"
        )
    ),
    ""
)</f>
        <v/>
      </c>
      <c r="AB3075" s="62" t="str">
        <f t="shared" ref="AB3075:AB3138" si="48">IF(COUNTA(A3075, E3075, F3075, H3075, I3075, O3075, P3075, Q3075, R3075,S3075) = 0, "", IF(COUNTA(A3075, E3075, F3075, H3075, I3075, O3075, P3075, Q3075, R3075,S3075) = 10, "OK", "Incomplete"))</f>
        <v/>
      </c>
    </row>
    <row r="3076" spans="20:28" x14ac:dyDescent="0.2">
      <c r="T3076" s="60" t="str">
        <f>IF(P3076&lt;&gt;"",
    IF(OR(O3076="", Q3076="", R3076=""),
        "Fill all the required columns",
        IFERROR(
            IF(OR(
                AND(R3076="Marine Protected", VLOOKUP(O3076, Reference!$A$2:$D$34, 4, FALSE) &lt;= P3076),
                AND(R3076="General Use", VLOOKUP(O3076, Reference!$A$2:$D$34, 3, FALSE) &lt;= P3076)
            ),
                "Exceeded",
                "OK"
            ),
            "No Regulation defined"
        )
    ),
    ""
)</f>
        <v/>
      </c>
      <c r="AB3076" s="62" t="str">
        <f t="shared" si="48"/>
        <v/>
      </c>
    </row>
    <row r="3077" spans="20:28" x14ac:dyDescent="0.2">
      <c r="T3077" s="60" t="str">
        <f>IF(P3077&lt;&gt;"",
    IF(OR(O3077="", Q3077="", R3077=""),
        "Fill all the required columns",
        IFERROR(
            IF(OR(
                AND(R3077="Marine Protected", VLOOKUP(O3077, Reference!$A$2:$D$34, 4, FALSE) &lt;= P3077),
                AND(R3077="General Use", VLOOKUP(O3077, Reference!$A$2:$D$34, 3, FALSE) &lt;= P3077)
            ),
                "Exceeded",
                "OK"
            ),
            "No Regulation defined"
        )
    ),
    ""
)</f>
        <v/>
      </c>
      <c r="AB3077" s="62" t="str">
        <f t="shared" si="48"/>
        <v/>
      </c>
    </row>
    <row r="3078" spans="20:28" x14ac:dyDescent="0.2">
      <c r="T3078" s="60" t="str">
        <f>IF(P3078&lt;&gt;"",
    IF(OR(O3078="", Q3078="", R3078=""),
        "Fill all the required columns",
        IFERROR(
            IF(OR(
                AND(R3078="Marine Protected", VLOOKUP(O3078, Reference!$A$2:$D$34, 4, FALSE) &lt;= P3078),
                AND(R3078="General Use", VLOOKUP(O3078, Reference!$A$2:$D$34, 3, FALSE) &lt;= P3078)
            ),
                "Exceeded",
                "OK"
            ),
            "No Regulation defined"
        )
    ),
    ""
)</f>
        <v/>
      </c>
      <c r="AB3078" s="62" t="str">
        <f t="shared" si="48"/>
        <v/>
      </c>
    </row>
    <row r="3079" spans="20:28" x14ac:dyDescent="0.2">
      <c r="T3079" s="60" t="str">
        <f>IF(P3079&lt;&gt;"",
    IF(OR(O3079="", Q3079="", R3079=""),
        "Fill all the required columns",
        IFERROR(
            IF(OR(
                AND(R3079="Marine Protected", VLOOKUP(O3079, Reference!$A$2:$D$34, 4, FALSE) &lt;= P3079),
                AND(R3079="General Use", VLOOKUP(O3079, Reference!$A$2:$D$34, 3, FALSE) &lt;= P3079)
            ),
                "Exceeded",
                "OK"
            ),
            "No Regulation defined"
        )
    ),
    ""
)</f>
        <v/>
      </c>
      <c r="AB3079" s="62" t="str">
        <f t="shared" si="48"/>
        <v/>
      </c>
    </row>
    <row r="3080" spans="20:28" x14ac:dyDescent="0.2">
      <c r="T3080" s="60" t="str">
        <f>IF(P3080&lt;&gt;"",
    IF(OR(O3080="", Q3080="", R3080=""),
        "Fill all the required columns",
        IFERROR(
            IF(OR(
                AND(R3080="Marine Protected", VLOOKUP(O3080, Reference!$A$2:$D$34, 4, FALSE) &lt;= P3080),
                AND(R3080="General Use", VLOOKUP(O3080, Reference!$A$2:$D$34, 3, FALSE) &lt;= P3080)
            ),
                "Exceeded",
                "OK"
            ),
            "No Regulation defined"
        )
    ),
    ""
)</f>
        <v/>
      </c>
      <c r="AB3080" s="62" t="str">
        <f t="shared" si="48"/>
        <v/>
      </c>
    </row>
    <row r="3081" spans="20:28" x14ac:dyDescent="0.2">
      <c r="T3081" s="60" t="str">
        <f>IF(P3081&lt;&gt;"",
    IF(OR(O3081="", Q3081="", R3081=""),
        "Fill all the required columns",
        IFERROR(
            IF(OR(
                AND(R3081="Marine Protected", VLOOKUP(O3081, Reference!$A$2:$D$34, 4, FALSE) &lt;= P3081),
                AND(R3081="General Use", VLOOKUP(O3081, Reference!$A$2:$D$34, 3, FALSE) &lt;= P3081)
            ),
                "Exceeded",
                "OK"
            ),
            "No Regulation defined"
        )
    ),
    ""
)</f>
        <v/>
      </c>
      <c r="AB3081" s="62" t="str">
        <f t="shared" si="48"/>
        <v/>
      </c>
    </row>
    <row r="3082" spans="20:28" x14ac:dyDescent="0.2">
      <c r="T3082" s="60" t="str">
        <f>IF(P3082&lt;&gt;"",
    IF(OR(O3082="", Q3082="", R3082=""),
        "Fill all the required columns",
        IFERROR(
            IF(OR(
                AND(R3082="Marine Protected", VLOOKUP(O3082, Reference!$A$2:$D$34, 4, FALSE) &lt;= P3082),
                AND(R3082="General Use", VLOOKUP(O3082, Reference!$A$2:$D$34, 3, FALSE) &lt;= P3082)
            ),
                "Exceeded",
                "OK"
            ),
            "No Regulation defined"
        )
    ),
    ""
)</f>
        <v/>
      </c>
      <c r="AB3082" s="62" t="str">
        <f t="shared" si="48"/>
        <v/>
      </c>
    </row>
    <row r="3083" spans="20:28" x14ac:dyDescent="0.2">
      <c r="T3083" s="60" t="str">
        <f>IF(P3083&lt;&gt;"",
    IF(OR(O3083="", Q3083="", R3083=""),
        "Fill all the required columns",
        IFERROR(
            IF(OR(
                AND(R3083="Marine Protected", VLOOKUP(O3083, Reference!$A$2:$D$34, 4, FALSE) &lt;= P3083),
                AND(R3083="General Use", VLOOKUP(O3083, Reference!$A$2:$D$34, 3, FALSE) &lt;= P3083)
            ),
                "Exceeded",
                "OK"
            ),
            "No Regulation defined"
        )
    ),
    ""
)</f>
        <v/>
      </c>
      <c r="AB3083" s="62" t="str">
        <f t="shared" si="48"/>
        <v/>
      </c>
    </row>
    <row r="3084" spans="20:28" x14ac:dyDescent="0.2">
      <c r="T3084" s="60" t="str">
        <f>IF(P3084&lt;&gt;"",
    IF(OR(O3084="", Q3084="", R3084=""),
        "Fill all the required columns",
        IFERROR(
            IF(OR(
                AND(R3084="Marine Protected", VLOOKUP(O3084, Reference!$A$2:$D$34, 4, FALSE) &lt;= P3084),
                AND(R3084="General Use", VLOOKUP(O3084, Reference!$A$2:$D$34, 3, FALSE) &lt;= P3084)
            ),
                "Exceeded",
                "OK"
            ),
            "No Regulation defined"
        )
    ),
    ""
)</f>
        <v/>
      </c>
      <c r="AB3084" s="62" t="str">
        <f t="shared" si="48"/>
        <v/>
      </c>
    </row>
    <row r="3085" spans="20:28" x14ac:dyDescent="0.2">
      <c r="T3085" s="60" t="str">
        <f>IF(P3085&lt;&gt;"",
    IF(OR(O3085="", Q3085="", R3085=""),
        "Fill all the required columns",
        IFERROR(
            IF(OR(
                AND(R3085="Marine Protected", VLOOKUP(O3085, Reference!$A$2:$D$34, 4, FALSE) &lt;= P3085),
                AND(R3085="General Use", VLOOKUP(O3085, Reference!$A$2:$D$34, 3, FALSE) &lt;= P3085)
            ),
                "Exceeded",
                "OK"
            ),
            "No Regulation defined"
        )
    ),
    ""
)</f>
        <v/>
      </c>
      <c r="AB3085" s="62" t="str">
        <f t="shared" si="48"/>
        <v/>
      </c>
    </row>
    <row r="3086" spans="20:28" x14ac:dyDescent="0.2">
      <c r="T3086" s="60" t="str">
        <f>IF(P3086&lt;&gt;"",
    IF(OR(O3086="", Q3086="", R3086=""),
        "Fill all the required columns",
        IFERROR(
            IF(OR(
                AND(R3086="Marine Protected", VLOOKUP(O3086, Reference!$A$2:$D$34, 4, FALSE) &lt;= P3086),
                AND(R3086="General Use", VLOOKUP(O3086, Reference!$A$2:$D$34, 3, FALSE) &lt;= P3086)
            ),
                "Exceeded",
                "OK"
            ),
            "No Regulation defined"
        )
    ),
    ""
)</f>
        <v/>
      </c>
      <c r="AB3086" s="62" t="str">
        <f t="shared" si="48"/>
        <v/>
      </c>
    </row>
    <row r="3087" spans="20:28" x14ac:dyDescent="0.2">
      <c r="T3087" s="60" t="str">
        <f>IF(P3087&lt;&gt;"",
    IF(OR(O3087="", Q3087="", R3087=""),
        "Fill all the required columns",
        IFERROR(
            IF(OR(
                AND(R3087="Marine Protected", VLOOKUP(O3087, Reference!$A$2:$D$34, 4, FALSE) &lt;= P3087),
                AND(R3087="General Use", VLOOKUP(O3087, Reference!$A$2:$D$34, 3, FALSE) &lt;= P3087)
            ),
                "Exceeded",
                "OK"
            ),
            "No Regulation defined"
        )
    ),
    ""
)</f>
        <v/>
      </c>
      <c r="AB3087" s="62" t="str">
        <f t="shared" si="48"/>
        <v/>
      </c>
    </row>
    <row r="3088" spans="20:28" x14ac:dyDescent="0.2">
      <c r="T3088" s="60" t="str">
        <f>IF(P3088&lt;&gt;"",
    IF(OR(O3088="", Q3088="", R3088=""),
        "Fill all the required columns",
        IFERROR(
            IF(OR(
                AND(R3088="Marine Protected", VLOOKUP(O3088, Reference!$A$2:$D$34, 4, FALSE) &lt;= P3088),
                AND(R3088="General Use", VLOOKUP(O3088, Reference!$A$2:$D$34, 3, FALSE) &lt;= P3088)
            ),
                "Exceeded",
                "OK"
            ),
            "No Regulation defined"
        )
    ),
    ""
)</f>
        <v/>
      </c>
      <c r="AB3088" s="62" t="str">
        <f t="shared" si="48"/>
        <v/>
      </c>
    </row>
    <row r="3089" spans="20:28" x14ac:dyDescent="0.2">
      <c r="T3089" s="60" t="str">
        <f>IF(P3089&lt;&gt;"",
    IF(OR(O3089="", Q3089="", R3089=""),
        "Fill all the required columns",
        IFERROR(
            IF(OR(
                AND(R3089="Marine Protected", VLOOKUP(O3089, Reference!$A$2:$D$34, 4, FALSE) &lt;= P3089),
                AND(R3089="General Use", VLOOKUP(O3089, Reference!$A$2:$D$34, 3, FALSE) &lt;= P3089)
            ),
                "Exceeded",
                "OK"
            ),
            "No Regulation defined"
        )
    ),
    ""
)</f>
        <v/>
      </c>
      <c r="AB3089" s="62" t="str">
        <f t="shared" si="48"/>
        <v/>
      </c>
    </row>
    <row r="3090" spans="20:28" x14ac:dyDescent="0.2">
      <c r="T3090" s="60" t="str">
        <f>IF(P3090&lt;&gt;"",
    IF(OR(O3090="", Q3090="", R3090=""),
        "Fill all the required columns",
        IFERROR(
            IF(OR(
                AND(R3090="Marine Protected", VLOOKUP(O3090, Reference!$A$2:$D$34, 4, FALSE) &lt;= P3090),
                AND(R3090="General Use", VLOOKUP(O3090, Reference!$A$2:$D$34, 3, FALSE) &lt;= P3090)
            ),
                "Exceeded",
                "OK"
            ),
            "No Regulation defined"
        )
    ),
    ""
)</f>
        <v/>
      </c>
      <c r="AB3090" s="62" t="str">
        <f t="shared" si="48"/>
        <v/>
      </c>
    </row>
    <row r="3091" spans="20:28" x14ac:dyDescent="0.2">
      <c r="T3091" s="60" t="str">
        <f>IF(P3091&lt;&gt;"",
    IF(OR(O3091="", Q3091="", R3091=""),
        "Fill all the required columns",
        IFERROR(
            IF(OR(
                AND(R3091="Marine Protected", VLOOKUP(O3091, Reference!$A$2:$D$34, 4, FALSE) &lt;= P3091),
                AND(R3091="General Use", VLOOKUP(O3091, Reference!$A$2:$D$34, 3, FALSE) &lt;= P3091)
            ),
                "Exceeded",
                "OK"
            ),
            "No Regulation defined"
        )
    ),
    ""
)</f>
        <v/>
      </c>
      <c r="AB3091" s="62" t="str">
        <f t="shared" si="48"/>
        <v/>
      </c>
    </row>
    <row r="3092" spans="20:28" x14ac:dyDescent="0.2">
      <c r="T3092" s="60" t="str">
        <f>IF(P3092&lt;&gt;"",
    IF(OR(O3092="", Q3092="", R3092=""),
        "Fill all the required columns",
        IFERROR(
            IF(OR(
                AND(R3092="Marine Protected", VLOOKUP(O3092, Reference!$A$2:$D$34, 4, FALSE) &lt;= P3092),
                AND(R3092="General Use", VLOOKUP(O3092, Reference!$A$2:$D$34, 3, FALSE) &lt;= P3092)
            ),
                "Exceeded",
                "OK"
            ),
            "No Regulation defined"
        )
    ),
    ""
)</f>
        <v/>
      </c>
      <c r="AB3092" s="62" t="str">
        <f t="shared" si="48"/>
        <v/>
      </c>
    </row>
    <row r="3093" spans="20:28" x14ac:dyDescent="0.2">
      <c r="T3093" s="60" t="str">
        <f>IF(P3093&lt;&gt;"",
    IF(OR(O3093="", Q3093="", R3093=""),
        "Fill all the required columns",
        IFERROR(
            IF(OR(
                AND(R3093="Marine Protected", VLOOKUP(O3093, Reference!$A$2:$D$34, 4, FALSE) &lt;= P3093),
                AND(R3093="General Use", VLOOKUP(O3093, Reference!$A$2:$D$34, 3, FALSE) &lt;= P3093)
            ),
                "Exceeded",
                "OK"
            ),
            "No Regulation defined"
        )
    ),
    ""
)</f>
        <v/>
      </c>
      <c r="AB3093" s="62" t="str">
        <f t="shared" si="48"/>
        <v/>
      </c>
    </row>
    <row r="3094" spans="20:28" x14ac:dyDescent="0.2">
      <c r="T3094" s="60" t="str">
        <f>IF(P3094&lt;&gt;"",
    IF(OR(O3094="", Q3094="", R3094=""),
        "Fill all the required columns",
        IFERROR(
            IF(OR(
                AND(R3094="Marine Protected", VLOOKUP(O3094, Reference!$A$2:$D$34, 4, FALSE) &lt;= P3094),
                AND(R3094="General Use", VLOOKUP(O3094, Reference!$A$2:$D$34, 3, FALSE) &lt;= P3094)
            ),
                "Exceeded",
                "OK"
            ),
            "No Regulation defined"
        )
    ),
    ""
)</f>
        <v/>
      </c>
      <c r="AB3094" s="62" t="str">
        <f t="shared" si="48"/>
        <v/>
      </c>
    </row>
    <row r="3095" spans="20:28" x14ac:dyDescent="0.2">
      <c r="T3095" s="60" t="str">
        <f>IF(P3095&lt;&gt;"",
    IF(OR(O3095="", Q3095="", R3095=""),
        "Fill all the required columns",
        IFERROR(
            IF(OR(
                AND(R3095="Marine Protected", VLOOKUP(O3095, Reference!$A$2:$D$34, 4, FALSE) &lt;= P3095),
                AND(R3095="General Use", VLOOKUP(O3095, Reference!$A$2:$D$34, 3, FALSE) &lt;= P3095)
            ),
                "Exceeded",
                "OK"
            ),
            "No Regulation defined"
        )
    ),
    ""
)</f>
        <v/>
      </c>
      <c r="AB3095" s="62" t="str">
        <f t="shared" si="48"/>
        <v/>
      </c>
    </row>
    <row r="3096" spans="20:28" x14ac:dyDescent="0.2">
      <c r="T3096" s="60" t="str">
        <f>IF(P3096&lt;&gt;"",
    IF(OR(O3096="", Q3096="", R3096=""),
        "Fill all the required columns",
        IFERROR(
            IF(OR(
                AND(R3096="Marine Protected", VLOOKUP(O3096, Reference!$A$2:$D$34, 4, FALSE) &lt;= P3096),
                AND(R3096="General Use", VLOOKUP(O3096, Reference!$A$2:$D$34, 3, FALSE) &lt;= P3096)
            ),
                "Exceeded",
                "OK"
            ),
            "No Regulation defined"
        )
    ),
    ""
)</f>
        <v/>
      </c>
      <c r="AB3096" s="62" t="str">
        <f t="shared" si="48"/>
        <v/>
      </c>
    </row>
    <row r="3097" spans="20:28" x14ac:dyDescent="0.2">
      <c r="T3097" s="60" t="str">
        <f>IF(P3097&lt;&gt;"",
    IF(OR(O3097="", Q3097="", R3097=""),
        "Fill all the required columns",
        IFERROR(
            IF(OR(
                AND(R3097="Marine Protected", VLOOKUP(O3097, Reference!$A$2:$D$34, 4, FALSE) &lt;= P3097),
                AND(R3097="General Use", VLOOKUP(O3097, Reference!$A$2:$D$34, 3, FALSE) &lt;= P3097)
            ),
                "Exceeded",
                "OK"
            ),
            "No Regulation defined"
        )
    ),
    ""
)</f>
        <v/>
      </c>
      <c r="AB3097" s="62" t="str">
        <f t="shared" si="48"/>
        <v/>
      </c>
    </row>
    <row r="3098" spans="20:28" x14ac:dyDescent="0.2">
      <c r="T3098" s="60" t="str">
        <f>IF(P3098&lt;&gt;"",
    IF(OR(O3098="", Q3098="", R3098=""),
        "Fill all the required columns",
        IFERROR(
            IF(OR(
                AND(R3098="Marine Protected", VLOOKUP(O3098, Reference!$A$2:$D$34, 4, FALSE) &lt;= P3098),
                AND(R3098="General Use", VLOOKUP(O3098, Reference!$A$2:$D$34, 3, FALSE) &lt;= P3098)
            ),
                "Exceeded",
                "OK"
            ),
            "No Regulation defined"
        )
    ),
    ""
)</f>
        <v/>
      </c>
      <c r="AB3098" s="62" t="str">
        <f t="shared" si="48"/>
        <v/>
      </c>
    </row>
    <row r="3099" spans="20:28" x14ac:dyDescent="0.2">
      <c r="T3099" s="60" t="str">
        <f>IF(P3099&lt;&gt;"",
    IF(OR(O3099="", Q3099="", R3099=""),
        "Fill all the required columns",
        IFERROR(
            IF(OR(
                AND(R3099="Marine Protected", VLOOKUP(O3099, Reference!$A$2:$D$34, 4, FALSE) &lt;= P3099),
                AND(R3099="General Use", VLOOKUP(O3099, Reference!$A$2:$D$34, 3, FALSE) &lt;= P3099)
            ),
                "Exceeded",
                "OK"
            ),
            "No Regulation defined"
        )
    ),
    ""
)</f>
        <v/>
      </c>
      <c r="AB3099" s="62" t="str">
        <f t="shared" si="48"/>
        <v/>
      </c>
    </row>
    <row r="3100" spans="20:28" x14ac:dyDescent="0.2">
      <c r="T3100" s="60" t="str">
        <f>IF(P3100&lt;&gt;"",
    IF(OR(O3100="", Q3100="", R3100=""),
        "Fill all the required columns",
        IFERROR(
            IF(OR(
                AND(R3100="Marine Protected", VLOOKUP(O3100, Reference!$A$2:$D$34, 4, FALSE) &lt;= P3100),
                AND(R3100="General Use", VLOOKUP(O3100, Reference!$A$2:$D$34, 3, FALSE) &lt;= P3100)
            ),
                "Exceeded",
                "OK"
            ),
            "No Regulation defined"
        )
    ),
    ""
)</f>
        <v/>
      </c>
      <c r="AB3100" s="62" t="str">
        <f t="shared" si="48"/>
        <v/>
      </c>
    </row>
    <row r="3101" spans="20:28" x14ac:dyDescent="0.2">
      <c r="T3101" s="60" t="str">
        <f>IF(P3101&lt;&gt;"",
    IF(OR(O3101="", Q3101="", R3101=""),
        "Fill all the required columns",
        IFERROR(
            IF(OR(
                AND(R3101="Marine Protected", VLOOKUP(O3101, Reference!$A$2:$D$34, 4, FALSE) &lt;= P3101),
                AND(R3101="General Use", VLOOKUP(O3101, Reference!$A$2:$D$34, 3, FALSE) &lt;= P3101)
            ),
                "Exceeded",
                "OK"
            ),
            "No Regulation defined"
        )
    ),
    ""
)</f>
        <v/>
      </c>
      <c r="AB3101" s="62" t="str">
        <f t="shared" si="48"/>
        <v/>
      </c>
    </row>
    <row r="3102" spans="20:28" x14ac:dyDescent="0.2">
      <c r="T3102" s="60" t="str">
        <f>IF(P3102&lt;&gt;"",
    IF(OR(O3102="", Q3102="", R3102=""),
        "Fill all the required columns",
        IFERROR(
            IF(OR(
                AND(R3102="Marine Protected", VLOOKUP(O3102, Reference!$A$2:$D$34, 4, FALSE) &lt;= P3102),
                AND(R3102="General Use", VLOOKUP(O3102, Reference!$A$2:$D$34, 3, FALSE) &lt;= P3102)
            ),
                "Exceeded",
                "OK"
            ),
            "No Regulation defined"
        )
    ),
    ""
)</f>
        <v/>
      </c>
      <c r="AB3102" s="62" t="str">
        <f t="shared" si="48"/>
        <v/>
      </c>
    </row>
    <row r="3103" spans="20:28" x14ac:dyDescent="0.2">
      <c r="T3103" s="60" t="str">
        <f>IF(P3103&lt;&gt;"",
    IF(OR(O3103="", Q3103="", R3103=""),
        "Fill all the required columns",
        IFERROR(
            IF(OR(
                AND(R3103="Marine Protected", VLOOKUP(O3103, Reference!$A$2:$D$34, 4, FALSE) &lt;= P3103),
                AND(R3103="General Use", VLOOKUP(O3103, Reference!$A$2:$D$34, 3, FALSE) &lt;= P3103)
            ),
                "Exceeded",
                "OK"
            ),
            "No Regulation defined"
        )
    ),
    ""
)</f>
        <v/>
      </c>
      <c r="AB3103" s="62" t="str">
        <f t="shared" si="48"/>
        <v/>
      </c>
    </row>
    <row r="3104" spans="20:28" x14ac:dyDescent="0.2">
      <c r="T3104" s="60" t="str">
        <f>IF(P3104&lt;&gt;"",
    IF(OR(O3104="", Q3104="", R3104=""),
        "Fill all the required columns",
        IFERROR(
            IF(OR(
                AND(R3104="Marine Protected", VLOOKUP(O3104, Reference!$A$2:$D$34, 4, FALSE) &lt;= P3104),
                AND(R3104="General Use", VLOOKUP(O3104, Reference!$A$2:$D$34, 3, FALSE) &lt;= P3104)
            ),
                "Exceeded",
                "OK"
            ),
            "No Regulation defined"
        )
    ),
    ""
)</f>
        <v/>
      </c>
      <c r="AB3104" s="62" t="str">
        <f t="shared" si="48"/>
        <v/>
      </c>
    </row>
    <row r="3105" spans="20:28" x14ac:dyDescent="0.2">
      <c r="T3105" s="60" t="str">
        <f>IF(P3105&lt;&gt;"",
    IF(OR(O3105="", Q3105="", R3105=""),
        "Fill all the required columns",
        IFERROR(
            IF(OR(
                AND(R3105="Marine Protected", VLOOKUP(O3105, Reference!$A$2:$D$34, 4, FALSE) &lt;= P3105),
                AND(R3105="General Use", VLOOKUP(O3105, Reference!$A$2:$D$34, 3, FALSE) &lt;= P3105)
            ),
                "Exceeded",
                "OK"
            ),
            "No Regulation defined"
        )
    ),
    ""
)</f>
        <v/>
      </c>
      <c r="AB3105" s="62" t="str">
        <f t="shared" si="48"/>
        <v/>
      </c>
    </row>
    <row r="3106" spans="20:28" x14ac:dyDescent="0.2">
      <c r="T3106" s="60" t="str">
        <f>IF(P3106&lt;&gt;"",
    IF(OR(O3106="", Q3106="", R3106=""),
        "Fill all the required columns",
        IFERROR(
            IF(OR(
                AND(R3106="Marine Protected", VLOOKUP(O3106, Reference!$A$2:$D$34, 4, FALSE) &lt;= P3106),
                AND(R3106="General Use", VLOOKUP(O3106, Reference!$A$2:$D$34, 3, FALSE) &lt;= P3106)
            ),
                "Exceeded",
                "OK"
            ),
            "No Regulation defined"
        )
    ),
    ""
)</f>
        <v/>
      </c>
      <c r="AB3106" s="62" t="str">
        <f t="shared" si="48"/>
        <v/>
      </c>
    </row>
    <row r="3107" spans="20:28" x14ac:dyDescent="0.2">
      <c r="T3107" s="60" t="str">
        <f>IF(P3107&lt;&gt;"",
    IF(OR(O3107="", Q3107="", R3107=""),
        "Fill all the required columns",
        IFERROR(
            IF(OR(
                AND(R3107="Marine Protected", VLOOKUP(O3107, Reference!$A$2:$D$34, 4, FALSE) &lt;= P3107),
                AND(R3107="General Use", VLOOKUP(O3107, Reference!$A$2:$D$34, 3, FALSE) &lt;= P3107)
            ),
                "Exceeded",
                "OK"
            ),
            "No Regulation defined"
        )
    ),
    ""
)</f>
        <v/>
      </c>
      <c r="AB3107" s="62" t="str">
        <f t="shared" si="48"/>
        <v/>
      </c>
    </row>
    <row r="3108" spans="20:28" x14ac:dyDescent="0.2">
      <c r="T3108" s="60" t="str">
        <f>IF(P3108&lt;&gt;"",
    IF(OR(O3108="", Q3108="", R3108=""),
        "Fill all the required columns",
        IFERROR(
            IF(OR(
                AND(R3108="Marine Protected", VLOOKUP(O3108, Reference!$A$2:$D$34, 4, FALSE) &lt;= P3108),
                AND(R3108="General Use", VLOOKUP(O3108, Reference!$A$2:$D$34, 3, FALSE) &lt;= P3108)
            ),
                "Exceeded",
                "OK"
            ),
            "No Regulation defined"
        )
    ),
    ""
)</f>
        <v/>
      </c>
      <c r="AB3108" s="62" t="str">
        <f t="shared" si="48"/>
        <v/>
      </c>
    </row>
    <row r="3109" spans="20:28" x14ac:dyDescent="0.2">
      <c r="T3109" s="60" t="str">
        <f>IF(P3109&lt;&gt;"",
    IF(OR(O3109="", Q3109="", R3109=""),
        "Fill all the required columns",
        IFERROR(
            IF(OR(
                AND(R3109="Marine Protected", VLOOKUP(O3109, Reference!$A$2:$D$34, 4, FALSE) &lt;= P3109),
                AND(R3109="General Use", VLOOKUP(O3109, Reference!$A$2:$D$34, 3, FALSE) &lt;= P3109)
            ),
                "Exceeded",
                "OK"
            ),
            "No Regulation defined"
        )
    ),
    ""
)</f>
        <v/>
      </c>
      <c r="AB3109" s="62" t="str">
        <f t="shared" si="48"/>
        <v/>
      </c>
    </row>
    <row r="3110" spans="20:28" x14ac:dyDescent="0.2">
      <c r="T3110" s="60" t="str">
        <f>IF(P3110&lt;&gt;"",
    IF(OR(O3110="", Q3110="", R3110=""),
        "Fill all the required columns",
        IFERROR(
            IF(OR(
                AND(R3110="Marine Protected", VLOOKUP(O3110, Reference!$A$2:$D$34, 4, FALSE) &lt;= P3110),
                AND(R3110="General Use", VLOOKUP(O3110, Reference!$A$2:$D$34, 3, FALSE) &lt;= P3110)
            ),
                "Exceeded",
                "OK"
            ),
            "No Regulation defined"
        )
    ),
    ""
)</f>
        <v/>
      </c>
      <c r="AB3110" s="62" t="str">
        <f t="shared" si="48"/>
        <v/>
      </c>
    </row>
    <row r="3111" spans="20:28" x14ac:dyDescent="0.2">
      <c r="T3111" s="60" t="str">
        <f>IF(P3111&lt;&gt;"",
    IF(OR(O3111="", Q3111="", R3111=""),
        "Fill all the required columns",
        IFERROR(
            IF(OR(
                AND(R3111="Marine Protected", VLOOKUP(O3111, Reference!$A$2:$D$34, 4, FALSE) &lt;= P3111),
                AND(R3111="General Use", VLOOKUP(O3111, Reference!$A$2:$D$34, 3, FALSE) &lt;= P3111)
            ),
                "Exceeded",
                "OK"
            ),
            "No Regulation defined"
        )
    ),
    ""
)</f>
        <v/>
      </c>
      <c r="AB3111" s="62" t="str">
        <f t="shared" si="48"/>
        <v/>
      </c>
    </row>
    <row r="3112" spans="20:28" x14ac:dyDescent="0.2">
      <c r="T3112" s="60" t="str">
        <f>IF(P3112&lt;&gt;"",
    IF(OR(O3112="", Q3112="", R3112=""),
        "Fill all the required columns",
        IFERROR(
            IF(OR(
                AND(R3112="Marine Protected", VLOOKUP(O3112, Reference!$A$2:$D$34, 4, FALSE) &lt;= P3112),
                AND(R3112="General Use", VLOOKUP(O3112, Reference!$A$2:$D$34, 3, FALSE) &lt;= P3112)
            ),
                "Exceeded",
                "OK"
            ),
            "No Regulation defined"
        )
    ),
    ""
)</f>
        <v/>
      </c>
      <c r="AB3112" s="62" t="str">
        <f t="shared" si="48"/>
        <v/>
      </c>
    </row>
    <row r="3113" spans="20:28" x14ac:dyDescent="0.2">
      <c r="T3113" s="60" t="str">
        <f>IF(P3113&lt;&gt;"",
    IF(OR(O3113="", Q3113="", R3113=""),
        "Fill all the required columns",
        IFERROR(
            IF(OR(
                AND(R3113="Marine Protected", VLOOKUP(O3113, Reference!$A$2:$D$34, 4, FALSE) &lt;= P3113),
                AND(R3113="General Use", VLOOKUP(O3113, Reference!$A$2:$D$34, 3, FALSE) &lt;= P3113)
            ),
                "Exceeded",
                "OK"
            ),
            "No Regulation defined"
        )
    ),
    ""
)</f>
        <v/>
      </c>
      <c r="AB3113" s="62" t="str">
        <f t="shared" si="48"/>
        <v/>
      </c>
    </row>
    <row r="3114" spans="20:28" x14ac:dyDescent="0.2">
      <c r="T3114" s="60" t="str">
        <f>IF(P3114&lt;&gt;"",
    IF(OR(O3114="", Q3114="", R3114=""),
        "Fill all the required columns",
        IFERROR(
            IF(OR(
                AND(R3114="Marine Protected", VLOOKUP(O3114, Reference!$A$2:$D$34, 4, FALSE) &lt;= P3114),
                AND(R3114="General Use", VLOOKUP(O3114, Reference!$A$2:$D$34, 3, FALSE) &lt;= P3114)
            ),
                "Exceeded",
                "OK"
            ),
            "No Regulation defined"
        )
    ),
    ""
)</f>
        <v/>
      </c>
      <c r="AB3114" s="62" t="str">
        <f t="shared" si="48"/>
        <v/>
      </c>
    </row>
    <row r="3115" spans="20:28" x14ac:dyDescent="0.2">
      <c r="T3115" s="60" t="str">
        <f>IF(P3115&lt;&gt;"",
    IF(OR(O3115="", Q3115="", R3115=""),
        "Fill all the required columns",
        IFERROR(
            IF(OR(
                AND(R3115="Marine Protected", VLOOKUP(O3115, Reference!$A$2:$D$34, 4, FALSE) &lt;= P3115),
                AND(R3115="General Use", VLOOKUP(O3115, Reference!$A$2:$D$34, 3, FALSE) &lt;= P3115)
            ),
                "Exceeded",
                "OK"
            ),
            "No Regulation defined"
        )
    ),
    ""
)</f>
        <v/>
      </c>
      <c r="AB3115" s="62" t="str">
        <f t="shared" si="48"/>
        <v/>
      </c>
    </row>
    <row r="3116" spans="20:28" x14ac:dyDescent="0.2">
      <c r="T3116" s="60" t="str">
        <f>IF(P3116&lt;&gt;"",
    IF(OR(O3116="", Q3116="", R3116=""),
        "Fill all the required columns",
        IFERROR(
            IF(OR(
                AND(R3116="Marine Protected", VLOOKUP(O3116, Reference!$A$2:$D$34, 4, FALSE) &lt;= P3116),
                AND(R3116="General Use", VLOOKUP(O3116, Reference!$A$2:$D$34, 3, FALSE) &lt;= P3116)
            ),
                "Exceeded",
                "OK"
            ),
            "No Regulation defined"
        )
    ),
    ""
)</f>
        <v/>
      </c>
      <c r="AB3116" s="62" t="str">
        <f t="shared" si="48"/>
        <v/>
      </c>
    </row>
    <row r="3117" spans="20:28" x14ac:dyDescent="0.2">
      <c r="T3117" s="60" t="str">
        <f>IF(P3117&lt;&gt;"",
    IF(OR(O3117="", Q3117="", R3117=""),
        "Fill all the required columns",
        IFERROR(
            IF(OR(
                AND(R3117="Marine Protected", VLOOKUP(O3117, Reference!$A$2:$D$34, 4, FALSE) &lt;= P3117),
                AND(R3117="General Use", VLOOKUP(O3117, Reference!$A$2:$D$34, 3, FALSE) &lt;= P3117)
            ),
                "Exceeded",
                "OK"
            ),
            "No Regulation defined"
        )
    ),
    ""
)</f>
        <v/>
      </c>
      <c r="AB3117" s="62" t="str">
        <f t="shared" si="48"/>
        <v/>
      </c>
    </row>
    <row r="3118" spans="20:28" x14ac:dyDescent="0.2">
      <c r="T3118" s="60" t="str">
        <f>IF(P3118&lt;&gt;"",
    IF(OR(O3118="", Q3118="", R3118=""),
        "Fill all the required columns",
        IFERROR(
            IF(OR(
                AND(R3118="Marine Protected", VLOOKUP(O3118, Reference!$A$2:$D$34, 4, FALSE) &lt;= P3118),
                AND(R3118="General Use", VLOOKUP(O3118, Reference!$A$2:$D$34, 3, FALSE) &lt;= P3118)
            ),
                "Exceeded",
                "OK"
            ),
            "No Regulation defined"
        )
    ),
    ""
)</f>
        <v/>
      </c>
      <c r="AB3118" s="62" t="str">
        <f t="shared" si="48"/>
        <v/>
      </c>
    </row>
    <row r="3119" spans="20:28" x14ac:dyDescent="0.2">
      <c r="T3119" s="60" t="str">
        <f>IF(P3119&lt;&gt;"",
    IF(OR(O3119="", Q3119="", R3119=""),
        "Fill all the required columns",
        IFERROR(
            IF(OR(
                AND(R3119="Marine Protected", VLOOKUP(O3119, Reference!$A$2:$D$34, 4, FALSE) &lt;= P3119),
                AND(R3119="General Use", VLOOKUP(O3119, Reference!$A$2:$D$34, 3, FALSE) &lt;= P3119)
            ),
                "Exceeded",
                "OK"
            ),
            "No Regulation defined"
        )
    ),
    ""
)</f>
        <v/>
      </c>
      <c r="AB3119" s="62" t="str">
        <f t="shared" si="48"/>
        <v/>
      </c>
    </row>
    <row r="3120" spans="20:28" x14ac:dyDescent="0.2">
      <c r="T3120" s="60" t="str">
        <f>IF(P3120&lt;&gt;"",
    IF(OR(O3120="", Q3120="", R3120=""),
        "Fill all the required columns",
        IFERROR(
            IF(OR(
                AND(R3120="Marine Protected", VLOOKUP(O3120, Reference!$A$2:$D$34, 4, FALSE) &lt;= P3120),
                AND(R3120="General Use", VLOOKUP(O3120, Reference!$A$2:$D$34, 3, FALSE) &lt;= P3120)
            ),
                "Exceeded",
                "OK"
            ),
            "No Regulation defined"
        )
    ),
    ""
)</f>
        <v/>
      </c>
      <c r="AB3120" s="62" t="str">
        <f t="shared" si="48"/>
        <v/>
      </c>
    </row>
    <row r="3121" spans="20:28" x14ac:dyDescent="0.2">
      <c r="T3121" s="60" t="str">
        <f>IF(P3121&lt;&gt;"",
    IF(OR(O3121="", Q3121="", R3121=""),
        "Fill all the required columns",
        IFERROR(
            IF(OR(
                AND(R3121="Marine Protected", VLOOKUP(O3121, Reference!$A$2:$D$34, 4, FALSE) &lt;= P3121),
                AND(R3121="General Use", VLOOKUP(O3121, Reference!$A$2:$D$34, 3, FALSE) &lt;= P3121)
            ),
                "Exceeded",
                "OK"
            ),
            "No Regulation defined"
        )
    ),
    ""
)</f>
        <v/>
      </c>
      <c r="AB3121" s="62" t="str">
        <f t="shared" si="48"/>
        <v/>
      </c>
    </row>
    <row r="3122" spans="20:28" x14ac:dyDescent="0.2">
      <c r="T3122" s="60" t="str">
        <f>IF(P3122&lt;&gt;"",
    IF(OR(O3122="", Q3122="", R3122=""),
        "Fill all the required columns",
        IFERROR(
            IF(OR(
                AND(R3122="Marine Protected", VLOOKUP(O3122, Reference!$A$2:$D$34, 4, FALSE) &lt;= P3122),
                AND(R3122="General Use", VLOOKUP(O3122, Reference!$A$2:$D$34, 3, FALSE) &lt;= P3122)
            ),
                "Exceeded",
                "OK"
            ),
            "No Regulation defined"
        )
    ),
    ""
)</f>
        <v/>
      </c>
      <c r="AB3122" s="62" t="str">
        <f t="shared" si="48"/>
        <v/>
      </c>
    </row>
    <row r="3123" spans="20:28" x14ac:dyDescent="0.2">
      <c r="T3123" s="60" t="str">
        <f>IF(P3123&lt;&gt;"",
    IF(OR(O3123="", Q3123="", R3123=""),
        "Fill all the required columns",
        IFERROR(
            IF(OR(
                AND(R3123="Marine Protected", VLOOKUP(O3123, Reference!$A$2:$D$34, 4, FALSE) &lt;= P3123),
                AND(R3123="General Use", VLOOKUP(O3123, Reference!$A$2:$D$34, 3, FALSE) &lt;= P3123)
            ),
                "Exceeded",
                "OK"
            ),
            "No Regulation defined"
        )
    ),
    ""
)</f>
        <v/>
      </c>
      <c r="AB3123" s="62" t="str">
        <f t="shared" si="48"/>
        <v/>
      </c>
    </row>
    <row r="3124" spans="20:28" x14ac:dyDescent="0.2">
      <c r="T3124" s="60" t="str">
        <f>IF(P3124&lt;&gt;"",
    IF(OR(O3124="", Q3124="", R3124=""),
        "Fill all the required columns",
        IFERROR(
            IF(OR(
                AND(R3124="Marine Protected", VLOOKUP(O3124, Reference!$A$2:$D$34, 4, FALSE) &lt;= P3124),
                AND(R3124="General Use", VLOOKUP(O3124, Reference!$A$2:$D$34, 3, FALSE) &lt;= P3124)
            ),
                "Exceeded",
                "OK"
            ),
            "No Regulation defined"
        )
    ),
    ""
)</f>
        <v/>
      </c>
      <c r="AB3124" s="62" t="str">
        <f t="shared" si="48"/>
        <v/>
      </c>
    </row>
    <row r="3125" spans="20:28" x14ac:dyDescent="0.2">
      <c r="T3125" s="60" t="str">
        <f>IF(P3125&lt;&gt;"",
    IF(OR(O3125="", Q3125="", R3125=""),
        "Fill all the required columns",
        IFERROR(
            IF(OR(
                AND(R3125="Marine Protected", VLOOKUP(O3125, Reference!$A$2:$D$34, 4, FALSE) &lt;= P3125),
                AND(R3125="General Use", VLOOKUP(O3125, Reference!$A$2:$D$34, 3, FALSE) &lt;= P3125)
            ),
                "Exceeded",
                "OK"
            ),
            "No Regulation defined"
        )
    ),
    ""
)</f>
        <v/>
      </c>
      <c r="AB3125" s="62" t="str">
        <f t="shared" si="48"/>
        <v/>
      </c>
    </row>
    <row r="3126" spans="20:28" x14ac:dyDescent="0.2">
      <c r="T3126" s="60" t="str">
        <f>IF(P3126&lt;&gt;"",
    IF(OR(O3126="", Q3126="", R3126=""),
        "Fill all the required columns",
        IFERROR(
            IF(OR(
                AND(R3126="Marine Protected", VLOOKUP(O3126, Reference!$A$2:$D$34, 4, FALSE) &lt;= P3126),
                AND(R3126="General Use", VLOOKUP(O3126, Reference!$A$2:$D$34, 3, FALSE) &lt;= P3126)
            ),
                "Exceeded",
                "OK"
            ),
            "No Regulation defined"
        )
    ),
    ""
)</f>
        <v/>
      </c>
      <c r="AB3126" s="62" t="str">
        <f t="shared" si="48"/>
        <v/>
      </c>
    </row>
    <row r="3127" spans="20:28" x14ac:dyDescent="0.2">
      <c r="T3127" s="60" t="str">
        <f>IF(P3127&lt;&gt;"",
    IF(OR(O3127="", Q3127="", R3127=""),
        "Fill all the required columns",
        IFERROR(
            IF(OR(
                AND(R3127="Marine Protected", VLOOKUP(O3127, Reference!$A$2:$D$34, 4, FALSE) &lt;= P3127),
                AND(R3127="General Use", VLOOKUP(O3127, Reference!$A$2:$D$34, 3, FALSE) &lt;= P3127)
            ),
                "Exceeded",
                "OK"
            ),
            "No Regulation defined"
        )
    ),
    ""
)</f>
        <v/>
      </c>
      <c r="AB3127" s="62" t="str">
        <f t="shared" si="48"/>
        <v/>
      </c>
    </row>
    <row r="3128" spans="20:28" x14ac:dyDescent="0.2">
      <c r="T3128" s="60" t="str">
        <f>IF(P3128&lt;&gt;"",
    IF(OR(O3128="", Q3128="", R3128=""),
        "Fill all the required columns",
        IFERROR(
            IF(OR(
                AND(R3128="Marine Protected", VLOOKUP(O3128, Reference!$A$2:$D$34, 4, FALSE) &lt;= P3128),
                AND(R3128="General Use", VLOOKUP(O3128, Reference!$A$2:$D$34, 3, FALSE) &lt;= P3128)
            ),
                "Exceeded",
                "OK"
            ),
            "No Regulation defined"
        )
    ),
    ""
)</f>
        <v/>
      </c>
      <c r="AB3128" s="62" t="str">
        <f t="shared" si="48"/>
        <v/>
      </c>
    </row>
    <row r="3129" spans="20:28" x14ac:dyDescent="0.2">
      <c r="T3129" s="60" t="str">
        <f>IF(P3129&lt;&gt;"",
    IF(OR(O3129="", Q3129="", R3129=""),
        "Fill all the required columns",
        IFERROR(
            IF(OR(
                AND(R3129="Marine Protected", VLOOKUP(O3129, Reference!$A$2:$D$34, 4, FALSE) &lt;= P3129),
                AND(R3129="General Use", VLOOKUP(O3129, Reference!$A$2:$D$34, 3, FALSE) &lt;= P3129)
            ),
                "Exceeded",
                "OK"
            ),
            "No Regulation defined"
        )
    ),
    ""
)</f>
        <v/>
      </c>
      <c r="AB3129" s="62" t="str">
        <f t="shared" si="48"/>
        <v/>
      </c>
    </row>
    <row r="3130" spans="20:28" x14ac:dyDescent="0.2">
      <c r="T3130" s="60" t="str">
        <f>IF(P3130&lt;&gt;"",
    IF(OR(O3130="", Q3130="", R3130=""),
        "Fill all the required columns",
        IFERROR(
            IF(OR(
                AND(R3130="Marine Protected", VLOOKUP(O3130, Reference!$A$2:$D$34, 4, FALSE) &lt;= P3130),
                AND(R3130="General Use", VLOOKUP(O3130, Reference!$A$2:$D$34, 3, FALSE) &lt;= P3130)
            ),
                "Exceeded",
                "OK"
            ),
            "No Regulation defined"
        )
    ),
    ""
)</f>
        <v/>
      </c>
      <c r="AB3130" s="62" t="str">
        <f t="shared" si="48"/>
        <v/>
      </c>
    </row>
    <row r="3131" spans="20:28" x14ac:dyDescent="0.2">
      <c r="T3131" s="60" t="str">
        <f>IF(P3131&lt;&gt;"",
    IF(OR(O3131="", Q3131="", R3131=""),
        "Fill all the required columns",
        IFERROR(
            IF(OR(
                AND(R3131="Marine Protected", VLOOKUP(O3131, Reference!$A$2:$D$34, 4, FALSE) &lt;= P3131),
                AND(R3131="General Use", VLOOKUP(O3131, Reference!$A$2:$D$34, 3, FALSE) &lt;= P3131)
            ),
                "Exceeded",
                "OK"
            ),
            "No Regulation defined"
        )
    ),
    ""
)</f>
        <v/>
      </c>
      <c r="AB3131" s="62" t="str">
        <f t="shared" si="48"/>
        <v/>
      </c>
    </row>
    <row r="3132" spans="20:28" x14ac:dyDescent="0.2">
      <c r="T3132" s="60" t="str">
        <f>IF(P3132&lt;&gt;"",
    IF(OR(O3132="", Q3132="", R3132=""),
        "Fill all the required columns",
        IFERROR(
            IF(OR(
                AND(R3132="Marine Protected", VLOOKUP(O3132, Reference!$A$2:$D$34, 4, FALSE) &lt;= P3132),
                AND(R3132="General Use", VLOOKUP(O3132, Reference!$A$2:$D$34, 3, FALSE) &lt;= P3132)
            ),
                "Exceeded",
                "OK"
            ),
            "No Regulation defined"
        )
    ),
    ""
)</f>
        <v/>
      </c>
      <c r="AB3132" s="62" t="str">
        <f t="shared" si="48"/>
        <v/>
      </c>
    </row>
    <row r="3133" spans="20:28" x14ac:dyDescent="0.2">
      <c r="T3133" s="60" t="str">
        <f>IF(P3133&lt;&gt;"",
    IF(OR(O3133="", Q3133="", R3133=""),
        "Fill all the required columns",
        IFERROR(
            IF(OR(
                AND(R3133="Marine Protected", VLOOKUP(O3133, Reference!$A$2:$D$34, 4, FALSE) &lt;= P3133),
                AND(R3133="General Use", VLOOKUP(O3133, Reference!$A$2:$D$34, 3, FALSE) &lt;= P3133)
            ),
                "Exceeded",
                "OK"
            ),
            "No Regulation defined"
        )
    ),
    ""
)</f>
        <v/>
      </c>
      <c r="AB3133" s="62" t="str">
        <f t="shared" si="48"/>
        <v/>
      </c>
    </row>
    <row r="3134" spans="20:28" x14ac:dyDescent="0.2">
      <c r="T3134" s="60" t="str">
        <f>IF(P3134&lt;&gt;"",
    IF(OR(O3134="", Q3134="", R3134=""),
        "Fill all the required columns",
        IFERROR(
            IF(OR(
                AND(R3134="Marine Protected", VLOOKUP(O3134, Reference!$A$2:$D$34, 4, FALSE) &lt;= P3134),
                AND(R3134="General Use", VLOOKUP(O3134, Reference!$A$2:$D$34, 3, FALSE) &lt;= P3134)
            ),
                "Exceeded",
                "OK"
            ),
            "No Regulation defined"
        )
    ),
    ""
)</f>
        <v/>
      </c>
      <c r="AB3134" s="62" t="str">
        <f t="shared" si="48"/>
        <v/>
      </c>
    </row>
    <row r="3135" spans="20:28" x14ac:dyDescent="0.2">
      <c r="T3135" s="60" t="str">
        <f>IF(P3135&lt;&gt;"",
    IF(OR(O3135="", Q3135="", R3135=""),
        "Fill all the required columns",
        IFERROR(
            IF(OR(
                AND(R3135="Marine Protected", VLOOKUP(O3135, Reference!$A$2:$D$34, 4, FALSE) &lt;= P3135),
                AND(R3135="General Use", VLOOKUP(O3135, Reference!$A$2:$D$34, 3, FALSE) &lt;= P3135)
            ),
                "Exceeded",
                "OK"
            ),
            "No Regulation defined"
        )
    ),
    ""
)</f>
        <v/>
      </c>
      <c r="AB3135" s="62" t="str">
        <f t="shared" si="48"/>
        <v/>
      </c>
    </row>
    <row r="3136" spans="20:28" x14ac:dyDescent="0.2">
      <c r="T3136" s="60" t="str">
        <f>IF(P3136&lt;&gt;"",
    IF(OR(O3136="", Q3136="", R3136=""),
        "Fill all the required columns",
        IFERROR(
            IF(OR(
                AND(R3136="Marine Protected", VLOOKUP(O3136, Reference!$A$2:$D$34, 4, FALSE) &lt;= P3136),
                AND(R3136="General Use", VLOOKUP(O3136, Reference!$A$2:$D$34, 3, FALSE) &lt;= P3136)
            ),
                "Exceeded",
                "OK"
            ),
            "No Regulation defined"
        )
    ),
    ""
)</f>
        <v/>
      </c>
      <c r="AB3136" s="62" t="str">
        <f t="shared" si="48"/>
        <v/>
      </c>
    </row>
    <row r="3137" spans="20:28" x14ac:dyDescent="0.2">
      <c r="T3137" s="60" t="str">
        <f>IF(P3137&lt;&gt;"",
    IF(OR(O3137="", Q3137="", R3137=""),
        "Fill all the required columns",
        IFERROR(
            IF(OR(
                AND(R3137="Marine Protected", VLOOKUP(O3137, Reference!$A$2:$D$34, 4, FALSE) &lt;= P3137),
                AND(R3137="General Use", VLOOKUP(O3137, Reference!$A$2:$D$34, 3, FALSE) &lt;= P3137)
            ),
                "Exceeded",
                "OK"
            ),
            "No Regulation defined"
        )
    ),
    ""
)</f>
        <v/>
      </c>
      <c r="AB3137" s="62" t="str">
        <f t="shared" si="48"/>
        <v/>
      </c>
    </row>
    <row r="3138" spans="20:28" x14ac:dyDescent="0.2">
      <c r="T3138" s="60" t="str">
        <f>IF(P3138&lt;&gt;"",
    IF(OR(O3138="", Q3138="", R3138=""),
        "Fill all the required columns",
        IFERROR(
            IF(OR(
                AND(R3138="Marine Protected", VLOOKUP(O3138, Reference!$A$2:$D$34, 4, FALSE) &lt;= P3138),
                AND(R3138="General Use", VLOOKUP(O3138, Reference!$A$2:$D$34, 3, FALSE) &lt;= P3138)
            ),
                "Exceeded",
                "OK"
            ),
            "No Regulation defined"
        )
    ),
    ""
)</f>
        <v/>
      </c>
      <c r="AB3138" s="62" t="str">
        <f t="shared" si="48"/>
        <v/>
      </c>
    </row>
    <row r="3139" spans="20:28" x14ac:dyDescent="0.2">
      <c r="T3139" s="60" t="str">
        <f>IF(P3139&lt;&gt;"",
    IF(OR(O3139="", Q3139="", R3139=""),
        "Fill all the required columns",
        IFERROR(
            IF(OR(
                AND(R3139="Marine Protected", VLOOKUP(O3139, Reference!$A$2:$D$34, 4, FALSE) &lt;= P3139),
                AND(R3139="General Use", VLOOKUP(O3139, Reference!$A$2:$D$34, 3, FALSE) &lt;= P3139)
            ),
                "Exceeded",
                "OK"
            ),
            "No Regulation defined"
        )
    ),
    ""
)</f>
        <v/>
      </c>
      <c r="AB3139" s="62" t="str">
        <f t="shared" ref="AB3139:AB3202" si="49">IF(COUNTA(A3139, E3139, F3139, H3139, I3139, O3139, P3139, Q3139, R3139,S3139) = 0, "", IF(COUNTA(A3139, E3139, F3139, H3139, I3139, O3139, P3139, Q3139, R3139,S3139) = 10, "OK", "Incomplete"))</f>
        <v/>
      </c>
    </row>
    <row r="3140" spans="20:28" x14ac:dyDescent="0.2">
      <c r="T3140" s="60" t="str">
        <f>IF(P3140&lt;&gt;"",
    IF(OR(O3140="", Q3140="", R3140=""),
        "Fill all the required columns",
        IFERROR(
            IF(OR(
                AND(R3140="Marine Protected", VLOOKUP(O3140, Reference!$A$2:$D$34, 4, FALSE) &lt;= P3140),
                AND(R3140="General Use", VLOOKUP(O3140, Reference!$A$2:$D$34, 3, FALSE) &lt;= P3140)
            ),
                "Exceeded",
                "OK"
            ),
            "No Regulation defined"
        )
    ),
    ""
)</f>
        <v/>
      </c>
      <c r="AB3140" s="62" t="str">
        <f t="shared" si="49"/>
        <v/>
      </c>
    </row>
    <row r="3141" spans="20:28" x14ac:dyDescent="0.2">
      <c r="T3141" s="60" t="str">
        <f>IF(P3141&lt;&gt;"",
    IF(OR(O3141="", Q3141="", R3141=""),
        "Fill all the required columns",
        IFERROR(
            IF(OR(
                AND(R3141="Marine Protected", VLOOKUP(O3141, Reference!$A$2:$D$34, 4, FALSE) &lt;= P3141),
                AND(R3141="General Use", VLOOKUP(O3141, Reference!$A$2:$D$34, 3, FALSE) &lt;= P3141)
            ),
                "Exceeded",
                "OK"
            ),
            "No Regulation defined"
        )
    ),
    ""
)</f>
        <v/>
      </c>
      <c r="AB3141" s="62" t="str">
        <f t="shared" si="49"/>
        <v/>
      </c>
    </row>
    <row r="3142" spans="20:28" x14ac:dyDescent="0.2">
      <c r="T3142" s="60" t="str">
        <f>IF(P3142&lt;&gt;"",
    IF(OR(O3142="", Q3142="", R3142=""),
        "Fill all the required columns",
        IFERROR(
            IF(OR(
                AND(R3142="Marine Protected", VLOOKUP(O3142, Reference!$A$2:$D$34, 4, FALSE) &lt;= P3142),
                AND(R3142="General Use", VLOOKUP(O3142, Reference!$A$2:$D$34, 3, FALSE) &lt;= P3142)
            ),
                "Exceeded",
                "OK"
            ),
            "No Regulation defined"
        )
    ),
    ""
)</f>
        <v/>
      </c>
      <c r="AB3142" s="62" t="str">
        <f t="shared" si="49"/>
        <v/>
      </c>
    </row>
    <row r="3143" spans="20:28" x14ac:dyDescent="0.2">
      <c r="T3143" s="60" t="str">
        <f>IF(P3143&lt;&gt;"",
    IF(OR(O3143="", Q3143="", R3143=""),
        "Fill all the required columns",
        IFERROR(
            IF(OR(
                AND(R3143="Marine Protected", VLOOKUP(O3143, Reference!$A$2:$D$34, 4, FALSE) &lt;= P3143),
                AND(R3143="General Use", VLOOKUP(O3143, Reference!$A$2:$D$34, 3, FALSE) &lt;= P3143)
            ),
                "Exceeded",
                "OK"
            ),
            "No Regulation defined"
        )
    ),
    ""
)</f>
        <v/>
      </c>
      <c r="AB3143" s="62" t="str">
        <f t="shared" si="49"/>
        <v/>
      </c>
    </row>
    <row r="3144" spans="20:28" x14ac:dyDescent="0.2">
      <c r="T3144" s="60" t="str">
        <f>IF(P3144&lt;&gt;"",
    IF(OR(O3144="", Q3144="", R3144=""),
        "Fill all the required columns",
        IFERROR(
            IF(OR(
                AND(R3144="Marine Protected", VLOOKUP(O3144, Reference!$A$2:$D$34, 4, FALSE) &lt;= P3144),
                AND(R3144="General Use", VLOOKUP(O3144, Reference!$A$2:$D$34, 3, FALSE) &lt;= P3144)
            ),
                "Exceeded",
                "OK"
            ),
            "No Regulation defined"
        )
    ),
    ""
)</f>
        <v/>
      </c>
      <c r="AB3144" s="62" t="str">
        <f t="shared" si="49"/>
        <v/>
      </c>
    </row>
    <row r="3145" spans="20:28" x14ac:dyDescent="0.2">
      <c r="T3145" s="60" t="str">
        <f>IF(P3145&lt;&gt;"",
    IF(OR(O3145="", Q3145="", R3145=""),
        "Fill all the required columns",
        IFERROR(
            IF(OR(
                AND(R3145="Marine Protected", VLOOKUP(O3145, Reference!$A$2:$D$34, 4, FALSE) &lt;= P3145),
                AND(R3145="General Use", VLOOKUP(O3145, Reference!$A$2:$D$34, 3, FALSE) &lt;= P3145)
            ),
                "Exceeded",
                "OK"
            ),
            "No Regulation defined"
        )
    ),
    ""
)</f>
        <v/>
      </c>
      <c r="AB3145" s="62" t="str">
        <f t="shared" si="49"/>
        <v/>
      </c>
    </row>
    <row r="3146" spans="20:28" x14ac:dyDescent="0.2">
      <c r="T3146" s="60" t="str">
        <f>IF(P3146&lt;&gt;"",
    IF(OR(O3146="", Q3146="", R3146=""),
        "Fill all the required columns",
        IFERROR(
            IF(OR(
                AND(R3146="Marine Protected", VLOOKUP(O3146, Reference!$A$2:$D$34, 4, FALSE) &lt;= P3146),
                AND(R3146="General Use", VLOOKUP(O3146, Reference!$A$2:$D$34, 3, FALSE) &lt;= P3146)
            ),
                "Exceeded",
                "OK"
            ),
            "No Regulation defined"
        )
    ),
    ""
)</f>
        <v/>
      </c>
      <c r="AB3146" s="62" t="str">
        <f t="shared" si="49"/>
        <v/>
      </c>
    </row>
    <row r="3147" spans="20:28" x14ac:dyDescent="0.2">
      <c r="T3147" s="60" t="str">
        <f>IF(P3147&lt;&gt;"",
    IF(OR(O3147="", Q3147="", R3147=""),
        "Fill all the required columns",
        IFERROR(
            IF(OR(
                AND(R3147="Marine Protected", VLOOKUP(O3147, Reference!$A$2:$D$34, 4, FALSE) &lt;= P3147),
                AND(R3147="General Use", VLOOKUP(O3147, Reference!$A$2:$D$34, 3, FALSE) &lt;= P3147)
            ),
                "Exceeded",
                "OK"
            ),
            "No Regulation defined"
        )
    ),
    ""
)</f>
        <v/>
      </c>
      <c r="AB3147" s="62" t="str">
        <f t="shared" si="49"/>
        <v/>
      </c>
    </row>
    <row r="3148" spans="20:28" x14ac:dyDescent="0.2">
      <c r="T3148" s="60" t="str">
        <f>IF(P3148&lt;&gt;"",
    IF(OR(O3148="", Q3148="", R3148=""),
        "Fill all the required columns",
        IFERROR(
            IF(OR(
                AND(R3148="Marine Protected", VLOOKUP(O3148, Reference!$A$2:$D$34, 4, FALSE) &lt;= P3148),
                AND(R3148="General Use", VLOOKUP(O3148, Reference!$A$2:$D$34, 3, FALSE) &lt;= P3148)
            ),
                "Exceeded",
                "OK"
            ),
            "No Regulation defined"
        )
    ),
    ""
)</f>
        <v/>
      </c>
      <c r="AB3148" s="62" t="str">
        <f t="shared" si="49"/>
        <v/>
      </c>
    </row>
    <row r="3149" spans="20:28" x14ac:dyDescent="0.2">
      <c r="T3149" s="60" t="str">
        <f>IF(P3149&lt;&gt;"",
    IF(OR(O3149="", Q3149="", R3149=""),
        "Fill all the required columns",
        IFERROR(
            IF(OR(
                AND(R3149="Marine Protected", VLOOKUP(O3149, Reference!$A$2:$D$34, 4, FALSE) &lt;= P3149),
                AND(R3149="General Use", VLOOKUP(O3149, Reference!$A$2:$D$34, 3, FALSE) &lt;= P3149)
            ),
                "Exceeded",
                "OK"
            ),
            "No Regulation defined"
        )
    ),
    ""
)</f>
        <v/>
      </c>
      <c r="AB3149" s="62" t="str">
        <f t="shared" si="49"/>
        <v/>
      </c>
    </row>
    <row r="3150" spans="20:28" x14ac:dyDescent="0.2">
      <c r="T3150" s="60" t="str">
        <f>IF(P3150&lt;&gt;"",
    IF(OR(O3150="", Q3150="", R3150=""),
        "Fill all the required columns",
        IFERROR(
            IF(OR(
                AND(R3150="Marine Protected", VLOOKUP(O3150, Reference!$A$2:$D$34, 4, FALSE) &lt;= P3150),
                AND(R3150="General Use", VLOOKUP(O3150, Reference!$A$2:$D$34, 3, FALSE) &lt;= P3150)
            ),
                "Exceeded",
                "OK"
            ),
            "No Regulation defined"
        )
    ),
    ""
)</f>
        <v/>
      </c>
      <c r="AB3150" s="62" t="str">
        <f t="shared" si="49"/>
        <v/>
      </c>
    </row>
    <row r="3151" spans="20:28" x14ac:dyDescent="0.2">
      <c r="T3151" s="60" t="str">
        <f>IF(P3151&lt;&gt;"",
    IF(OR(O3151="", Q3151="", R3151=""),
        "Fill all the required columns",
        IFERROR(
            IF(OR(
                AND(R3151="Marine Protected", VLOOKUP(O3151, Reference!$A$2:$D$34, 4, FALSE) &lt;= P3151),
                AND(R3151="General Use", VLOOKUP(O3151, Reference!$A$2:$D$34, 3, FALSE) &lt;= P3151)
            ),
                "Exceeded",
                "OK"
            ),
            "No Regulation defined"
        )
    ),
    ""
)</f>
        <v/>
      </c>
      <c r="AB3151" s="62" t="str">
        <f t="shared" si="49"/>
        <v/>
      </c>
    </row>
    <row r="3152" spans="20:28" x14ac:dyDescent="0.2">
      <c r="T3152" s="60" t="str">
        <f>IF(P3152&lt;&gt;"",
    IF(OR(O3152="", Q3152="", R3152=""),
        "Fill all the required columns",
        IFERROR(
            IF(OR(
                AND(R3152="Marine Protected", VLOOKUP(O3152, Reference!$A$2:$D$34, 4, FALSE) &lt;= P3152),
                AND(R3152="General Use", VLOOKUP(O3152, Reference!$A$2:$D$34, 3, FALSE) &lt;= P3152)
            ),
                "Exceeded",
                "OK"
            ),
            "No Regulation defined"
        )
    ),
    ""
)</f>
        <v/>
      </c>
      <c r="AB3152" s="62" t="str">
        <f t="shared" si="49"/>
        <v/>
      </c>
    </row>
    <row r="3153" spans="20:28" x14ac:dyDescent="0.2">
      <c r="T3153" s="60" t="str">
        <f>IF(P3153&lt;&gt;"",
    IF(OR(O3153="", Q3153="", R3153=""),
        "Fill all the required columns",
        IFERROR(
            IF(OR(
                AND(R3153="Marine Protected", VLOOKUP(O3153, Reference!$A$2:$D$34, 4, FALSE) &lt;= P3153),
                AND(R3153="General Use", VLOOKUP(O3153, Reference!$A$2:$D$34, 3, FALSE) &lt;= P3153)
            ),
                "Exceeded",
                "OK"
            ),
            "No Regulation defined"
        )
    ),
    ""
)</f>
        <v/>
      </c>
      <c r="AB3153" s="62" t="str">
        <f t="shared" si="49"/>
        <v/>
      </c>
    </row>
    <row r="3154" spans="20:28" x14ac:dyDescent="0.2">
      <c r="T3154" s="60" t="str">
        <f>IF(P3154&lt;&gt;"",
    IF(OR(O3154="", Q3154="", R3154=""),
        "Fill all the required columns",
        IFERROR(
            IF(OR(
                AND(R3154="Marine Protected", VLOOKUP(O3154, Reference!$A$2:$D$34, 4, FALSE) &lt;= P3154),
                AND(R3154="General Use", VLOOKUP(O3154, Reference!$A$2:$D$34, 3, FALSE) &lt;= P3154)
            ),
                "Exceeded",
                "OK"
            ),
            "No Regulation defined"
        )
    ),
    ""
)</f>
        <v/>
      </c>
      <c r="AB3154" s="62" t="str">
        <f t="shared" si="49"/>
        <v/>
      </c>
    </row>
    <row r="3155" spans="20:28" x14ac:dyDescent="0.2">
      <c r="T3155" s="60" t="str">
        <f>IF(P3155&lt;&gt;"",
    IF(OR(O3155="", Q3155="", R3155=""),
        "Fill all the required columns",
        IFERROR(
            IF(OR(
                AND(R3155="Marine Protected", VLOOKUP(O3155, Reference!$A$2:$D$34, 4, FALSE) &lt;= P3155),
                AND(R3155="General Use", VLOOKUP(O3155, Reference!$A$2:$D$34, 3, FALSE) &lt;= P3155)
            ),
                "Exceeded",
                "OK"
            ),
            "No Regulation defined"
        )
    ),
    ""
)</f>
        <v/>
      </c>
      <c r="AB3155" s="62" t="str">
        <f t="shared" si="49"/>
        <v/>
      </c>
    </row>
    <row r="3156" spans="20:28" x14ac:dyDescent="0.2">
      <c r="T3156" s="60" t="str">
        <f>IF(P3156&lt;&gt;"",
    IF(OR(O3156="", Q3156="", R3156=""),
        "Fill all the required columns",
        IFERROR(
            IF(OR(
                AND(R3156="Marine Protected", VLOOKUP(O3156, Reference!$A$2:$D$34, 4, FALSE) &lt;= P3156),
                AND(R3156="General Use", VLOOKUP(O3156, Reference!$A$2:$D$34, 3, FALSE) &lt;= P3156)
            ),
                "Exceeded",
                "OK"
            ),
            "No Regulation defined"
        )
    ),
    ""
)</f>
        <v/>
      </c>
      <c r="AB3156" s="62" t="str">
        <f t="shared" si="49"/>
        <v/>
      </c>
    </row>
    <row r="3157" spans="20:28" x14ac:dyDescent="0.2">
      <c r="T3157" s="60" t="str">
        <f>IF(P3157&lt;&gt;"",
    IF(OR(O3157="", Q3157="", R3157=""),
        "Fill all the required columns",
        IFERROR(
            IF(OR(
                AND(R3157="Marine Protected", VLOOKUP(O3157, Reference!$A$2:$D$34, 4, FALSE) &lt;= P3157),
                AND(R3157="General Use", VLOOKUP(O3157, Reference!$A$2:$D$34, 3, FALSE) &lt;= P3157)
            ),
                "Exceeded",
                "OK"
            ),
            "No Regulation defined"
        )
    ),
    ""
)</f>
        <v/>
      </c>
      <c r="AB3157" s="62" t="str">
        <f t="shared" si="49"/>
        <v/>
      </c>
    </row>
    <row r="3158" spans="20:28" x14ac:dyDescent="0.2">
      <c r="T3158" s="60" t="str">
        <f>IF(P3158&lt;&gt;"",
    IF(OR(O3158="", Q3158="", R3158=""),
        "Fill all the required columns",
        IFERROR(
            IF(OR(
                AND(R3158="Marine Protected", VLOOKUP(O3158, Reference!$A$2:$D$34, 4, FALSE) &lt;= P3158),
                AND(R3158="General Use", VLOOKUP(O3158, Reference!$A$2:$D$34, 3, FALSE) &lt;= P3158)
            ),
                "Exceeded",
                "OK"
            ),
            "No Regulation defined"
        )
    ),
    ""
)</f>
        <v/>
      </c>
      <c r="AB3158" s="62" t="str">
        <f t="shared" si="49"/>
        <v/>
      </c>
    </row>
    <row r="3159" spans="20:28" x14ac:dyDescent="0.2">
      <c r="T3159" s="60" t="str">
        <f>IF(P3159&lt;&gt;"",
    IF(OR(O3159="", Q3159="", R3159=""),
        "Fill all the required columns",
        IFERROR(
            IF(OR(
                AND(R3159="Marine Protected", VLOOKUP(O3159, Reference!$A$2:$D$34, 4, FALSE) &lt;= P3159),
                AND(R3159="General Use", VLOOKUP(O3159, Reference!$A$2:$D$34, 3, FALSE) &lt;= P3159)
            ),
                "Exceeded",
                "OK"
            ),
            "No Regulation defined"
        )
    ),
    ""
)</f>
        <v/>
      </c>
      <c r="AB3159" s="62" t="str">
        <f t="shared" si="49"/>
        <v/>
      </c>
    </row>
    <row r="3160" spans="20:28" x14ac:dyDescent="0.2">
      <c r="T3160" s="60" t="str">
        <f>IF(P3160&lt;&gt;"",
    IF(OR(O3160="", Q3160="", R3160=""),
        "Fill all the required columns",
        IFERROR(
            IF(OR(
                AND(R3160="Marine Protected", VLOOKUP(O3160, Reference!$A$2:$D$34, 4, FALSE) &lt;= P3160),
                AND(R3160="General Use", VLOOKUP(O3160, Reference!$A$2:$D$34, 3, FALSE) &lt;= P3160)
            ),
                "Exceeded",
                "OK"
            ),
            "No Regulation defined"
        )
    ),
    ""
)</f>
        <v/>
      </c>
      <c r="AB3160" s="62" t="str">
        <f t="shared" si="49"/>
        <v/>
      </c>
    </row>
    <row r="3161" spans="20:28" x14ac:dyDescent="0.2">
      <c r="T3161" s="60" t="str">
        <f>IF(P3161&lt;&gt;"",
    IF(OR(O3161="", Q3161="", R3161=""),
        "Fill all the required columns",
        IFERROR(
            IF(OR(
                AND(R3161="Marine Protected", VLOOKUP(O3161, Reference!$A$2:$D$34, 4, FALSE) &lt;= P3161),
                AND(R3161="General Use", VLOOKUP(O3161, Reference!$A$2:$D$34, 3, FALSE) &lt;= P3161)
            ),
                "Exceeded",
                "OK"
            ),
            "No Regulation defined"
        )
    ),
    ""
)</f>
        <v/>
      </c>
      <c r="AB3161" s="62" t="str">
        <f t="shared" si="49"/>
        <v/>
      </c>
    </row>
    <row r="3162" spans="20:28" x14ac:dyDescent="0.2">
      <c r="T3162" s="60" t="str">
        <f>IF(P3162&lt;&gt;"",
    IF(OR(O3162="", Q3162="", R3162=""),
        "Fill all the required columns",
        IFERROR(
            IF(OR(
                AND(R3162="Marine Protected", VLOOKUP(O3162, Reference!$A$2:$D$34, 4, FALSE) &lt;= P3162),
                AND(R3162="General Use", VLOOKUP(O3162, Reference!$A$2:$D$34, 3, FALSE) &lt;= P3162)
            ),
                "Exceeded",
                "OK"
            ),
            "No Regulation defined"
        )
    ),
    ""
)</f>
        <v/>
      </c>
      <c r="AB3162" s="62" t="str">
        <f t="shared" si="49"/>
        <v/>
      </c>
    </row>
    <row r="3163" spans="20:28" x14ac:dyDescent="0.2">
      <c r="T3163" s="60" t="str">
        <f>IF(P3163&lt;&gt;"",
    IF(OR(O3163="", Q3163="", R3163=""),
        "Fill all the required columns",
        IFERROR(
            IF(OR(
                AND(R3163="Marine Protected", VLOOKUP(O3163, Reference!$A$2:$D$34, 4, FALSE) &lt;= P3163),
                AND(R3163="General Use", VLOOKUP(O3163, Reference!$A$2:$D$34, 3, FALSE) &lt;= P3163)
            ),
                "Exceeded",
                "OK"
            ),
            "No Regulation defined"
        )
    ),
    ""
)</f>
        <v/>
      </c>
      <c r="AB3163" s="62" t="str">
        <f t="shared" si="49"/>
        <v/>
      </c>
    </row>
    <row r="3164" spans="20:28" x14ac:dyDescent="0.2">
      <c r="T3164" s="60" t="str">
        <f>IF(P3164&lt;&gt;"",
    IF(OR(O3164="", Q3164="", R3164=""),
        "Fill all the required columns",
        IFERROR(
            IF(OR(
                AND(R3164="Marine Protected", VLOOKUP(O3164, Reference!$A$2:$D$34, 4, FALSE) &lt;= P3164),
                AND(R3164="General Use", VLOOKUP(O3164, Reference!$A$2:$D$34, 3, FALSE) &lt;= P3164)
            ),
                "Exceeded",
                "OK"
            ),
            "No Regulation defined"
        )
    ),
    ""
)</f>
        <v/>
      </c>
      <c r="AB3164" s="62" t="str">
        <f t="shared" si="49"/>
        <v/>
      </c>
    </row>
    <row r="3165" spans="20:28" x14ac:dyDescent="0.2">
      <c r="T3165" s="60" t="str">
        <f>IF(P3165&lt;&gt;"",
    IF(OR(O3165="", Q3165="", R3165=""),
        "Fill all the required columns",
        IFERROR(
            IF(OR(
                AND(R3165="Marine Protected", VLOOKUP(O3165, Reference!$A$2:$D$34, 4, FALSE) &lt;= P3165),
                AND(R3165="General Use", VLOOKUP(O3165, Reference!$A$2:$D$34, 3, FALSE) &lt;= P3165)
            ),
                "Exceeded",
                "OK"
            ),
            "No Regulation defined"
        )
    ),
    ""
)</f>
        <v/>
      </c>
      <c r="AB3165" s="62" t="str">
        <f t="shared" si="49"/>
        <v/>
      </c>
    </row>
    <row r="3166" spans="20:28" x14ac:dyDescent="0.2">
      <c r="T3166" s="60" t="str">
        <f>IF(P3166&lt;&gt;"",
    IF(OR(O3166="", Q3166="", R3166=""),
        "Fill all the required columns",
        IFERROR(
            IF(OR(
                AND(R3166="Marine Protected", VLOOKUP(O3166, Reference!$A$2:$D$34, 4, FALSE) &lt;= P3166),
                AND(R3166="General Use", VLOOKUP(O3166, Reference!$A$2:$D$34, 3, FALSE) &lt;= P3166)
            ),
                "Exceeded",
                "OK"
            ),
            "No Regulation defined"
        )
    ),
    ""
)</f>
        <v/>
      </c>
      <c r="AB3166" s="62" t="str">
        <f t="shared" si="49"/>
        <v/>
      </c>
    </row>
    <row r="3167" spans="20:28" x14ac:dyDescent="0.2">
      <c r="T3167" s="60" t="str">
        <f>IF(P3167&lt;&gt;"",
    IF(OR(O3167="", Q3167="", R3167=""),
        "Fill all the required columns",
        IFERROR(
            IF(OR(
                AND(R3167="Marine Protected", VLOOKUP(O3167, Reference!$A$2:$D$34, 4, FALSE) &lt;= P3167),
                AND(R3167="General Use", VLOOKUP(O3167, Reference!$A$2:$D$34, 3, FALSE) &lt;= P3167)
            ),
                "Exceeded",
                "OK"
            ),
            "No Regulation defined"
        )
    ),
    ""
)</f>
        <v/>
      </c>
      <c r="AB3167" s="62" t="str">
        <f t="shared" si="49"/>
        <v/>
      </c>
    </row>
    <row r="3168" spans="20:28" x14ac:dyDescent="0.2">
      <c r="T3168" s="60" t="str">
        <f>IF(P3168&lt;&gt;"",
    IF(OR(O3168="", Q3168="", R3168=""),
        "Fill all the required columns",
        IFERROR(
            IF(OR(
                AND(R3168="Marine Protected", VLOOKUP(O3168, Reference!$A$2:$D$34, 4, FALSE) &lt;= P3168),
                AND(R3168="General Use", VLOOKUP(O3168, Reference!$A$2:$D$34, 3, FALSE) &lt;= P3168)
            ),
                "Exceeded",
                "OK"
            ),
            "No Regulation defined"
        )
    ),
    ""
)</f>
        <v/>
      </c>
      <c r="AB3168" s="62" t="str">
        <f t="shared" si="49"/>
        <v/>
      </c>
    </row>
    <row r="3169" spans="20:28" x14ac:dyDescent="0.2">
      <c r="T3169" s="60" t="str">
        <f>IF(P3169&lt;&gt;"",
    IF(OR(O3169="", Q3169="", R3169=""),
        "Fill all the required columns",
        IFERROR(
            IF(OR(
                AND(R3169="Marine Protected", VLOOKUP(O3169, Reference!$A$2:$D$34, 4, FALSE) &lt;= P3169),
                AND(R3169="General Use", VLOOKUP(O3169, Reference!$A$2:$D$34, 3, FALSE) &lt;= P3169)
            ),
                "Exceeded",
                "OK"
            ),
            "No Regulation defined"
        )
    ),
    ""
)</f>
        <v/>
      </c>
      <c r="AB3169" s="62" t="str">
        <f t="shared" si="49"/>
        <v/>
      </c>
    </row>
    <row r="3170" spans="20:28" x14ac:dyDescent="0.2">
      <c r="T3170" s="60" t="str">
        <f>IF(P3170&lt;&gt;"",
    IF(OR(O3170="", Q3170="", R3170=""),
        "Fill all the required columns",
        IFERROR(
            IF(OR(
                AND(R3170="Marine Protected", VLOOKUP(O3170, Reference!$A$2:$D$34, 4, FALSE) &lt;= P3170),
                AND(R3170="General Use", VLOOKUP(O3170, Reference!$A$2:$D$34, 3, FALSE) &lt;= P3170)
            ),
                "Exceeded",
                "OK"
            ),
            "No Regulation defined"
        )
    ),
    ""
)</f>
        <v/>
      </c>
      <c r="AB3170" s="62" t="str">
        <f t="shared" si="49"/>
        <v/>
      </c>
    </row>
    <row r="3171" spans="20:28" x14ac:dyDescent="0.2">
      <c r="T3171" s="60" t="str">
        <f>IF(P3171&lt;&gt;"",
    IF(OR(O3171="", Q3171="", R3171=""),
        "Fill all the required columns",
        IFERROR(
            IF(OR(
                AND(R3171="Marine Protected", VLOOKUP(O3171, Reference!$A$2:$D$34, 4, FALSE) &lt;= P3171),
                AND(R3171="General Use", VLOOKUP(O3171, Reference!$A$2:$D$34, 3, FALSE) &lt;= P3171)
            ),
                "Exceeded",
                "OK"
            ),
            "No Regulation defined"
        )
    ),
    ""
)</f>
        <v/>
      </c>
      <c r="AB3171" s="62" t="str">
        <f t="shared" si="49"/>
        <v/>
      </c>
    </row>
    <row r="3172" spans="20:28" x14ac:dyDescent="0.2">
      <c r="T3172" s="60" t="str">
        <f>IF(P3172&lt;&gt;"",
    IF(OR(O3172="", Q3172="", R3172=""),
        "Fill all the required columns",
        IFERROR(
            IF(OR(
                AND(R3172="Marine Protected", VLOOKUP(O3172, Reference!$A$2:$D$34, 4, FALSE) &lt;= P3172),
                AND(R3172="General Use", VLOOKUP(O3172, Reference!$A$2:$D$34, 3, FALSE) &lt;= P3172)
            ),
                "Exceeded",
                "OK"
            ),
            "No Regulation defined"
        )
    ),
    ""
)</f>
        <v/>
      </c>
      <c r="AB3172" s="62" t="str">
        <f t="shared" si="49"/>
        <v/>
      </c>
    </row>
    <row r="3173" spans="20:28" x14ac:dyDescent="0.2">
      <c r="T3173" s="60" t="str">
        <f>IF(P3173&lt;&gt;"",
    IF(OR(O3173="", Q3173="", R3173=""),
        "Fill all the required columns",
        IFERROR(
            IF(OR(
                AND(R3173="Marine Protected", VLOOKUP(O3173, Reference!$A$2:$D$34, 4, FALSE) &lt;= P3173),
                AND(R3173="General Use", VLOOKUP(O3173, Reference!$A$2:$D$34, 3, FALSE) &lt;= P3173)
            ),
                "Exceeded",
                "OK"
            ),
            "No Regulation defined"
        )
    ),
    ""
)</f>
        <v/>
      </c>
      <c r="AB3173" s="62" t="str">
        <f t="shared" si="49"/>
        <v/>
      </c>
    </row>
    <row r="3174" spans="20:28" x14ac:dyDescent="0.2">
      <c r="T3174" s="60" t="str">
        <f>IF(P3174&lt;&gt;"",
    IF(OR(O3174="", Q3174="", R3174=""),
        "Fill all the required columns",
        IFERROR(
            IF(OR(
                AND(R3174="Marine Protected", VLOOKUP(O3174, Reference!$A$2:$D$34, 4, FALSE) &lt;= P3174),
                AND(R3174="General Use", VLOOKUP(O3174, Reference!$A$2:$D$34, 3, FALSE) &lt;= P3174)
            ),
                "Exceeded",
                "OK"
            ),
            "No Regulation defined"
        )
    ),
    ""
)</f>
        <v/>
      </c>
      <c r="AB3174" s="62" t="str">
        <f t="shared" si="49"/>
        <v/>
      </c>
    </row>
    <row r="3175" spans="20:28" x14ac:dyDescent="0.2">
      <c r="T3175" s="60" t="str">
        <f>IF(P3175&lt;&gt;"",
    IF(OR(O3175="", Q3175="", R3175=""),
        "Fill all the required columns",
        IFERROR(
            IF(OR(
                AND(R3175="Marine Protected", VLOOKUP(O3175, Reference!$A$2:$D$34, 4, FALSE) &lt;= P3175),
                AND(R3175="General Use", VLOOKUP(O3175, Reference!$A$2:$D$34, 3, FALSE) &lt;= P3175)
            ),
                "Exceeded",
                "OK"
            ),
            "No Regulation defined"
        )
    ),
    ""
)</f>
        <v/>
      </c>
      <c r="AB3175" s="62" t="str">
        <f t="shared" si="49"/>
        <v/>
      </c>
    </row>
    <row r="3176" spans="20:28" x14ac:dyDescent="0.2">
      <c r="T3176" s="60" t="str">
        <f>IF(P3176&lt;&gt;"",
    IF(OR(O3176="", Q3176="", R3176=""),
        "Fill all the required columns",
        IFERROR(
            IF(OR(
                AND(R3176="Marine Protected", VLOOKUP(O3176, Reference!$A$2:$D$34, 4, FALSE) &lt;= P3176),
                AND(R3176="General Use", VLOOKUP(O3176, Reference!$A$2:$D$34, 3, FALSE) &lt;= P3176)
            ),
                "Exceeded",
                "OK"
            ),
            "No Regulation defined"
        )
    ),
    ""
)</f>
        <v/>
      </c>
      <c r="AB3176" s="62" t="str">
        <f t="shared" si="49"/>
        <v/>
      </c>
    </row>
    <row r="3177" spans="20:28" x14ac:dyDescent="0.2">
      <c r="T3177" s="60" t="str">
        <f>IF(P3177&lt;&gt;"",
    IF(OR(O3177="", Q3177="", R3177=""),
        "Fill all the required columns",
        IFERROR(
            IF(OR(
                AND(R3177="Marine Protected", VLOOKUP(O3177, Reference!$A$2:$D$34, 4, FALSE) &lt;= P3177),
                AND(R3177="General Use", VLOOKUP(O3177, Reference!$A$2:$D$34, 3, FALSE) &lt;= P3177)
            ),
                "Exceeded",
                "OK"
            ),
            "No Regulation defined"
        )
    ),
    ""
)</f>
        <v/>
      </c>
      <c r="AB3177" s="62" t="str">
        <f t="shared" si="49"/>
        <v/>
      </c>
    </row>
    <row r="3178" spans="20:28" x14ac:dyDescent="0.2">
      <c r="T3178" s="60" t="str">
        <f>IF(P3178&lt;&gt;"",
    IF(OR(O3178="", Q3178="", R3178=""),
        "Fill all the required columns",
        IFERROR(
            IF(OR(
                AND(R3178="Marine Protected", VLOOKUP(O3178, Reference!$A$2:$D$34, 4, FALSE) &lt;= P3178),
                AND(R3178="General Use", VLOOKUP(O3178, Reference!$A$2:$D$34, 3, FALSE) &lt;= P3178)
            ),
                "Exceeded",
                "OK"
            ),
            "No Regulation defined"
        )
    ),
    ""
)</f>
        <v/>
      </c>
      <c r="AB3178" s="62" t="str">
        <f t="shared" si="49"/>
        <v/>
      </c>
    </row>
    <row r="3179" spans="20:28" x14ac:dyDescent="0.2">
      <c r="T3179" s="60" t="str">
        <f>IF(P3179&lt;&gt;"",
    IF(OR(O3179="", Q3179="", R3179=""),
        "Fill all the required columns",
        IFERROR(
            IF(OR(
                AND(R3179="Marine Protected", VLOOKUP(O3179, Reference!$A$2:$D$34, 4, FALSE) &lt;= P3179),
                AND(R3179="General Use", VLOOKUP(O3179, Reference!$A$2:$D$34, 3, FALSE) &lt;= P3179)
            ),
                "Exceeded",
                "OK"
            ),
            "No Regulation defined"
        )
    ),
    ""
)</f>
        <v/>
      </c>
      <c r="AB3179" s="62" t="str">
        <f t="shared" si="49"/>
        <v/>
      </c>
    </row>
    <row r="3180" spans="20:28" x14ac:dyDescent="0.2">
      <c r="T3180" s="60" t="str">
        <f>IF(P3180&lt;&gt;"",
    IF(OR(O3180="", Q3180="", R3180=""),
        "Fill all the required columns",
        IFERROR(
            IF(OR(
                AND(R3180="Marine Protected", VLOOKUP(O3180, Reference!$A$2:$D$34, 4, FALSE) &lt;= P3180),
                AND(R3180="General Use", VLOOKUP(O3180, Reference!$A$2:$D$34, 3, FALSE) &lt;= P3180)
            ),
                "Exceeded",
                "OK"
            ),
            "No Regulation defined"
        )
    ),
    ""
)</f>
        <v/>
      </c>
      <c r="AB3180" s="62" t="str">
        <f t="shared" si="49"/>
        <v/>
      </c>
    </row>
    <row r="3181" spans="20:28" x14ac:dyDescent="0.2">
      <c r="T3181" s="60" t="str">
        <f>IF(P3181&lt;&gt;"",
    IF(OR(O3181="", Q3181="", R3181=""),
        "Fill all the required columns",
        IFERROR(
            IF(OR(
                AND(R3181="Marine Protected", VLOOKUP(O3181, Reference!$A$2:$D$34, 4, FALSE) &lt;= P3181),
                AND(R3181="General Use", VLOOKUP(O3181, Reference!$A$2:$D$34, 3, FALSE) &lt;= P3181)
            ),
                "Exceeded",
                "OK"
            ),
            "No Regulation defined"
        )
    ),
    ""
)</f>
        <v/>
      </c>
      <c r="AB3181" s="62" t="str">
        <f t="shared" si="49"/>
        <v/>
      </c>
    </row>
    <row r="3182" spans="20:28" x14ac:dyDescent="0.2">
      <c r="T3182" s="60" t="str">
        <f>IF(P3182&lt;&gt;"",
    IF(OR(O3182="", Q3182="", R3182=""),
        "Fill all the required columns",
        IFERROR(
            IF(OR(
                AND(R3182="Marine Protected", VLOOKUP(O3182, Reference!$A$2:$D$34, 4, FALSE) &lt;= P3182),
                AND(R3182="General Use", VLOOKUP(O3182, Reference!$A$2:$D$34, 3, FALSE) &lt;= P3182)
            ),
                "Exceeded",
                "OK"
            ),
            "No Regulation defined"
        )
    ),
    ""
)</f>
        <v/>
      </c>
      <c r="AB3182" s="62" t="str">
        <f t="shared" si="49"/>
        <v/>
      </c>
    </row>
    <row r="3183" spans="20:28" x14ac:dyDescent="0.2">
      <c r="T3183" s="60" t="str">
        <f>IF(P3183&lt;&gt;"",
    IF(OR(O3183="", Q3183="", R3183=""),
        "Fill all the required columns",
        IFERROR(
            IF(OR(
                AND(R3183="Marine Protected", VLOOKUP(O3183, Reference!$A$2:$D$34, 4, FALSE) &lt;= P3183),
                AND(R3183="General Use", VLOOKUP(O3183, Reference!$A$2:$D$34, 3, FALSE) &lt;= P3183)
            ),
                "Exceeded",
                "OK"
            ),
            "No Regulation defined"
        )
    ),
    ""
)</f>
        <v/>
      </c>
      <c r="AB3183" s="62" t="str">
        <f t="shared" si="49"/>
        <v/>
      </c>
    </row>
    <row r="3184" spans="20:28" x14ac:dyDescent="0.2">
      <c r="T3184" s="60" t="str">
        <f>IF(P3184&lt;&gt;"",
    IF(OR(O3184="", Q3184="", R3184=""),
        "Fill all the required columns",
        IFERROR(
            IF(OR(
                AND(R3184="Marine Protected", VLOOKUP(O3184, Reference!$A$2:$D$34, 4, FALSE) &lt;= P3184),
                AND(R3184="General Use", VLOOKUP(O3184, Reference!$A$2:$D$34, 3, FALSE) &lt;= P3184)
            ),
                "Exceeded",
                "OK"
            ),
            "No Regulation defined"
        )
    ),
    ""
)</f>
        <v/>
      </c>
      <c r="AB3184" s="62" t="str">
        <f t="shared" si="49"/>
        <v/>
      </c>
    </row>
    <row r="3185" spans="20:28" x14ac:dyDescent="0.2">
      <c r="T3185" s="60" t="str">
        <f>IF(P3185&lt;&gt;"",
    IF(OR(O3185="", Q3185="", R3185=""),
        "Fill all the required columns",
        IFERROR(
            IF(OR(
                AND(R3185="Marine Protected", VLOOKUP(O3185, Reference!$A$2:$D$34, 4, FALSE) &lt;= P3185),
                AND(R3185="General Use", VLOOKUP(O3185, Reference!$A$2:$D$34, 3, FALSE) &lt;= P3185)
            ),
                "Exceeded",
                "OK"
            ),
            "No Regulation defined"
        )
    ),
    ""
)</f>
        <v/>
      </c>
      <c r="AB3185" s="62" t="str">
        <f t="shared" si="49"/>
        <v/>
      </c>
    </row>
    <row r="3186" spans="20:28" x14ac:dyDescent="0.2">
      <c r="T3186" s="60" t="str">
        <f>IF(P3186&lt;&gt;"",
    IF(OR(O3186="", Q3186="", R3186=""),
        "Fill all the required columns",
        IFERROR(
            IF(OR(
                AND(R3186="Marine Protected", VLOOKUP(O3186, Reference!$A$2:$D$34, 4, FALSE) &lt;= P3186),
                AND(R3186="General Use", VLOOKUP(O3186, Reference!$A$2:$D$34, 3, FALSE) &lt;= P3186)
            ),
                "Exceeded",
                "OK"
            ),
            "No Regulation defined"
        )
    ),
    ""
)</f>
        <v/>
      </c>
      <c r="AB3186" s="62" t="str">
        <f t="shared" si="49"/>
        <v/>
      </c>
    </row>
    <row r="3187" spans="20:28" x14ac:dyDescent="0.2">
      <c r="T3187" s="60" t="str">
        <f>IF(P3187&lt;&gt;"",
    IF(OR(O3187="", Q3187="", R3187=""),
        "Fill all the required columns",
        IFERROR(
            IF(OR(
                AND(R3187="Marine Protected", VLOOKUP(O3187, Reference!$A$2:$D$34, 4, FALSE) &lt;= P3187),
                AND(R3187="General Use", VLOOKUP(O3187, Reference!$A$2:$D$34, 3, FALSE) &lt;= P3187)
            ),
                "Exceeded",
                "OK"
            ),
            "No Regulation defined"
        )
    ),
    ""
)</f>
        <v/>
      </c>
      <c r="AB3187" s="62" t="str">
        <f t="shared" si="49"/>
        <v/>
      </c>
    </row>
    <row r="3188" spans="20:28" x14ac:dyDescent="0.2">
      <c r="T3188" s="60" t="str">
        <f>IF(P3188&lt;&gt;"",
    IF(OR(O3188="", Q3188="", R3188=""),
        "Fill all the required columns",
        IFERROR(
            IF(OR(
                AND(R3188="Marine Protected", VLOOKUP(O3188, Reference!$A$2:$D$34, 4, FALSE) &lt;= P3188),
                AND(R3188="General Use", VLOOKUP(O3188, Reference!$A$2:$D$34, 3, FALSE) &lt;= P3188)
            ),
                "Exceeded",
                "OK"
            ),
            "No Regulation defined"
        )
    ),
    ""
)</f>
        <v/>
      </c>
      <c r="AB3188" s="62" t="str">
        <f t="shared" si="49"/>
        <v/>
      </c>
    </row>
    <row r="3189" spans="20:28" x14ac:dyDescent="0.2">
      <c r="T3189" s="60" t="str">
        <f>IF(P3189&lt;&gt;"",
    IF(OR(O3189="", Q3189="", R3189=""),
        "Fill all the required columns",
        IFERROR(
            IF(OR(
                AND(R3189="Marine Protected", VLOOKUP(O3189, Reference!$A$2:$D$34, 4, FALSE) &lt;= P3189),
                AND(R3189="General Use", VLOOKUP(O3189, Reference!$A$2:$D$34, 3, FALSE) &lt;= P3189)
            ),
                "Exceeded",
                "OK"
            ),
            "No Regulation defined"
        )
    ),
    ""
)</f>
        <v/>
      </c>
      <c r="AB3189" s="62" t="str">
        <f t="shared" si="49"/>
        <v/>
      </c>
    </row>
    <row r="3190" spans="20:28" x14ac:dyDescent="0.2">
      <c r="T3190" s="60" t="str">
        <f>IF(P3190&lt;&gt;"",
    IF(OR(O3190="", Q3190="", R3190=""),
        "Fill all the required columns",
        IFERROR(
            IF(OR(
                AND(R3190="Marine Protected", VLOOKUP(O3190, Reference!$A$2:$D$34, 4, FALSE) &lt;= P3190),
                AND(R3190="General Use", VLOOKUP(O3190, Reference!$A$2:$D$34, 3, FALSE) &lt;= P3190)
            ),
                "Exceeded",
                "OK"
            ),
            "No Regulation defined"
        )
    ),
    ""
)</f>
        <v/>
      </c>
      <c r="AB3190" s="62" t="str">
        <f t="shared" si="49"/>
        <v/>
      </c>
    </row>
    <row r="3191" spans="20:28" x14ac:dyDescent="0.2">
      <c r="T3191" s="60" t="str">
        <f>IF(P3191&lt;&gt;"",
    IF(OR(O3191="", Q3191="", R3191=""),
        "Fill all the required columns",
        IFERROR(
            IF(OR(
                AND(R3191="Marine Protected", VLOOKUP(O3191, Reference!$A$2:$D$34, 4, FALSE) &lt;= P3191),
                AND(R3191="General Use", VLOOKUP(O3191, Reference!$A$2:$D$34, 3, FALSE) &lt;= P3191)
            ),
                "Exceeded",
                "OK"
            ),
            "No Regulation defined"
        )
    ),
    ""
)</f>
        <v/>
      </c>
      <c r="AB3191" s="62" t="str">
        <f t="shared" si="49"/>
        <v/>
      </c>
    </row>
    <row r="3192" spans="20:28" x14ac:dyDescent="0.2">
      <c r="T3192" s="60" t="str">
        <f>IF(P3192&lt;&gt;"",
    IF(OR(O3192="", Q3192="", R3192=""),
        "Fill all the required columns",
        IFERROR(
            IF(OR(
                AND(R3192="Marine Protected", VLOOKUP(O3192, Reference!$A$2:$D$34, 4, FALSE) &lt;= P3192),
                AND(R3192="General Use", VLOOKUP(O3192, Reference!$A$2:$D$34, 3, FALSE) &lt;= P3192)
            ),
                "Exceeded",
                "OK"
            ),
            "No Regulation defined"
        )
    ),
    ""
)</f>
        <v/>
      </c>
      <c r="AB3192" s="62" t="str">
        <f t="shared" si="49"/>
        <v/>
      </c>
    </row>
    <row r="3193" spans="20:28" x14ac:dyDescent="0.2">
      <c r="T3193" s="60" t="str">
        <f>IF(P3193&lt;&gt;"",
    IF(OR(O3193="", Q3193="", R3193=""),
        "Fill all the required columns",
        IFERROR(
            IF(OR(
                AND(R3193="Marine Protected", VLOOKUP(O3193, Reference!$A$2:$D$34, 4, FALSE) &lt;= P3193),
                AND(R3193="General Use", VLOOKUP(O3193, Reference!$A$2:$D$34, 3, FALSE) &lt;= P3193)
            ),
                "Exceeded",
                "OK"
            ),
            "No Regulation defined"
        )
    ),
    ""
)</f>
        <v/>
      </c>
      <c r="AB3193" s="62" t="str">
        <f t="shared" si="49"/>
        <v/>
      </c>
    </row>
    <row r="3194" spans="20:28" x14ac:dyDescent="0.2">
      <c r="T3194" s="60" t="str">
        <f>IF(P3194&lt;&gt;"",
    IF(OR(O3194="", Q3194="", R3194=""),
        "Fill all the required columns",
        IFERROR(
            IF(OR(
                AND(R3194="Marine Protected", VLOOKUP(O3194, Reference!$A$2:$D$34, 4, FALSE) &lt;= P3194),
                AND(R3194="General Use", VLOOKUP(O3194, Reference!$A$2:$D$34, 3, FALSE) &lt;= P3194)
            ),
                "Exceeded",
                "OK"
            ),
            "No Regulation defined"
        )
    ),
    ""
)</f>
        <v/>
      </c>
      <c r="AB3194" s="62" t="str">
        <f t="shared" si="49"/>
        <v/>
      </c>
    </row>
    <row r="3195" spans="20:28" x14ac:dyDescent="0.2">
      <c r="T3195" s="60" t="str">
        <f>IF(P3195&lt;&gt;"",
    IF(OR(O3195="", Q3195="", R3195=""),
        "Fill all the required columns",
        IFERROR(
            IF(OR(
                AND(R3195="Marine Protected", VLOOKUP(O3195, Reference!$A$2:$D$34, 4, FALSE) &lt;= P3195),
                AND(R3195="General Use", VLOOKUP(O3195, Reference!$A$2:$D$34, 3, FALSE) &lt;= P3195)
            ),
                "Exceeded",
                "OK"
            ),
            "No Regulation defined"
        )
    ),
    ""
)</f>
        <v/>
      </c>
      <c r="AB3195" s="62" t="str">
        <f t="shared" si="49"/>
        <v/>
      </c>
    </row>
    <row r="3196" spans="20:28" x14ac:dyDescent="0.2">
      <c r="T3196" s="60" t="str">
        <f>IF(P3196&lt;&gt;"",
    IF(OR(O3196="", Q3196="", R3196=""),
        "Fill all the required columns",
        IFERROR(
            IF(OR(
                AND(R3196="Marine Protected", VLOOKUP(O3196, Reference!$A$2:$D$34, 4, FALSE) &lt;= P3196),
                AND(R3196="General Use", VLOOKUP(O3196, Reference!$A$2:$D$34, 3, FALSE) &lt;= P3196)
            ),
                "Exceeded",
                "OK"
            ),
            "No Regulation defined"
        )
    ),
    ""
)</f>
        <v/>
      </c>
      <c r="AB3196" s="62" t="str">
        <f t="shared" si="49"/>
        <v/>
      </c>
    </row>
    <row r="3197" spans="20:28" x14ac:dyDescent="0.2">
      <c r="T3197" s="60" t="str">
        <f>IF(P3197&lt;&gt;"",
    IF(OR(O3197="", Q3197="", R3197=""),
        "Fill all the required columns",
        IFERROR(
            IF(OR(
                AND(R3197="Marine Protected", VLOOKUP(O3197, Reference!$A$2:$D$34, 4, FALSE) &lt;= P3197),
                AND(R3197="General Use", VLOOKUP(O3197, Reference!$A$2:$D$34, 3, FALSE) &lt;= P3197)
            ),
                "Exceeded",
                "OK"
            ),
            "No Regulation defined"
        )
    ),
    ""
)</f>
        <v/>
      </c>
      <c r="AB3197" s="62" t="str">
        <f t="shared" si="49"/>
        <v/>
      </c>
    </row>
    <row r="3198" spans="20:28" x14ac:dyDescent="0.2">
      <c r="T3198" s="60" t="str">
        <f>IF(P3198&lt;&gt;"",
    IF(OR(O3198="", Q3198="", R3198=""),
        "Fill all the required columns",
        IFERROR(
            IF(OR(
                AND(R3198="Marine Protected", VLOOKUP(O3198, Reference!$A$2:$D$34, 4, FALSE) &lt;= P3198),
                AND(R3198="General Use", VLOOKUP(O3198, Reference!$A$2:$D$34, 3, FALSE) &lt;= P3198)
            ),
                "Exceeded",
                "OK"
            ),
            "No Regulation defined"
        )
    ),
    ""
)</f>
        <v/>
      </c>
      <c r="AB3198" s="62" t="str">
        <f t="shared" si="49"/>
        <v/>
      </c>
    </row>
    <row r="3199" spans="20:28" x14ac:dyDescent="0.2">
      <c r="T3199" s="60" t="str">
        <f>IF(P3199&lt;&gt;"",
    IF(OR(O3199="", Q3199="", R3199=""),
        "Fill all the required columns",
        IFERROR(
            IF(OR(
                AND(R3199="Marine Protected", VLOOKUP(O3199, Reference!$A$2:$D$34, 4, FALSE) &lt;= P3199),
                AND(R3199="General Use", VLOOKUP(O3199, Reference!$A$2:$D$34, 3, FALSE) &lt;= P3199)
            ),
                "Exceeded",
                "OK"
            ),
            "No Regulation defined"
        )
    ),
    ""
)</f>
        <v/>
      </c>
      <c r="AB3199" s="62" t="str">
        <f t="shared" si="49"/>
        <v/>
      </c>
    </row>
    <row r="3200" spans="20:28" x14ac:dyDescent="0.2">
      <c r="T3200" s="60" t="str">
        <f>IF(P3200&lt;&gt;"",
    IF(OR(O3200="", Q3200="", R3200=""),
        "Fill all the required columns",
        IFERROR(
            IF(OR(
                AND(R3200="Marine Protected", VLOOKUP(O3200, Reference!$A$2:$D$34, 4, FALSE) &lt;= P3200),
                AND(R3200="General Use", VLOOKUP(O3200, Reference!$A$2:$D$34, 3, FALSE) &lt;= P3200)
            ),
                "Exceeded",
                "OK"
            ),
            "No Regulation defined"
        )
    ),
    ""
)</f>
        <v/>
      </c>
      <c r="AB3200" s="62" t="str">
        <f t="shared" si="49"/>
        <v/>
      </c>
    </row>
    <row r="3201" spans="20:28" x14ac:dyDescent="0.2">
      <c r="T3201" s="60" t="str">
        <f>IF(P3201&lt;&gt;"",
    IF(OR(O3201="", Q3201="", R3201=""),
        "Fill all the required columns",
        IFERROR(
            IF(OR(
                AND(R3201="Marine Protected", VLOOKUP(O3201, Reference!$A$2:$D$34, 4, FALSE) &lt;= P3201),
                AND(R3201="General Use", VLOOKUP(O3201, Reference!$A$2:$D$34, 3, FALSE) &lt;= P3201)
            ),
                "Exceeded",
                "OK"
            ),
            "No Regulation defined"
        )
    ),
    ""
)</f>
        <v/>
      </c>
      <c r="AB3201" s="62" t="str">
        <f t="shared" si="49"/>
        <v/>
      </c>
    </row>
    <row r="3202" spans="20:28" x14ac:dyDescent="0.2">
      <c r="T3202" s="60" t="str">
        <f>IF(P3202&lt;&gt;"",
    IF(OR(O3202="", Q3202="", R3202=""),
        "Fill all the required columns",
        IFERROR(
            IF(OR(
                AND(R3202="Marine Protected", VLOOKUP(O3202, Reference!$A$2:$D$34, 4, FALSE) &lt;= P3202),
                AND(R3202="General Use", VLOOKUP(O3202, Reference!$A$2:$D$34, 3, FALSE) &lt;= P3202)
            ),
                "Exceeded",
                "OK"
            ),
            "No Regulation defined"
        )
    ),
    ""
)</f>
        <v/>
      </c>
      <c r="AB3202" s="62" t="str">
        <f t="shared" si="49"/>
        <v/>
      </c>
    </row>
    <row r="3203" spans="20:28" x14ac:dyDescent="0.2">
      <c r="T3203" s="60" t="str">
        <f>IF(P3203&lt;&gt;"",
    IF(OR(O3203="", Q3203="", R3203=""),
        "Fill all the required columns",
        IFERROR(
            IF(OR(
                AND(R3203="Marine Protected", VLOOKUP(O3203, Reference!$A$2:$D$34, 4, FALSE) &lt;= P3203),
                AND(R3203="General Use", VLOOKUP(O3203, Reference!$A$2:$D$34, 3, FALSE) &lt;= P3203)
            ),
                "Exceeded",
                "OK"
            ),
            "No Regulation defined"
        )
    ),
    ""
)</f>
        <v/>
      </c>
      <c r="AB3203" s="62" t="str">
        <f t="shared" ref="AB3203:AB3266" si="50">IF(COUNTA(A3203, E3203, F3203, H3203, I3203, O3203, P3203, Q3203, R3203,S3203) = 0, "", IF(COUNTA(A3203, E3203, F3203, H3203, I3203, O3203, P3203, Q3203, R3203,S3203) = 10, "OK", "Incomplete"))</f>
        <v/>
      </c>
    </row>
    <row r="3204" spans="20:28" x14ac:dyDescent="0.2">
      <c r="T3204" s="60" t="str">
        <f>IF(P3204&lt;&gt;"",
    IF(OR(O3204="", Q3204="", R3204=""),
        "Fill all the required columns",
        IFERROR(
            IF(OR(
                AND(R3204="Marine Protected", VLOOKUP(O3204, Reference!$A$2:$D$34, 4, FALSE) &lt;= P3204),
                AND(R3204="General Use", VLOOKUP(O3204, Reference!$A$2:$D$34, 3, FALSE) &lt;= P3204)
            ),
                "Exceeded",
                "OK"
            ),
            "No Regulation defined"
        )
    ),
    ""
)</f>
        <v/>
      </c>
      <c r="AB3204" s="62" t="str">
        <f t="shared" si="50"/>
        <v/>
      </c>
    </row>
    <row r="3205" spans="20:28" x14ac:dyDescent="0.2">
      <c r="T3205" s="60" t="str">
        <f>IF(P3205&lt;&gt;"",
    IF(OR(O3205="", Q3205="", R3205=""),
        "Fill all the required columns",
        IFERROR(
            IF(OR(
                AND(R3205="Marine Protected", VLOOKUP(O3205, Reference!$A$2:$D$34, 4, FALSE) &lt;= P3205),
                AND(R3205="General Use", VLOOKUP(O3205, Reference!$A$2:$D$34, 3, FALSE) &lt;= P3205)
            ),
                "Exceeded",
                "OK"
            ),
            "No Regulation defined"
        )
    ),
    ""
)</f>
        <v/>
      </c>
      <c r="AB3205" s="62" t="str">
        <f t="shared" si="50"/>
        <v/>
      </c>
    </row>
    <row r="3206" spans="20:28" x14ac:dyDescent="0.2">
      <c r="T3206" s="60" t="str">
        <f>IF(P3206&lt;&gt;"",
    IF(OR(O3206="", Q3206="", R3206=""),
        "Fill all the required columns",
        IFERROR(
            IF(OR(
                AND(R3206="Marine Protected", VLOOKUP(O3206, Reference!$A$2:$D$34, 4, FALSE) &lt;= P3206),
                AND(R3206="General Use", VLOOKUP(O3206, Reference!$A$2:$D$34, 3, FALSE) &lt;= P3206)
            ),
                "Exceeded",
                "OK"
            ),
            "No Regulation defined"
        )
    ),
    ""
)</f>
        <v/>
      </c>
      <c r="AB3206" s="62" t="str">
        <f t="shared" si="50"/>
        <v/>
      </c>
    </row>
    <row r="3207" spans="20:28" x14ac:dyDescent="0.2">
      <c r="T3207" s="60" t="str">
        <f>IF(P3207&lt;&gt;"",
    IF(OR(O3207="", Q3207="", R3207=""),
        "Fill all the required columns",
        IFERROR(
            IF(OR(
                AND(R3207="Marine Protected", VLOOKUP(O3207, Reference!$A$2:$D$34, 4, FALSE) &lt;= P3207),
                AND(R3207="General Use", VLOOKUP(O3207, Reference!$A$2:$D$34, 3, FALSE) &lt;= P3207)
            ),
                "Exceeded",
                "OK"
            ),
            "No Regulation defined"
        )
    ),
    ""
)</f>
        <v/>
      </c>
      <c r="AB3207" s="62" t="str">
        <f t="shared" si="50"/>
        <v/>
      </c>
    </row>
    <row r="3208" spans="20:28" x14ac:dyDescent="0.2">
      <c r="T3208" s="60" t="str">
        <f>IF(P3208&lt;&gt;"",
    IF(OR(O3208="", Q3208="", R3208=""),
        "Fill all the required columns",
        IFERROR(
            IF(OR(
                AND(R3208="Marine Protected", VLOOKUP(O3208, Reference!$A$2:$D$34, 4, FALSE) &lt;= P3208),
                AND(R3208="General Use", VLOOKUP(O3208, Reference!$A$2:$D$34, 3, FALSE) &lt;= P3208)
            ),
                "Exceeded",
                "OK"
            ),
            "No Regulation defined"
        )
    ),
    ""
)</f>
        <v/>
      </c>
      <c r="AB3208" s="62" t="str">
        <f t="shared" si="50"/>
        <v/>
      </c>
    </row>
    <row r="3209" spans="20:28" x14ac:dyDescent="0.2">
      <c r="T3209" s="60" t="str">
        <f>IF(P3209&lt;&gt;"",
    IF(OR(O3209="", Q3209="", R3209=""),
        "Fill all the required columns",
        IFERROR(
            IF(OR(
                AND(R3209="Marine Protected", VLOOKUP(O3209, Reference!$A$2:$D$34, 4, FALSE) &lt;= P3209),
                AND(R3209="General Use", VLOOKUP(O3209, Reference!$A$2:$D$34, 3, FALSE) &lt;= P3209)
            ),
                "Exceeded",
                "OK"
            ),
            "No Regulation defined"
        )
    ),
    ""
)</f>
        <v/>
      </c>
      <c r="AB3209" s="62" t="str">
        <f t="shared" si="50"/>
        <v/>
      </c>
    </row>
    <row r="3210" spans="20:28" x14ac:dyDescent="0.2">
      <c r="T3210" s="60" t="str">
        <f>IF(P3210&lt;&gt;"",
    IF(OR(O3210="", Q3210="", R3210=""),
        "Fill all the required columns",
        IFERROR(
            IF(OR(
                AND(R3210="Marine Protected", VLOOKUP(O3210, Reference!$A$2:$D$34, 4, FALSE) &lt;= P3210),
                AND(R3210="General Use", VLOOKUP(O3210, Reference!$A$2:$D$34, 3, FALSE) &lt;= P3210)
            ),
                "Exceeded",
                "OK"
            ),
            "No Regulation defined"
        )
    ),
    ""
)</f>
        <v/>
      </c>
      <c r="AB3210" s="62" t="str">
        <f t="shared" si="50"/>
        <v/>
      </c>
    </row>
    <row r="3211" spans="20:28" x14ac:dyDescent="0.2">
      <c r="T3211" s="60" t="str">
        <f>IF(P3211&lt;&gt;"",
    IF(OR(O3211="", Q3211="", R3211=""),
        "Fill all the required columns",
        IFERROR(
            IF(OR(
                AND(R3211="Marine Protected", VLOOKUP(O3211, Reference!$A$2:$D$34, 4, FALSE) &lt;= P3211),
                AND(R3211="General Use", VLOOKUP(O3211, Reference!$A$2:$D$34, 3, FALSE) &lt;= P3211)
            ),
                "Exceeded",
                "OK"
            ),
            "No Regulation defined"
        )
    ),
    ""
)</f>
        <v/>
      </c>
      <c r="AB3211" s="62" t="str">
        <f t="shared" si="50"/>
        <v/>
      </c>
    </row>
    <row r="3212" spans="20:28" x14ac:dyDescent="0.2">
      <c r="T3212" s="60" t="str">
        <f>IF(P3212&lt;&gt;"",
    IF(OR(O3212="", Q3212="", R3212=""),
        "Fill all the required columns",
        IFERROR(
            IF(OR(
                AND(R3212="Marine Protected", VLOOKUP(O3212, Reference!$A$2:$D$34, 4, FALSE) &lt;= P3212),
                AND(R3212="General Use", VLOOKUP(O3212, Reference!$A$2:$D$34, 3, FALSE) &lt;= P3212)
            ),
                "Exceeded",
                "OK"
            ),
            "No Regulation defined"
        )
    ),
    ""
)</f>
        <v/>
      </c>
      <c r="AB3212" s="62" t="str">
        <f t="shared" si="50"/>
        <v/>
      </c>
    </row>
    <row r="3213" spans="20:28" x14ac:dyDescent="0.2">
      <c r="T3213" s="60" t="str">
        <f>IF(P3213&lt;&gt;"",
    IF(OR(O3213="", Q3213="", R3213=""),
        "Fill all the required columns",
        IFERROR(
            IF(OR(
                AND(R3213="Marine Protected", VLOOKUP(O3213, Reference!$A$2:$D$34, 4, FALSE) &lt;= P3213),
                AND(R3213="General Use", VLOOKUP(O3213, Reference!$A$2:$D$34, 3, FALSE) &lt;= P3213)
            ),
                "Exceeded",
                "OK"
            ),
            "No Regulation defined"
        )
    ),
    ""
)</f>
        <v/>
      </c>
      <c r="AB3213" s="62" t="str">
        <f t="shared" si="50"/>
        <v/>
      </c>
    </row>
    <row r="3214" spans="20:28" x14ac:dyDescent="0.2">
      <c r="T3214" s="60" t="str">
        <f>IF(P3214&lt;&gt;"",
    IF(OR(O3214="", Q3214="", R3214=""),
        "Fill all the required columns",
        IFERROR(
            IF(OR(
                AND(R3214="Marine Protected", VLOOKUP(O3214, Reference!$A$2:$D$34, 4, FALSE) &lt;= P3214),
                AND(R3214="General Use", VLOOKUP(O3214, Reference!$A$2:$D$34, 3, FALSE) &lt;= P3214)
            ),
                "Exceeded",
                "OK"
            ),
            "No Regulation defined"
        )
    ),
    ""
)</f>
        <v/>
      </c>
      <c r="AB3214" s="62" t="str">
        <f t="shared" si="50"/>
        <v/>
      </c>
    </row>
    <row r="3215" spans="20:28" x14ac:dyDescent="0.2">
      <c r="T3215" s="60" t="str">
        <f>IF(P3215&lt;&gt;"",
    IF(OR(O3215="", Q3215="", R3215=""),
        "Fill all the required columns",
        IFERROR(
            IF(OR(
                AND(R3215="Marine Protected", VLOOKUP(O3215, Reference!$A$2:$D$34, 4, FALSE) &lt;= P3215),
                AND(R3215="General Use", VLOOKUP(O3215, Reference!$A$2:$D$34, 3, FALSE) &lt;= P3215)
            ),
                "Exceeded",
                "OK"
            ),
            "No Regulation defined"
        )
    ),
    ""
)</f>
        <v/>
      </c>
      <c r="AB3215" s="62" t="str">
        <f t="shared" si="50"/>
        <v/>
      </c>
    </row>
    <row r="3216" spans="20:28" x14ac:dyDescent="0.2">
      <c r="T3216" s="60" t="str">
        <f>IF(P3216&lt;&gt;"",
    IF(OR(O3216="", Q3216="", R3216=""),
        "Fill all the required columns",
        IFERROR(
            IF(OR(
                AND(R3216="Marine Protected", VLOOKUP(O3216, Reference!$A$2:$D$34, 4, FALSE) &lt;= P3216),
                AND(R3216="General Use", VLOOKUP(O3216, Reference!$A$2:$D$34, 3, FALSE) &lt;= P3216)
            ),
                "Exceeded",
                "OK"
            ),
            "No Regulation defined"
        )
    ),
    ""
)</f>
        <v/>
      </c>
      <c r="AB3216" s="62" t="str">
        <f t="shared" si="50"/>
        <v/>
      </c>
    </row>
    <row r="3217" spans="20:28" x14ac:dyDescent="0.2">
      <c r="T3217" s="60" t="str">
        <f>IF(P3217&lt;&gt;"",
    IF(OR(O3217="", Q3217="", R3217=""),
        "Fill all the required columns",
        IFERROR(
            IF(OR(
                AND(R3217="Marine Protected", VLOOKUP(O3217, Reference!$A$2:$D$34, 4, FALSE) &lt;= P3217),
                AND(R3217="General Use", VLOOKUP(O3217, Reference!$A$2:$D$34, 3, FALSE) &lt;= P3217)
            ),
                "Exceeded",
                "OK"
            ),
            "No Regulation defined"
        )
    ),
    ""
)</f>
        <v/>
      </c>
      <c r="AB3217" s="62" t="str">
        <f t="shared" si="50"/>
        <v/>
      </c>
    </row>
    <row r="3218" spans="20:28" x14ac:dyDescent="0.2">
      <c r="T3218" s="60" t="str">
        <f>IF(P3218&lt;&gt;"",
    IF(OR(O3218="", Q3218="", R3218=""),
        "Fill all the required columns",
        IFERROR(
            IF(OR(
                AND(R3218="Marine Protected", VLOOKUP(O3218, Reference!$A$2:$D$34, 4, FALSE) &lt;= P3218),
                AND(R3218="General Use", VLOOKUP(O3218, Reference!$A$2:$D$34, 3, FALSE) &lt;= P3218)
            ),
                "Exceeded",
                "OK"
            ),
            "No Regulation defined"
        )
    ),
    ""
)</f>
        <v/>
      </c>
      <c r="AB3218" s="62" t="str">
        <f t="shared" si="50"/>
        <v/>
      </c>
    </row>
    <row r="3219" spans="20:28" x14ac:dyDescent="0.2">
      <c r="T3219" s="60" t="str">
        <f>IF(P3219&lt;&gt;"",
    IF(OR(O3219="", Q3219="", R3219=""),
        "Fill all the required columns",
        IFERROR(
            IF(OR(
                AND(R3219="Marine Protected", VLOOKUP(O3219, Reference!$A$2:$D$34, 4, FALSE) &lt;= P3219),
                AND(R3219="General Use", VLOOKUP(O3219, Reference!$A$2:$D$34, 3, FALSE) &lt;= P3219)
            ),
                "Exceeded",
                "OK"
            ),
            "No Regulation defined"
        )
    ),
    ""
)</f>
        <v/>
      </c>
      <c r="AB3219" s="62" t="str">
        <f t="shared" si="50"/>
        <v/>
      </c>
    </row>
    <row r="3220" spans="20:28" x14ac:dyDescent="0.2">
      <c r="T3220" s="60" t="str">
        <f>IF(P3220&lt;&gt;"",
    IF(OR(O3220="", Q3220="", R3220=""),
        "Fill all the required columns",
        IFERROR(
            IF(OR(
                AND(R3220="Marine Protected", VLOOKUP(O3220, Reference!$A$2:$D$34, 4, FALSE) &lt;= P3220),
                AND(R3220="General Use", VLOOKUP(O3220, Reference!$A$2:$D$34, 3, FALSE) &lt;= P3220)
            ),
                "Exceeded",
                "OK"
            ),
            "No Regulation defined"
        )
    ),
    ""
)</f>
        <v/>
      </c>
      <c r="AB3220" s="62" t="str">
        <f t="shared" si="50"/>
        <v/>
      </c>
    </row>
    <row r="3221" spans="20:28" x14ac:dyDescent="0.2">
      <c r="T3221" s="60" t="str">
        <f>IF(P3221&lt;&gt;"",
    IF(OR(O3221="", Q3221="", R3221=""),
        "Fill all the required columns",
        IFERROR(
            IF(OR(
                AND(R3221="Marine Protected", VLOOKUP(O3221, Reference!$A$2:$D$34, 4, FALSE) &lt;= P3221),
                AND(R3221="General Use", VLOOKUP(O3221, Reference!$A$2:$D$34, 3, FALSE) &lt;= P3221)
            ),
                "Exceeded",
                "OK"
            ),
            "No Regulation defined"
        )
    ),
    ""
)</f>
        <v/>
      </c>
      <c r="AB3221" s="62" t="str">
        <f t="shared" si="50"/>
        <v/>
      </c>
    </row>
    <row r="3222" spans="20:28" x14ac:dyDescent="0.2">
      <c r="T3222" s="60" t="str">
        <f>IF(P3222&lt;&gt;"",
    IF(OR(O3222="", Q3222="", R3222=""),
        "Fill all the required columns",
        IFERROR(
            IF(OR(
                AND(R3222="Marine Protected", VLOOKUP(O3222, Reference!$A$2:$D$34, 4, FALSE) &lt;= P3222),
                AND(R3222="General Use", VLOOKUP(O3222, Reference!$A$2:$D$34, 3, FALSE) &lt;= P3222)
            ),
                "Exceeded",
                "OK"
            ),
            "No Regulation defined"
        )
    ),
    ""
)</f>
        <v/>
      </c>
      <c r="AB3222" s="62" t="str">
        <f t="shared" si="50"/>
        <v/>
      </c>
    </row>
    <row r="3223" spans="20:28" x14ac:dyDescent="0.2">
      <c r="T3223" s="60" t="str">
        <f>IF(P3223&lt;&gt;"",
    IF(OR(O3223="", Q3223="", R3223=""),
        "Fill all the required columns",
        IFERROR(
            IF(OR(
                AND(R3223="Marine Protected", VLOOKUP(O3223, Reference!$A$2:$D$34, 4, FALSE) &lt;= P3223),
                AND(R3223="General Use", VLOOKUP(O3223, Reference!$A$2:$D$34, 3, FALSE) &lt;= P3223)
            ),
                "Exceeded",
                "OK"
            ),
            "No Regulation defined"
        )
    ),
    ""
)</f>
        <v/>
      </c>
      <c r="AB3223" s="62" t="str">
        <f t="shared" si="50"/>
        <v/>
      </c>
    </row>
    <row r="3224" spans="20:28" x14ac:dyDescent="0.2">
      <c r="T3224" s="60" t="str">
        <f>IF(P3224&lt;&gt;"",
    IF(OR(O3224="", Q3224="", R3224=""),
        "Fill all the required columns",
        IFERROR(
            IF(OR(
                AND(R3224="Marine Protected", VLOOKUP(O3224, Reference!$A$2:$D$34, 4, FALSE) &lt;= P3224),
                AND(R3224="General Use", VLOOKUP(O3224, Reference!$A$2:$D$34, 3, FALSE) &lt;= P3224)
            ),
                "Exceeded",
                "OK"
            ),
            "No Regulation defined"
        )
    ),
    ""
)</f>
        <v/>
      </c>
      <c r="AB3224" s="62" t="str">
        <f t="shared" si="50"/>
        <v/>
      </c>
    </row>
    <row r="3225" spans="20:28" x14ac:dyDescent="0.2">
      <c r="T3225" s="60" t="str">
        <f>IF(P3225&lt;&gt;"",
    IF(OR(O3225="", Q3225="", R3225=""),
        "Fill all the required columns",
        IFERROR(
            IF(OR(
                AND(R3225="Marine Protected", VLOOKUP(O3225, Reference!$A$2:$D$34, 4, FALSE) &lt;= P3225),
                AND(R3225="General Use", VLOOKUP(O3225, Reference!$A$2:$D$34, 3, FALSE) &lt;= P3225)
            ),
                "Exceeded",
                "OK"
            ),
            "No Regulation defined"
        )
    ),
    ""
)</f>
        <v/>
      </c>
      <c r="AB3225" s="62" t="str">
        <f t="shared" si="50"/>
        <v/>
      </c>
    </row>
    <row r="3226" spans="20:28" x14ac:dyDescent="0.2">
      <c r="T3226" s="60" t="str">
        <f>IF(P3226&lt;&gt;"",
    IF(OR(O3226="", Q3226="", R3226=""),
        "Fill all the required columns",
        IFERROR(
            IF(OR(
                AND(R3226="Marine Protected", VLOOKUP(O3226, Reference!$A$2:$D$34, 4, FALSE) &lt;= P3226),
                AND(R3226="General Use", VLOOKUP(O3226, Reference!$A$2:$D$34, 3, FALSE) &lt;= P3226)
            ),
                "Exceeded",
                "OK"
            ),
            "No Regulation defined"
        )
    ),
    ""
)</f>
        <v/>
      </c>
      <c r="AB3226" s="62" t="str">
        <f t="shared" si="50"/>
        <v/>
      </c>
    </row>
    <row r="3227" spans="20:28" x14ac:dyDescent="0.2">
      <c r="T3227" s="60" t="str">
        <f>IF(P3227&lt;&gt;"",
    IF(OR(O3227="", Q3227="", R3227=""),
        "Fill all the required columns",
        IFERROR(
            IF(OR(
                AND(R3227="Marine Protected", VLOOKUP(O3227, Reference!$A$2:$D$34, 4, FALSE) &lt;= P3227),
                AND(R3227="General Use", VLOOKUP(O3227, Reference!$A$2:$D$34, 3, FALSE) &lt;= P3227)
            ),
                "Exceeded",
                "OK"
            ),
            "No Regulation defined"
        )
    ),
    ""
)</f>
        <v/>
      </c>
      <c r="AB3227" s="62" t="str">
        <f t="shared" si="50"/>
        <v/>
      </c>
    </row>
    <row r="3228" spans="20:28" x14ac:dyDescent="0.2">
      <c r="T3228" s="60" t="str">
        <f>IF(P3228&lt;&gt;"",
    IF(OR(O3228="", Q3228="", R3228=""),
        "Fill all the required columns",
        IFERROR(
            IF(OR(
                AND(R3228="Marine Protected", VLOOKUP(O3228, Reference!$A$2:$D$34, 4, FALSE) &lt;= P3228),
                AND(R3228="General Use", VLOOKUP(O3228, Reference!$A$2:$D$34, 3, FALSE) &lt;= P3228)
            ),
                "Exceeded",
                "OK"
            ),
            "No Regulation defined"
        )
    ),
    ""
)</f>
        <v/>
      </c>
      <c r="AB3228" s="62" t="str">
        <f t="shared" si="50"/>
        <v/>
      </c>
    </row>
    <row r="3229" spans="20:28" x14ac:dyDescent="0.2">
      <c r="T3229" s="60" t="str">
        <f>IF(P3229&lt;&gt;"",
    IF(OR(O3229="", Q3229="", R3229=""),
        "Fill all the required columns",
        IFERROR(
            IF(OR(
                AND(R3229="Marine Protected", VLOOKUP(O3229, Reference!$A$2:$D$34, 4, FALSE) &lt;= P3229),
                AND(R3229="General Use", VLOOKUP(O3229, Reference!$A$2:$D$34, 3, FALSE) &lt;= P3229)
            ),
                "Exceeded",
                "OK"
            ),
            "No Regulation defined"
        )
    ),
    ""
)</f>
        <v/>
      </c>
      <c r="AB3229" s="62" t="str">
        <f t="shared" si="50"/>
        <v/>
      </c>
    </row>
    <row r="3230" spans="20:28" x14ac:dyDescent="0.2">
      <c r="T3230" s="60" t="str">
        <f>IF(P3230&lt;&gt;"",
    IF(OR(O3230="", Q3230="", R3230=""),
        "Fill all the required columns",
        IFERROR(
            IF(OR(
                AND(R3230="Marine Protected", VLOOKUP(O3230, Reference!$A$2:$D$34, 4, FALSE) &lt;= P3230),
                AND(R3230="General Use", VLOOKUP(O3230, Reference!$A$2:$D$34, 3, FALSE) &lt;= P3230)
            ),
                "Exceeded",
                "OK"
            ),
            "No Regulation defined"
        )
    ),
    ""
)</f>
        <v/>
      </c>
      <c r="AB3230" s="62" t="str">
        <f t="shared" si="50"/>
        <v/>
      </c>
    </row>
    <row r="3231" spans="20:28" x14ac:dyDescent="0.2">
      <c r="T3231" s="60" t="str">
        <f>IF(P3231&lt;&gt;"",
    IF(OR(O3231="", Q3231="", R3231=""),
        "Fill all the required columns",
        IFERROR(
            IF(OR(
                AND(R3231="Marine Protected", VLOOKUP(O3231, Reference!$A$2:$D$34, 4, FALSE) &lt;= P3231),
                AND(R3231="General Use", VLOOKUP(O3231, Reference!$A$2:$D$34, 3, FALSE) &lt;= P3231)
            ),
                "Exceeded",
                "OK"
            ),
            "No Regulation defined"
        )
    ),
    ""
)</f>
        <v/>
      </c>
      <c r="AB3231" s="62" t="str">
        <f t="shared" si="50"/>
        <v/>
      </c>
    </row>
    <row r="3232" spans="20:28" x14ac:dyDescent="0.2">
      <c r="T3232" s="60" t="str">
        <f>IF(P3232&lt;&gt;"",
    IF(OR(O3232="", Q3232="", R3232=""),
        "Fill all the required columns",
        IFERROR(
            IF(OR(
                AND(R3232="Marine Protected", VLOOKUP(O3232, Reference!$A$2:$D$34, 4, FALSE) &lt;= P3232),
                AND(R3232="General Use", VLOOKUP(O3232, Reference!$A$2:$D$34, 3, FALSE) &lt;= P3232)
            ),
                "Exceeded",
                "OK"
            ),
            "No Regulation defined"
        )
    ),
    ""
)</f>
        <v/>
      </c>
      <c r="AB3232" s="62" t="str">
        <f t="shared" si="50"/>
        <v/>
      </c>
    </row>
    <row r="3233" spans="20:28" x14ac:dyDescent="0.2">
      <c r="T3233" s="60" t="str">
        <f>IF(P3233&lt;&gt;"",
    IF(OR(O3233="", Q3233="", R3233=""),
        "Fill all the required columns",
        IFERROR(
            IF(OR(
                AND(R3233="Marine Protected", VLOOKUP(O3233, Reference!$A$2:$D$34, 4, FALSE) &lt;= P3233),
                AND(R3233="General Use", VLOOKUP(O3233, Reference!$A$2:$D$34, 3, FALSE) &lt;= P3233)
            ),
                "Exceeded",
                "OK"
            ),
            "No Regulation defined"
        )
    ),
    ""
)</f>
        <v/>
      </c>
      <c r="AB3233" s="62" t="str">
        <f t="shared" si="50"/>
        <v/>
      </c>
    </row>
    <row r="3234" spans="20:28" x14ac:dyDescent="0.2">
      <c r="T3234" s="60" t="str">
        <f>IF(P3234&lt;&gt;"",
    IF(OR(O3234="", Q3234="", R3234=""),
        "Fill all the required columns",
        IFERROR(
            IF(OR(
                AND(R3234="Marine Protected", VLOOKUP(O3234, Reference!$A$2:$D$34, 4, FALSE) &lt;= P3234),
                AND(R3234="General Use", VLOOKUP(O3234, Reference!$A$2:$D$34, 3, FALSE) &lt;= P3234)
            ),
                "Exceeded",
                "OK"
            ),
            "No Regulation defined"
        )
    ),
    ""
)</f>
        <v/>
      </c>
      <c r="AB3234" s="62" t="str">
        <f t="shared" si="50"/>
        <v/>
      </c>
    </row>
    <row r="3235" spans="20:28" x14ac:dyDescent="0.2">
      <c r="T3235" s="60" t="str">
        <f>IF(P3235&lt;&gt;"",
    IF(OR(O3235="", Q3235="", R3235=""),
        "Fill all the required columns",
        IFERROR(
            IF(OR(
                AND(R3235="Marine Protected", VLOOKUP(O3235, Reference!$A$2:$D$34, 4, FALSE) &lt;= P3235),
                AND(R3235="General Use", VLOOKUP(O3235, Reference!$A$2:$D$34, 3, FALSE) &lt;= P3235)
            ),
                "Exceeded",
                "OK"
            ),
            "No Regulation defined"
        )
    ),
    ""
)</f>
        <v/>
      </c>
      <c r="AB3235" s="62" t="str">
        <f t="shared" si="50"/>
        <v/>
      </c>
    </row>
    <row r="3236" spans="20:28" x14ac:dyDescent="0.2">
      <c r="T3236" s="60" t="str">
        <f>IF(P3236&lt;&gt;"",
    IF(OR(O3236="", Q3236="", R3236=""),
        "Fill all the required columns",
        IFERROR(
            IF(OR(
                AND(R3236="Marine Protected", VLOOKUP(O3236, Reference!$A$2:$D$34, 4, FALSE) &lt;= P3236),
                AND(R3236="General Use", VLOOKUP(O3236, Reference!$A$2:$D$34, 3, FALSE) &lt;= P3236)
            ),
                "Exceeded",
                "OK"
            ),
            "No Regulation defined"
        )
    ),
    ""
)</f>
        <v/>
      </c>
      <c r="AB3236" s="62" t="str">
        <f t="shared" si="50"/>
        <v/>
      </c>
    </row>
    <row r="3237" spans="20:28" x14ac:dyDescent="0.2">
      <c r="T3237" s="60" t="str">
        <f>IF(P3237&lt;&gt;"",
    IF(OR(O3237="", Q3237="", R3237=""),
        "Fill all the required columns",
        IFERROR(
            IF(OR(
                AND(R3237="Marine Protected", VLOOKUP(O3237, Reference!$A$2:$D$34, 4, FALSE) &lt;= P3237),
                AND(R3237="General Use", VLOOKUP(O3237, Reference!$A$2:$D$34, 3, FALSE) &lt;= P3237)
            ),
                "Exceeded",
                "OK"
            ),
            "No Regulation defined"
        )
    ),
    ""
)</f>
        <v/>
      </c>
      <c r="AB3237" s="62" t="str">
        <f t="shared" si="50"/>
        <v/>
      </c>
    </row>
    <row r="3238" spans="20:28" x14ac:dyDescent="0.2">
      <c r="T3238" s="60" t="str">
        <f>IF(P3238&lt;&gt;"",
    IF(OR(O3238="", Q3238="", R3238=""),
        "Fill all the required columns",
        IFERROR(
            IF(OR(
                AND(R3238="Marine Protected", VLOOKUP(O3238, Reference!$A$2:$D$34, 4, FALSE) &lt;= P3238),
                AND(R3238="General Use", VLOOKUP(O3238, Reference!$A$2:$D$34, 3, FALSE) &lt;= P3238)
            ),
                "Exceeded",
                "OK"
            ),
            "No Regulation defined"
        )
    ),
    ""
)</f>
        <v/>
      </c>
      <c r="AB3238" s="62" t="str">
        <f t="shared" si="50"/>
        <v/>
      </c>
    </row>
    <row r="3239" spans="20:28" x14ac:dyDescent="0.2">
      <c r="T3239" s="60" t="str">
        <f>IF(P3239&lt;&gt;"",
    IF(OR(O3239="", Q3239="", R3239=""),
        "Fill all the required columns",
        IFERROR(
            IF(OR(
                AND(R3239="Marine Protected", VLOOKUP(O3239, Reference!$A$2:$D$34, 4, FALSE) &lt;= P3239),
                AND(R3239="General Use", VLOOKUP(O3239, Reference!$A$2:$D$34, 3, FALSE) &lt;= P3239)
            ),
                "Exceeded",
                "OK"
            ),
            "No Regulation defined"
        )
    ),
    ""
)</f>
        <v/>
      </c>
      <c r="AB3239" s="62" t="str">
        <f t="shared" si="50"/>
        <v/>
      </c>
    </row>
    <row r="3240" spans="20:28" x14ac:dyDescent="0.2">
      <c r="T3240" s="60" t="str">
        <f>IF(P3240&lt;&gt;"",
    IF(OR(O3240="", Q3240="", R3240=""),
        "Fill all the required columns",
        IFERROR(
            IF(OR(
                AND(R3240="Marine Protected", VLOOKUP(O3240, Reference!$A$2:$D$34, 4, FALSE) &lt;= P3240),
                AND(R3240="General Use", VLOOKUP(O3240, Reference!$A$2:$D$34, 3, FALSE) &lt;= P3240)
            ),
                "Exceeded",
                "OK"
            ),
            "No Regulation defined"
        )
    ),
    ""
)</f>
        <v/>
      </c>
      <c r="AB3240" s="62" t="str">
        <f t="shared" si="50"/>
        <v/>
      </c>
    </row>
    <row r="3241" spans="20:28" x14ac:dyDescent="0.2">
      <c r="T3241" s="60" t="str">
        <f>IF(P3241&lt;&gt;"",
    IF(OR(O3241="", Q3241="", R3241=""),
        "Fill all the required columns",
        IFERROR(
            IF(OR(
                AND(R3241="Marine Protected", VLOOKUP(O3241, Reference!$A$2:$D$34, 4, FALSE) &lt;= P3241),
                AND(R3241="General Use", VLOOKUP(O3241, Reference!$A$2:$D$34, 3, FALSE) &lt;= P3241)
            ),
                "Exceeded",
                "OK"
            ),
            "No Regulation defined"
        )
    ),
    ""
)</f>
        <v/>
      </c>
      <c r="AB3241" s="62" t="str">
        <f t="shared" si="50"/>
        <v/>
      </c>
    </row>
    <row r="3242" spans="20:28" x14ac:dyDescent="0.2">
      <c r="T3242" s="60" t="str">
        <f>IF(P3242&lt;&gt;"",
    IF(OR(O3242="", Q3242="", R3242=""),
        "Fill all the required columns",
        IFERROR(
            IF(OR(
                AND(R3242="Marine Protected", VLOOKUP(O3242, Reference!$A$2:$D$34, 4, FALSE) &lt;= P3242),
                AND(R3242="General Use", VLOOKUP(O3242, Reference!$A$2:$D$34, 3, FALSE) &lt;= P3242)
            ),
                "Exceeded",
                "OK"
            ),
            "No Regulation defined"
        )
    ),
    ""
)</f>
        <v/>
      </c>
      <c r="AB3242" s="62" t="str">
        <f t="shared" si="50"/>
        <v/>
      </c>
    </row>
    <row r="3243" spans="20:28" x14ac:dyDescent="0.2">
      <c r="T3243" s="60" t="str">
        <f>IF(P3243&lt;&gt;"",
    IF(OR(O3243="", Q3243="", R3243=""),
        "Fill all the required columns",
        IFERROR(
            IF(OR(
                AND(R3243="Marine Protected", VLOOKUP(O3243, Reference!$A$2:$D$34, 4, FALSE) &lt;= P3243),
                AND(R3243="General Use", VLOOKUP(O3243, Reference!$A$2:$D$34, 3, FALSE) &lt;= P3243)
            ),
                "Exceeded",
                "OK"
            ),
            "No Regulation defined"
        )
    ),
    ""
)</f>
        <v/>
      </c>
      <c r="AB3243" s="62" t="str">
        <f t="shared" si="50"/>
        <v/>
      </c>
    </row>
    <row r="3244" spans="20:28" x14ac:dyDescent="0.2">
      <c r="T3244" s="60" t="str">
        <f>IF(P3244&lt;&gt;"",
    IF(OR(O3244="", Q3244="", R3244=""),
        "Fill all the required columns",
        IFERROR(
            IF(OR(
                AND(R3244="Marine Protected", VLOOKUP(O3244, Reference!$A$2:$D$34, 4, FALSE) &lt;= P3244),
                AND(R3244="General Use", VLOOKUP(O3244, Reference!$A$2:$D$34, 3, FALSE) &lt;= P3244)
            ),
                "Exceeded",
                "OK"
            ),
            "No Regulation defined"
        )
    ),
    ""
)</f>
        <v/>
      </c>
      <c r="AB3244" s="62" t="str">
        <f t="shared" si="50"/>
        <v/>
      </c>
    </row>
    <row r="3245" spans="20:28" x14ac:dyDescent="0.2">
      <c r="T3245" s="60" t="str">
        <f>IF(P3245&lt;&gt;"",
    IF(OR(O3245="", Q3245="", R3245=""),
        "Fill all the required columns",
        IFERROR(
            IF(OR(
                AND(R3245="Marine Protected", VLOOKUP(O3245, Reference!$A$2:$D$34, 4, FALSE) &lt;= P3245),
                AND(R3245="General Use", VLOOKUP(O3245, Reference!$A$2:$D$34, 3, FALSE) &lt;= P3245)
            ),
                "Exceeded",
                "OK"
            ),
            "No Regulation defined"
        )
    ),
    ""
)</f>
        <v/>
      </c>
      <c r="AB3245" s="62" t="str">
        <f t="shared" si="50"/>
        <v/>
      </c>
    </row>
    <row r="3246" spans="20:28" x14ac:dyDescent="0.2">
      <c r="T3246" s="60" t="str">
        <f>IF(P3246&lt;&gt;"",
    IF(OR(O3246="", Q3246="", R3246=""),
        "Fill all the required columns",
        IFERROR(
            IF(OR(
                AND(R3246="Marine Protected", VLOOKUP(O3246, Reference!$A$2:$D$34, 4, FALSE) &lt;= P3246),
                AND(R3246="General Use", VLOOKUP(O3246, Reference!$A$2:$D$34, 3, FALSE) &lt;= P3246)
            ),
                "Exceeded",
                "OK"
            ),
            "No Regulation defined"
        )
    ),
    ""
)</f>
        <v/>
      </c>
      <c r="AB3246" s="62" t="str">
        <f t="shared" si="50"/>
        <v/>
      </c>
    </row>
    <row r="3247" spans="20:28" x14ac:dyDescent="0.2">
      <c r="T3247" s="60" t="str">
        <f>IF(P3247&lt;&gt;"",
    IF(OR(O3247="", Q3247="", R3247=""),
        "Fill all the required columns",
        IFERROR(
            IF(OR(
                AND(R3247="Marine Protected", VLOOKUP(O3247, Reference!$A$2:$D$34, 4, FALSE) &lt;= P3247),
                AND(R3247="General Use", VLOOKUP(O3247, Reference!$A$2:$D$34, 3, FALSE) &lt;= P3247)
            ),
                "Exceeded",
                "OK"
            ),
            "No Regulation defined"
        )
    ),
    ""
)</f>
        <v/>
      </c>
      <c r="AB3247" s="62" t="str">
        <f t="shared" si="50"/>
        <v/>
      </c>
    </row>
    <row r="3248" spans="20:28" x14ac:dyDescent="0.2">
      <c r="T3248" s="60" t="str">
        <f>IF(P3248&lt;&gt;"",
    IF(OR(O3248="", Q3248="", R3248=""),
        "Fill all the required columns",
        IFERROR(
            IF(OR(
                AND(R3248="Marine Protected", VLOOKUP(O3248, Reference!$A$2:$D$34, 4, FALSE) &lt;= P3248),
                AND(R3248="General Use", VLOOKUP(O3248, Reference!$A$2:$D$34, 3, FALSE) &lt;= P3248)
            ),
                "Exceeded",
                "OK"
            ),
            "No Regulation defined"
        )
    ),
    ""
)</f>
        <v/>
      </c>
      <c r="AB3248" s="62" t="str">
        <f t="shared" si="50"/>
        <v/>
      </c>
    </row>
    <row r="3249" spans="20:28" x14ac:dyDescent="0.2">
      <c r="T3249" s="60" t="str">
        <f>IF(P3249&lt;&gt;"",
    IF(OR(O3249="", Q3249="", R3249=""),
        "Fill all the required columns",
        IFERROR(
            IF(OR(
                AND(R3249="Marine Protected", VLOOKUP(O3249, Reference!$A$2:$D$34, 4, FALSE) &lt;= P3249),
                AND(R3249="General Use", VLOOKUP(O3249, Reference!$A$2:$D$34, 3, FALSE) &lt;= P3249)
            ),
                "Exceeded",
                "OK"
            ),
            "No Regulation defined"
        )
    ),
    ""
)</f>
        <v/>
      </c>
      <c r="AB3249" s="62" t="str">
        <f t="shared" si="50"/>
        <v/>
      </c>
    </row>
    <row r="3250" spans="20:28" x14ac:dyDescent="0.2">
      <c r="T3250" s="60" t="str">
        <f>IF(P3250&lt;&gt;"",
    IF(OR(O3250="", Q3250="", R3250=""),
        "Fill all the required columns",
        IFERROR(
            IF(OR(
                AND(R3250="Marine Protected", VLOOKUP(O3250, Reference!$A$2:$D$34, 4, FALSE) &lt;= P3250),
                AND(R3250="General Use", VLOOKUP(O3250, Reference!$A$2:$D$34, 3, FALSE) &lt;= P3250)
            ),
                "Exceeded",
                "OK"
            ),
            "No Regulation defined"
        )
    ),
    ""
)</f>
        <v/>
      </c>
      <c r="AB3250" s="62" t="str">
        <f t="shared" si="50"/>
        <v/>
      </c>
    </row>
    <row r="3251" spans="20:28" x14ac:dyDescent="0.2">
      <c r="T3251" s="60" t="str">
        <f>IF(P3251&lt;&gt;"",
    IF(OR(O3251="", Q3251="", R3251=""),
        "Fill all the required columns",
        IFERROR(
            IF(OR(
                AND(R3251="Marine Protected", VLOOKUP(O3251, Reference!$A$2:$D$34, 4, FALSE) &lt;= P3251),
                AND(R3251="General Use", VLOOKUP(O3251, Reference!$A$2:$D$34, 3, FALSE) &lt;= P3251)
            ),
                "Exceeded",
                "OK"
            ),
            "No Regulation defined"
        )
    ),
    ""
)</f>
        <v/>
      </c>
      <c r="AB3251" s="62" t="str">
        <f t="shared" si="50"/>
        <v/>
      </c>
    </row>
    <row r="3252" spans="20:28" x14ac:dyDescent="0.2">
      <c r="T3252" s="60" t="str">
        <f>IF(P3252&lt;&gt;"",
    IF(OR(O3252="", Q3252="", R3252=""),
        "Fill all the required columns",
        IFERROR(
            IF(OR(
                AND(R3252="Marine Protected", VLOOKUP(O3252, Reference!$A$2:$D$34, 4, FALSE) &lt;= P3252),
                AND(R3252="General Use", VLOOKUP(O3252, Reference!$A$2:$D$34, 3, FALSE) &lt;= P3252)
            ),
                "Exceeded",
                "OK"
            ),
            "No Regulation defined"
        )
    ),
    ""
)</f>
        <v/>
      </c>
      <c r="AB3252" s="62" t="str">
        <f t="shared" si="50"/>
        <v/>
      </c>
    </row>
    <row r="3253" spans="20:28" x14ac:dyDescent="0.2">
      <c r="T3253" s="60" t="str">
        <f>IF(P3253&lt;&gt;"",
    IF(OR(O3253="", Q3253="", R3253=""),
        "Fill all the required columns",
        IFERROR(
            IF(OR(
                AND(R3253="Marine Protected", VLOOKUP(O3253, Reference!$A$2:$D$34, 4, FALSE) &lt;= P3253),
                AND(R3253="General Use", VLOOKUP(O3253, Reference!$A$2:$D$34, 3, FALSE) &lt;= P3253)
            ),
                "Exceeded",
                "OK"
            ),
            "No Regulation defined"
        )
    ),
    ""
)</f>
        <v/>
      </c>
      <c r="AB3253" s="62" t="str">
        <f t="shared" si="50"/>
        <v/>
      </c>
    </row>
    <row r="3254" spans="20:28" x14ac:dyDescent="0.2">
      <c r="T3254" s="60" t="str">
        <f>IF(P3254&lt;&gt;"",
    IF(OR(O3254="", Q3254="", R3254=""),
        "Fill all the required columns",
        IFERROR(
            IF(OR(
                AND(R3254="Marine Protected", VLOOKUP(O3254, Reference!$A$2:$D$34, 4, FALSE) &lt;= P3254),
                AND(R3254="General Use", VLOOKUP(O3254, Reference!$A$2:$D$34, 3, FALSE) &lt;= P3254)
            ),
                "Exceeded",
                "OK"
            ),
            "No Regulation defined"
        )
    ),
    ""
)</f>
        <v/>
      </c>
      <c r="AB3254" s="62" t="str">
        <f t="shared" si="50"/>
        <v/>
      </c>
    </row>
    <row r="3255" spans="20:28" x14ac:dyDescent="0.2">
      <c r="T3255" s="60" t="str">
        <f>IF(P3255&lt;&gt;"",
    IF(OR(O3255="", Q3255="", R3255=""),
        "Fill all the required columns",
        IFERROR(
            IF(OR(
                AND(R3255="Marine Protected", VLOOKUP(O3255, Reference!$A$2:$D$34, 4, FALSE) &lt;= P3255),
                AND(R3255="General Use", VLOOKUP(O3255, Reference!$A$2:$D$34, 3, FALSE) &lt;= P3255)
            ),
                "Exceeded",
                "OK"
            ),
            "No Regulation defined"
        )
    ),
    ""
)</f>
        <v/>
      </c>
      <c r="AB3255" s="62" t="str">
        <f t="shared" si="50"/>
        <v/>
      </c>
    </row>
    <row r="3256" spans="20:28" x14ac:dyDescent="0.2">
      <c r="T3256" s="60" t="str">
        <f>IF(P3256&lt;&gt;"",
    IF(OR(O3256="", Q3256="", R3256=""),
        "Fill all the required columns",
        IFERROR(
            IF(OR(
                AND(R3256="Marine Protected", VLOOKUP(O3256, Reference!$A$2:$D$34, 4, FALSE) &lt;= P3256),
                AND(R3256="General Use", VLOOKUP(O3256, Reference!$A$2:$D$34, 3, FALSE) &lt;= P3256)
            ),
                "Exceeded",
                "OK"
            ),
            "No Regulation defined"
        )
    ),
    ""
)</f>
        <v/>
      </c>
      <c r="AB3256" s="62" t="str">
        <f t="shared" si="50"/>
        <v/>
      </c>
    </row>
    <row r="3257" spans="20:28" x14ac:dyDescent="0.2">
      <c r="T3257" s="60" t="str">
        <f>IF(P3257&lt;&gt;"",
    IF(OR(O3257="", Q3257="", R3257=""),
        "Fill all the required columns",
        IFERROR(
            IF(OR(
                AND(R3257="Marine Protected", VLOOKUP(O3257, Reference!$A$2:$D$34, 4, FALSE) &lt;= P3257),
                AND(R3257="General Use", VLOOKUP(O3257, Reference!$A$2:$D$34, 3, FALSE) &lt;= P3257)
            ),
                "Exceeded",
                "OK"
            ),
            "No Regulation defined"
        )
    ),
    ""
)</f>
        <v/>
      </c>
      <c r="AB3257" s="62" t="str">
        <f t="shared" si="50"/>
        <v/>
      </c>
    </row>
    <row r="3258" spans="20:28" x14ac:dyDescent="0.2">
      <c r="T3258" s="60" t="str">
        <f>IF(P3258&lt;&gt;"",
    IF(OR(O3258="", Q3258="", R3258=""),
        "Fill all the required columns",
        IFERROR(
            IF(OR(
                AND(R3258="Marine Protected", VLOOKUP(O3258, Reference!$A$2:$D$34, 4, FALSE) &lt;= P3258),
                AND(R3258="General Use", VLOOKUP(O3258, Reference!$A$2:$D$34, 3, FALSE) &lt;= P3258)
            ),
                "Exceeded",
                "OK"
            ),
            "No Regulation defined"
        )
    ),
    ""
)</f>
        <v/>
      </c>
      <c r="AB3258" s="62" t="str">
        <f t="shared" si="50"/>
        <v/>
      </c>
    </row>
    <row r="3259" spans="20:28" x14ac:dyDescent="0.2">
      <c r="T3259" s="60" t="str">
        <f>IF(P3259&lt;&gt;"",
    IF(OR(O3259="", Q3259="", R3259=""),
        "Fill all the required columns",
        IFERROR(
            IF(OR(
                AND(R3259="Marine Protected", VLOOKUP(O3259, Reference!$A$2:$D$34, 4, FALSE) &lt;= P3259),
                AND(R3259="General Use", VLOOKUP(O3259, Reference!$A$2:$D$34, 3, FALSE) &lt;= P3259)
            ),
                "Exceeded",
                "OK"
            ),
            "No Regulation defined"
        )
    ),
    ""
)</f>
        <v/>
      </c>
      <c r="AB3259" s="62" t="str">
        <f t="shared" si="50"/>
        <v/>
      </c>
    </row>
    <row r="3260" spans="20:28" x14ac:dyDescent="0.2">
      <c r="T3260" s="60" t="str">
        <f>IF(P3260&lt;&gt;"",
    IF(OR(O3260="", Q3260="", R3260=""),
        "Fill all the required columns",
        IFERROR(
            IF(OR(
                AND(R3260="Marine Protected", VLOOKUP(O3260, Reference!$A$2:$D$34, 4, FALSE) &lt;= P3260),
                AND(R3260="General Use", VLOOKUP(O3260, Reference!$A$2:$D$34, 3, FALSE) &lt;= P3260)
            ),
                "Exceeded",
                "OK"
            ),
            "No Regulation defined"
        )
    ),
    ""
)</f>
        <v/>
      </c>
      <c r="AB3260" s="62" t="str">
        <f t="shared" si="50"/>
        <v/>
      </c>
    </row>
    <row r="3261" spans="20:28" x14ac:dyDescent="0.2">
      <c r="T3261" s="60" t="str">
        <f>IF(P3261&lt;&gt;"",
    IF(OR(O3261="", Q3261="", R3261=""),
        "Fill all the required columns",
        IFERROR(
            IF(OR(
                AND(R3261="Marine Protected", VLOOKUP(O3261, Reference!$A$2:$D$34, 4, FALSE) &lt;= P3261),
                AND(R3261="General Use", VLOOKUP(O3261, Reference!$A$2:$D$34, 3, FALSE) &lt;= P3261)
            ),
                "Exceeded",
                "OK"
            ),
            "No Regulation defined"
        )
    ),
    ""
)</f>
        <v/>
      </c>
      <c r="AB3261" s="62" t="str">
        <f t="shared" si="50"/>
        <v/>
      </c>
    </row>
    <row r="3262" spans="20:28" x14ac:dyDescent="0.2">
      <c r="T3262" s="60" t="str">
        <f>IF(P3262&lt;&gt;"",
    IF(OR(O3262="", Q3262="", R3262=""),
        "Fill all the required columns",
        IFERROR(
            IF(OR(
                AND(R3262="Marine Protected", VLOOKUP(O3262, Reference!$A$2:$D$34, 4, FALSE) &lt;= P3262),
                AND(R3262="General Use", VLOOKUP(O3262, Reference!$A$2:$D$34, 3, FALSE) &lt;= P3262)
            ),
                "Exceeded",
                "OK"
            ),
            "No Regulation defined"
        )
    ),
    ""
)</f>
        <v/>
      </c>
      <c r="AB3262" s="62" t="str">
        <f t="shared" si="50"/>
        <v/>
      </c>
    </row>
    <row r="3263" spans="20:28" x14ac:dyDescent="0.2">
      <c r="T3263" s="60" t="str">
        <f>IF(P3263&lt;&gt;"",
    IF(OR(O3263="", Q3263="", R3263=""),
        "Fill all the required columns",
        IFERROR(
            IF(OR(
                AND(R3263="Marine Protected", VLOOKUP(O3263, Reference!$A$2:$D$34, 4, FALSE) &lt;= P3263),
                AND(R3263="General Use", VLOOKUP(O3263, Reference!$A$2:$D$34, 3, FALSE) &lt;= P3263)
            ),
                "Exceeded",
                "OK"
            ),
            "No Regulation defined"
        )
    ),
    ""
)</f>
        <v/>
      </c>
      <c r="AB3263" s="62" t="str">
        <f t="shared" si="50"/>
        <v/>
      </c>
    </row>
    <row r="3264" spans="20:28" x14ac:dyDescent="0.2">
      <c r="T3264" s="60" t="str">
        <f>IF(P3264&lt;&gt;"",
    IF(OR(O3264="", Q3264="", R3264=""),
        "Fill all the required columns",
        IFERROR(
            IF(OR(
                AND(R3264="Marine Protected", VLOOKUP(O3264, Reference!$A$2:$D$34, 4, FALSE) &lt;= P3264),
                AND(R3264="General Use", VLOOKUP(O3264, Reference!$A$2:$D$34, 3, FALSE) &lt;= P3264)
            ),
                "Exceeded",
                "OK"
            ),
            "No Regulation defined"
        )
    ),
    ""
)</f>
        <v/>
      </c>
      <c r="AB3264" s="62" t="str">
        <f t="shared" si="50"/>
        <v/>
      </c>
    </row>
    <row r="3265" spans="20:28" x14ac:dyDescent="0.2">
      <c r="T3265" s="60" t="str">
        <f>IF(P3265&lt;&gt;"",
    IF(OR(O3265="", Q3265="", R3265=""),
        "Fill all the required columns",
        IFERROR(
            IF(OR(
                AND(R3265="Marine Protected", VLOOKUP(O3265, Reference!$A$2:$D$34, 4, FALSE) &lt;= P3265),
                AND(R3265="General Use", VLOOKUP(O3265, Reference!$A$2:$D$34, 3, FALSE) &lt;= P3265)
            ),
                "Exceeded",
                "OK"
            ),
            "No Regulation defined"
        )
    ),
    ""
)</f>
        <v/>
      </c>
      <c r="AB3265" s="62" t="str">
        <f t="shared" si="50"/>
        <v/>
      </c>
    </row>
    <row r="3266" spans="20:28" x14ac:dyDescent="0.2">
      <c r="T3266" s="60" t="str">
        <f>IF(P3266&lt;&gt;"",
    IF(OR(O3266="", Q3266="", R3266=""),
        "Fill all the required columns",
        IFERROR(
            IF(OR(
                AND(R3266="Marine Protected", VLOOKUP(O3266, Reference!$A$2:$D$34, 4, FALSE) &lt;= P3266),
                AND(R3266="General Use", VLOOKUP(O3266, Reference!$A$2:$D$34, 3, FALSE) &lt;= P3266)
            ),
                "Exceeded",
                "OK"
            ),
            "No Regulation defined"
        )
    ),
    ""
)</f>
        <v/>
      </c>
      <c r="AB3266" s="62" t="str">
        <f t="shared" si="50"/>
        <v/>
      </c>
    </row>
    <row r="3267" spans="20:28" x14ac:dyDescent="0.2">
      <c r="T3267" s="60" t="str">
        <f>IF(P3267&lt;&gt;"",
    IF(OR(O3267="", Q3267="", R3267=""),
        "Fill all the required columns",
        IFERROR(
            IF(OR(
                AND(R3267="Marine Protected", VLOOKUP(O3267, Reference!$A$2:$D$34, 4, FALSE) &lt;= P3267),
                AND(R3267="General Use", VLOOKUP(O3267, Reference!$A$2:$D$34, 3, FALSE) &lt;= P3267)
            ),
                "Exceeded",
                "OK"
            ),
            "No Regulation defined"
        )
    ),
    ""
)</f>
        <v/>
      </c>
      <c r="AB3267" s="62" t="str">
        <f t="shared" ref="AB3267:AB3330" si="51">IF(COUNTA(A3267, E3267, F3267, H3267, I3267, O3267, P3267, Q3267, R3267,S3267) = 0, "", IF(COUNTA(A3267, E3267, F3267, H3267, I3267, O3267, P3267, Q3267, R3267,S3267) = 10, "OK", "Incomplete"))</f>
        <v/>
      </c>
    </row>
    <row r="3268" spans="20:28" x14ac:dyDescent="0.2">
      <c r="T3268" s="60" t="str">
        <f>IF(P3268&lt;&gt;"",
    IF(OR(O3268="", Q3268="", R3268=""),
        "Fill all the required columns",
        IFERROR(
            IF(OR(
                AND(R3268="Marine Protected", VLOOKUP(O3268, Reference!$A$2:$D$34, 4, FALSE) &lt;= P3268),
                AND(R3268="General Use", VLOOKUP(O3268, Reference!$A$2:$D$34, 3, FALSE) &lt;= P3268)
            ),
                "Exceeded",
                "OK"
            ),
            "No Regulation defined"
        )
    ),
    ""
)</f>
        <v/>
      </c>
      <c r="AB3268" s="62" t="str">
        <f t="shared" si="51"/>
        <v/>
      </c>
    </row>
    <row r="3269" spans="20:28" x14ac:dyDescent="0.2">
      <c r="T3269" s="60" t="str">
        <f>IF(P3269&lt;&gt;"",
    IF(OR(O3269="", Q3269="", R3269=""),
        "Fill all the required columns",
        IFERROR(
            IF(OR(
                AND(R3269="Marine Protected", VLOOKUP(O3269, Reference!$A$2:$D$34, 4, FALSE) &lt;= P3269),
                AND(R3269="General Use", VLOOKUP(O3269, Reference!$A$2:$D$34, 3, FALSE) &lt;= P3269)
            ),
                "Exceeded",
                "OK"
            ),
            "No Regulation defined"
        )
    ),
    ""
)</f>
        <v/>
      </c>
      <c r="AB3269" s="62" t="str">
        <f t="shared" si="51"/>
        <v/>
      </c>
    </row>
    <row r="3270" spans="20:28" x14ac:dyDescent="0.2">
      <c r="T3270" s="60" t="str">
        <f>IF(P3270&lt;&gt;"",
    IF(OR(O3270="", Q3270="", R3270=""),
        "Fill all the required columns",
        IFERROR(
            IF(OR(
                AND(R3270="Marine Protected", VLOOKUP(O3270, Reference!$A$2:$D$34, 4, FALSE) &lt;= P3270),
                AND(R3270="General Use", VLOOKUP(O3270, Reference!$A$2:$D$34, 3, FALSE) &lt;= P3270)
            ),
                "Exceeded",
                "OK"
            ),
            "No Regulation defined"
        )
    ),
    ""
)</f>
        <v/>
      </c>
      <c r="AB3270" s="62" t="str">
        <f t="shared" si="51"/>
        <v/>
      </c>
    </row>
    <row r="3271" spans="20:28" x14ac:dyDescent="0.2">
      <c r="T3271" s="60" t="str">
        <f>IF(P3271&lt;&gt;"",
    IF(OR(O3271="", Q3271="", R3271=""),
        "Fill all the required columns",
        IFERROR(
            IF(OR(
                AND(R3271="Marine Protected", VLOOKUP(O3271, Reference!$A$2:$D$34, 4, FALSE) &lt;= P3271),
                AND(R3271="General Use", VLOOKUP(O3271, Reference!$A$2:$D$34, 3, FALSE) &lt;= P3271)
            ),
                "Exceeded",
                "OK"
            ),
            "No Regulation defined"
        )
    ),
    ""
)</f>
        <v/>
      </c>
      <c r="AB3271" s="62" t="str">
        <f t="shared" si="51"/>
        <v/>
      </c>
    </row>
    <row r="3272" spans="20:28" x14ac:dyDescent="0.2">
      <c r="T3272" s="60" t="str">
        <f>IF(P3272&lt;&gt;"",
    IF(OR(O3272="", Q3272="", R3272=""),
        "Fill all the required columns",
        IFERROR(
            IF(OR(
                AND(R3272="Marine Protected", VLOOKUP(O3272, Reference!$A$2:$D$34, 4, FALSE) &lt;= P3272),
                AND(R3272="General Use", VLOOKUP(O3272, Reference!$A$2:$D$34, 3, FALSE) &lt;= P3272)
            ),
                "Exceeded",
                "OK"
            ),
            "No Regulation defined"
        )
    ),
    ""
)</f>
        <v/>
      </c>
      <c r="AB3272" s="62" t="str">
        <f t="shared" si="51"/>
        <v/>
      </c>
    </row>
    <row r="3273" spans="20:28" x14ac:dyDescent="0.2">
      <c r="T3273" s="60" t="str">
        <f>IF(P3273&lt;&gt;"",
    IF(OR(O3273="", Q3273="", R3273=""),
        "Fill all the required columns",
        IFERROR(
            IF(OR(
                AND(R3273="Marine Protected", VLOOKUP(O3273, Reference!$A$2:$D$34, 4, FALSE) &lt;= P3273),
                AND(R3273="General Use", VLOOKUP(O3273, Reference!$A$2:$D$34, 3, FALSE) &lt;= P3273)
            ),
                "Exceeded",
                "OK"
            ),
            "No Regulation defined"
        )
    ),
    ""
)</f>
        <v/>
      </c>
      <c r="AB3273" s="62" t="str">
        <f t="shared" si="51"/>
        <v/>
      </c>
    </row>
    <row r="3274" spans="20:28" x14ac:dyDescent="0.2">
      <c r="T3274" s="60" t="str">
        <f>IF(P3274&lt;&gt;"",
    IF(OR(O3274="", Q3274="", R3274=""),
        "Fill all the required columns",
        IFERROR(
            IF(OR(
                AND(R3274="Marine Protected", VLOOKUP(O3274, Reference!$A$2:$D$34, 4, FALSE) &lt;= P3274),
                AND(R3274="General Use", VLOOKUP(O3274, Reference!$A$2:$D$34, 3, FALSE) &lt;= P3274)
            ),
                "Exceeded",
                "OK"
            ),
            "No Regulation defined"
        )
    ),
    ""
)</f>
        <v/>
      </c>
      <c r="AB3274" s="62" t="str">
        <f t="shared" si="51"/>
        <v/>
      </c>
    </row>
    <row r="3275" spans="20:28" x14ac:dyDescent="0.2">
      <c r="T3275" s="60" t="str">
        <f>IF(P3275&lt;&gt;"",
    IF(OR(O3275="", Q3275="", R3275=""),
        "Fill all the required columns",
        IFERROR(
            IF(OR(
                AND(R3275="Marine Protected", VLOOKUP(O3275, Reference!$A$2:$D$34, 4, FALSE) &lt;= P3275),
                AND(R3275="General Use", VLOOKUP(O3275, Reference!$A$2:$D$34, 3, FALSE) &lt;= P3275)
            ),
                "Exceeded",
                "OK"
            ),
            "No Regulation defined"
        )
    ),
    ""
)</f>
        <v/>
      </c>
      <c r="AB3275" s="62" t="str">
        <f t="shared" si="51"/>
        <v/>
      </c>
    </row>
    <row r="3276" spans="20:28" x14ac:dyDescent="0.2">
      <c r="T3276" s="60" t="str">
        <f>IF(P3276&lt;&gt;"",
    IF(OR(O3276="", Q3276="", R3276=""),
        "Fill all the required columns",
        IFERROR(
            IF(OR(
                AND(R3276="Marine Protected", VLOOKUP(O3276, Reference!$A$2:$D$34, 4, FALSE) &lt;= P3276),
                AND(R3276="General Use", VLOOKUP(O3276, Reference!$A$2:$D$34, 3, FALSE) &lt;= P3276)
            ),
                "Exceeded",
                "OK"
            ),
            "No Regulation defined"
        )
    ),
    ""
)</f>
        <v/>
      </c>
      <c r="AB3276" s="62" t="str">
        <f t="shared" si="51"/>
        <v/>
      </c>
    </row>
    <row r="3277" spans="20:28" x14ac:dyDescent="0.2">
      <c r="T3277" s="60" t="str">
        <f>IF(P3277&lt;&gt;"",
    IF(OR(O3277="", Q3277="", R3277=""),
        "Fill all the required columns",
        IFERROR(
            IF(OR(
                AND(R3277="Marine Protected", VLOOKUP(O3277, Reference!$A$2:$D$34, 4, FALSE) &lt;= P3277),
                AND(R3277="General Use", VLOOKUP(O3277, Reference!$A$2:$D$34, 3, FALSE) &lt;= P3277)
            ),
                "Exceeded",
                "OK"
            ),
            "No Regulation defined"
        )
    ),
    ""
)</f>
        <v/>
      </c>
      <c r="AB3277" s="62" t="str">
        <f t="shared" si="51"/>
        <v/>
      </c>
    </row>
    <row r="3278" spans="20:28" x14ac:dyDescent="0.2">
      <c r="T3278" s="60" t="str">
        <f>IF(P3278&lt;&gt;"",
    IF(OR(O3278="", Q3278="", R3278=""),
        "Fill all the required columns",
        IFERROR(
            IF(OR(
                AND(R3278="Marine Protected", VLOOKUP(O3278, Reference!$A$2:$D$34, 4, FALSE) &lt;= P3278),
                AND(R3278="General Use", VLOOKUP(O3278, Reference!$A$2:$D$34, 3, FALSE) &lt;= P3278)
            ),
                "Exceeded",
                "OK"
            ),
            "No Regulation defined"
        )
    ),
    ""
)</f>
        <v/>
      </c>
      <c r="AB3278" s="62" t="str">
        <f t="shared" si="51"/>
        <v/>
      </c>
    </row>
    <row r="3279" spans="20:28" x14ac:dyDescent="0.2">
      <c r="T3279" s="60" t="str">
        <f>IF(P3279&lt;&gt;"",
    IF(OR(O3279="", Q3279="", R3279=""),
        "Fill all the required columns",
        IFERROR(
            IF(OR(
                AND(R3279="Marine Protected", VLOOKUP(O3279, Reference!$A$2:$D$34, 4, FALSE) &lt;= P3279),
                AND(R3279="General Use", VLOOKUP(O3279, Reference!$A$2:$D$34, 3, FALSE) &lt;= P3279)
            ),
                "Exceeded",
                "OK"
            ),
            "No Regulation defined"
        )
    ),
    ""
)</f>
        <v/>
      </c>
      <c r="AB3279" s="62" t="str">
        <f t="shared" si="51"/>
        <v/>
      </c>
    </row>
    <row r="3280" spans="20:28" x14ac:dyDescent="0.2">
      <c r="T3280" s="60" t="str">
        <f>IF(P3280&lt;&gt;"",
    IF(OR(O3280="", Q3280="", R3280=""),
        "Fill all the required columns",
        IFERROR(
            IF(OR(
                AND(R3280="Marine Protected", VLOOKUP(O3280, Reference!$A$2:$D$34, 4, FALSE) &lt;= P3280),
                AND(R3280="General Use", VLOOKUP(O3280, Reference!$A$2:$D$34, 3, FALSE) &lt;= P3280)
            ),
                "Exceeded",
                "OK"
            ),
            "No Regulation defined"
        )
    ),
    ""
)</f>
        <v/>
      </c>
      <c r="AB3280" s="62" t="str">
        <f t="shared" si="51"/>
        <v/>
      </c>
    </row>
    <row r="3281" spans="20:28" x14ac:dyDescent="0.2">
      <c r="T3281" s="60" t="str">
        <f>IF(P3281&lt;&gt;"",
    IF(OR(O3281="", Q3281="", R3281=""),
        "Fill all the required columns",
        IFERROR(
            IF(OR(
                AND(R3281="Marine Protected", VLOOKUP(O3281, Reference!$A$2:$D$34, 4, FALSE) &lt;= P3281),
                AND(R3281="General Use", VLOOKUP(O3281, Reference!$A$2:$D$34, 3, FALSE) &lt;= P3281)
            ),
                "Exceeded",
                "OK"
            ),
            "No Regulation defined"
        )
    ),
    ""
)</f>
        <v/>
      </c>
      <c r="AB3281" s="62" t="str">
        <f t="shared" si="51"/>
        <v/>
      </c>
    </row>
    <row r="3282" spans="20:28" x14ac:dyDescent="0.2">
      <c r="T3282" s="60" t="str">
        <f>IF(P3282&lt;&gt;"",
    IF(OR(O3282="", Q3282="", R3282=""),
        "Fill all the required columns",
        IFERROR(
            IF(OR(
                AND(R3282="Marine Protected", VLOOKUP(O3282, Reference!$A$2:$D$34, 4, FALSE) &lt;= P3282),
                AND(R3282="General Use", VLOOKUP(O3282, Reference!$A$2:$D$34, 3, FALSE) &lt;= P3282)
            ),
                "Exceeded",
                "OK"
            ),
            "No Regulation defined"
        )
    ),
    ""
)</f>
        <v/>
      </c>
      <c r="AB3282" s="62" t="str">
        <f t="shared" si="51"/>
        <v/>
      </c>
    </row>
    <row r="3283" spans="20:28" x14ac:dyDescent="0.2">
      <c r="T3283" s="60" t="str">
        <f>IF(P3283&lt;&gt;"",
    IF(OR(O3283="", Q3283="", R3283=""),
        "Fill all the required columns",
        IFERROR(
            IF(OR(
                AND(R3283="Marine Protected", VLOOKUP(O3283, Reference!$A$2:$D$34, 4, FALSE) &lt;= P3283),
                AND(R3283="General Use", VLOOKUP(O3283, Reference!$A$2:$D$34, 3, FALSE) &lt;= P3283)
            ),
                "Exceeded",
                "OK"
            ),
            "No Regulation defined"
        )
    ),
    ""
)</f>
        <v/>
      </c>
      <c r="AB3283" s="62" t="str">
        <f t="shared" si="51"/>
        <v/>
      </c>
    </row>
    <row r="3284" spans="20:28" x14ac:dyDescent="0.2">
      <c r="T3284" s="60" t="str">
        <f>IF(P3284&lt;&gt;"",
    IF(OR(O3284="", Q3284="", R3284=""),
        "Fill all the required columns",
        IFERROR(
            IF(OR(
                AND(R3284="Marine Protected", VLOOKUP(O3284, Reference!$A$2:$D$34, 4, FALSE) &lt;= P3284),
                AND(R3284="General Use", VLOOKUP(O3284, Reference!$A$2:$D$34, 3, FALSE) &lt;= P3284)
            ),
                "Exceeded",
                "OK"
            ),
            "No Regulation defined"
        )
    ),
    ""
)</f>
        <v/>
      </c>
      <c r="AB3284" s="62" t="str">
        <f t="shared" si="51"/>
        <v/>
      </c>
    </row>
    <row r="3285" spans="20:28" x14ac:dyDescent="0.2">
      <c r="T3285" s="60" t="str">
        <f>IF(P3285&lt;&gt;"",
    IF(OR(O3285="", Q3285="", R3285=""),
        "Fill all the required columns",
        IFERROR(
            IF(OR(
                AND(R3285="Marine Protected", VLOOKUP(O3285, Reference!$A$2:$D$34, 4, FALSE) &lt;= P3285),
                AND(R3285="General Use", VLOOKUP(O3285, Reference!$A$2:$D$34, 3, FALSE) &lt;= P3285)
            ),
                "Exceeded",
                "OK"
            ),
            "No Regulation defined"
        )
    ),
    ""
)</f>
        <v/>
      </c>
      <c r="AB3285" s="62" t="str">
        <f t="shared" si="51"/>
        <v/>
      </c>
    </row>
    <row r="3286" spans="20:28" x14ac:dyDescent="0.2">
      <c r="T3286" s="60" t="str">
        <f>IF(P3286&lt;&gt;"",
    IF(OR(O3286="", Q3286="", R3286=""),
        "Fill all the required columns",
        IFERROR(
            IF(OR(
                AND(R3286="Marine Protected", VLOOKUP(O3286, Reference!$A$2:$D$34, 4, FALSE) &lt;= P3286),
                AND(R3286="General Use", VLOOKUP(O3286, Reference!$A$2:$D$34, 3, FALSE) &lt;= P3286)
            ),
                "Exceeded",
                "OK"
            ),
            "No Regulation defined"
        )
    ),
    ""
)</f>
        <v/>
      </c>
      <c r="AB3286" s="62" t="str">
        <f t="shared" si="51"/>
        <v/>
      </c>
    </row>
    <row r="3287" spans="20:28" x14ac:dyDescent="0.2">
      <c r="T3287" s="60" t="str">
        <f>IF(P3287&lt;&gt;"",
    IF(OR(O3287="", Q3287="", R3287=""),
        "Fill all the required columns",
        IFERROR(
            IF(OR(
                AND(R3287="Marine Protected", VLOOKUP(O3287, Reference!$A$2:$D$34, 4, FALSE) &lt;= P3287),
                AND(R3287="General Use", VLOOKUP(O3287, Reference!$A$2:$D$34, 3, FALSE) &lt;= P3287)
            ),
                "Exceeded",
                "OK"
            ),
            "No Regulation defined"
        )
    ),
    ""
)</f>
        <v/>
      </c>
      <c r="AB3287" s="62" t="str">
        <f t="shared" si="51"/>
        <v/>
      </c>
    </row>
    <row r="3288" spans="20:28" x14ac:dyDescent="0.2">
      <c r="T3288" s="60" t="str">
        <f>IF(P3288&lt;&gt;"",
    IF(OR(O3288="", Q3288="", R3288=""),
        "Fill all the required columns",
        IFERROR(
            IF(OR(
                AND(R3288="Marine Protected", VLOOKUP(O3288, Reference!$A$2:$D$34, 4, FALSE) &lt;= P3288),
                AND(R3288="General Use", VLOOKUP(O3288, Reference!$A$2:$D$34, 3, FALSE) &lt;= P3288)
            ),
                "Exceeded",
                "OK"
            ),
            "No Regulation defined"
        )
    ),
    ""
)</f>
        <v/>
      </c>
      <c r="AB3288" s="62" t="str">
        <f t="shared" si="51"/>
        <v/>
      </c>
    </row>
    <row r="3289" spans="20:28" x14ac:dyDescent="0.2">
      <c r="T3289" s="60" t="str">
        <f>IF(P3289&lt;&gt;"",
    IF(OR(O3289="", Q3289="", R3289=""),
        "Fill all the required columns",
        IFERROR(
            IF(OR(
                AND(R3289="Marine Protected", VLOOKUP(O3289, Reference!$A$2:$D$34, 4, FALSE) &lt;= P3289),
                AND(R3289="General Use", VLOOKUP(O3289, Reference!$A$2:$D$34, 3, FALSE) &lt;= P3289)
            ),
                "Exceeded",
                "OK"
            ),
            "No Regulation defined"
        )
    ),
    ""
)</f>
        <v/>
      </c>
      <c r="AB3289" s="62" t="str">
        <f t="shared" si="51"/>
        <v/>
      </c>
    </row>
    <row r="3290" spans="20:28" x14ac:dyDescent="0.2">
      <c r="T3290" s="60" t="str">
        <f>IF(P3290&lt;&gt;"",
    IF(OR(O3290="", Q3290="", R3290=""),
        "Fill all the required columns",
        IFERROR(
            IF(OR(
                AND(R3290="Marine Protected", VLOOKUP(O3290, Reference!$A$2:$D$34, 4, FALSE) &lt;= P3290),
                AND(R3290="General Use", VLOOKUP(O3290, Reference!$A$2:$D$34, 3, FALSE) &lt;= P3290)
            ),
                "Exceeded",
                "OK"
            ),
            "No Regulation defined"
        )
    ),
    ""
)</f>
        <v/>
      </c>
      <c r="AB3290" s="62" t="str">
        <f t="shared" si="51"/>
        <v/>
      </c>
    </row>
    <row r="3291" spans="20:28" x14ac:dyDescent="0.2">
      <c r="T3291" s="60" t="str">
        <f>IF(P3291&lt;&gt;"",
    IF(OR(O3291="", Q3291="", R3291=""),
        "Fill all the required columns",
        IFERROR(
            IF(OR(
                AND(R3291="Marine Protected", VLOOKUP(O3291, Reference!$A$2:$D$34, 4, FALSE) &lt;= P3291),
                AND(R3291="General Use", VLOOKUP(O3291, Reference!$A$2:$D$34, 3, FALSE) &lt;= P3291)
            ),
                "Exceeded",
                "OK"
            ),
            "No Regulation defined"
        )
    ),
    ""
)</f>
        <v/>
      </c>
      <c r="AB3291" s="62" t="str">
        <f t="shared" si="51"/>
        <v/>
      </c>
    </row>
    <row r="3292" spans="20:28" x14ac:dyDescent="0.2">
      <c r="T3292" s="60" t="str">
        <f>IF(P3292&lt;&gt;"",
    IF(OR(O3292="", Q3292="", R3292=""),
        "Fill all the required columns",
        IFERROR(
            IF(OR(
                AND(R3292="Marine Protected", VLOOKUP(O3292, Reference!$A$2:$D$34, 4, FALSE) &lt;= P3292),
                AND(R3292="General Use", VLOOKUP(O3292, Reference!$A$2:$D$34, 3, FALSE) &lt;= P3292)
            ),
                "Exceeded",
                "OK"
            ),
            "No Regulation defined"
        )
    ),
    ""
)</f>
        <v/>
      </c>
      <c r="AB3292" s="62" t="str">
        <f t="shared" si="51"/>
        <v/>
      </c>
    </row>
    <row r="3293" spans="20:28" x14ac:dyDescent="0.2">
      <c r="T3293" s="60" t="str">
        <f>IF(P3293&lt;&gt;"",
    IF(OR(O3293="", Q3293="", R3293=""),
        "Fill all the required columns",
        IFERROR(
            IF(OR(
                AND(R3293="Marine Protected", VLOOKUP(O3293, Reference!$A$2:$D$34, 4, FALSE) &lt;= P3293),
                AND(R3293="General Use", VLOOKUP(O3293, Reference!$A$2:$D$34, 3, FALSE) &lt;= P3293)
            ),
                "Exceeded",
                "OK"
            ),
            "No Regulation defined"
        )
    ),
    ""
)</f>
        <v/>
      </c>
      <c r="AB3293" s="62" t="str">
        <f t="shared" si="51"/>
        <v/>
      </c>
    </row>
    <row r="3294" spans="20:28" x14ac:dyDescent="0.2">
      <c r="T3294" s="60" t="str">
        <f>IF(P3294&lt;&gt;"",
    IF(OR(O3294="", Q3294="", R3294=""),
        "Fill all the required columns",
        IFERROR(
            IF(OR(
                AND(R3294="Marine Protected", VLOOKUP(O3294, Reference!$A$2:$D$34, 4, FALSE) &lt;= P3294),
                AND(R3294="General Use", VLOOKUP(O3294, Reference!$A$2:$D$34, 3, FALSE) &lt;= P3294)
            ),
                "Exceeded",
                "OK"
            ),
            "No Regulation defined"
        )
    ),
    ""
)</f>
        <v/>
      </c>
      <c r="AB3294" s="62" t="str">
        <f t="shared" si="51"/>
        <v/>
      </c>
    </row>
    <row r="3295" spans="20:28" x14ac:dyDescent="0.2">
      <c r="T3295" s="60" t="str">
        <f>IF(P3295&lt;&gt;"",
    IF(OR(O3295="", Q3295="", R3295=""),
        "Fill all the required columns",
        IFERROR(
            IF(OR(
                AND(R3295="Marine Protected", VLOOKUP(O3295, Reference!$A$2:$D$34, 4, FALSE) &lt;= P3295),
                AND(R3295="General Use", VLOOKUP(O3295, Reference!$A$2:$D$34, 3, FALSE) &lt;= P3295)
            ),
                "Exceeded",
                "OK"
            ),
            "No Regulation defined"
        )
    ),
    ""
)</f>
        <v/>
      </c>
      <c r="AB3295" s="62" t="str">
        <f t="shared" si="51"/>
        <v/>
      </c>
    </row>
    <row r="3296" spans="20:28" x14ac:dyDescent="0.2">
      <c r="T3296" s="60" t="str">
        <f>IF(P3296&lt;&gt;"",
    IF(OR(O3296="", Q3296="", R3296=""),
        "Fill all the required columns",
        IFERROR(
            IF(OR(
                AND(R3296="Marine Protected", VLOOKUP(O3296, Reference!$A$2:$D$34, 4, FALSE) &lt;= P3296),
                AND(R3296="General Use", VLOOKUP(O3296, Reference!$A$2:$D$34, 3, FALSE) &lt;= P3296)
            ),
                "Exceeded",
                "OK"
            ),
            "No Regulation defined"
        )
    ),
    ""
)</f>
        <v/>
      </c>
      <c r="AB3296" s="62" t="str">
        <f t="shared" si="51"/>
        <v/>
      </c>
    </row>
    <row r="3297" spans="20:28" x14ac:dyDescent="0.2">
      <c r="T3297" s="60" t="str">
        <f>IF(P3297&lt;&gt;"",
    IF(OR(O3297="", Q3297="", R3297=""),
        "Fill all the required columns",
        IFERROR(
            IF(OR(
                AND(R3297="Marine Protected", VLOOKUP(O3297, Reference!$A$2:$D$34, 4, FALSE) &lt;= P3297),
                AND(R3297="General Use", VLOOKUP(O3297, Reference!$A$2:$D$34, 3, FALSE) &lt;= P3297)
            ),
                "Exceeded",
                "OK"
            ),
            "No Regulation defined"
        )
    ),
    ""
)</f>
        <v/>
      </c>
      <c r="AB3297" s="62" t="str">
        <f t="shared" si="51"/>
        <v/>
      </c>
    </row>
    <row r="3298" spans="20:28" x14ac:dyDescent="0.2">
      <c r="T3298" s="60" t="str">
        <f>IF(P3298&lt;&gt;"",
    IF(OR(O3298="", Q3298="", R3298=""),
        "Fill all the required columns",
        IFERROR(
            IF(OR(
                AND(R3298="Marine Protected", VLOOKUP(O3298, Reference!$A$2:$D$34, 4, FALSE) &lt;= P3298),
                AND(R3298="General Use", VLOOKUP(O3298, Reference!$A$2:$D$34, 3, FALSE) &lt;= P3298)
            ),
                "Exceeded",
                "OK"
            ),
            "No Regulation defined"
        )
    ),
    ""
)</f>
        <v/>
      </c>
      <c r="AB3298" s="62" t="str">
        <f t="shared" si="51"/>
        <v/>
      </c>
    </row>
    <row r="3299" spans="20:28" x14ac:dyDescent="0.2">
      <c r="T3299" s="60" t="str">
        <f>IF(P3299&lt;&gt;"",
    IF(OR(O3299="", Q3299="", R3299=""),
        "Fill all the required columns",
        IFERROR(
            IF(OR(
                AND(R3299="Marine Protected", VLOOKUP(O3299, Reference!$A$2:$D$34, 4, FALSE) &lt;= P3299),
                AND(R3299="General Use", VLOOKUP(O3299, Reference!$A$2:$D$34, 3, FALSE) &lt;= P3299)
            ),
                "Exceeded",
                "OK"
            ),
            "No Regulation defined"
        )
    ),
    ""
)</f>
        <v/>
      </c>
      <c r="AB3299" s="62" t="str">
        <f t="shared" si="51"/>
        <v/>
      </c>
    </row>
    <row r="3300" spans="20:28" x14ac:dyDescent="0.2">
      <c r="T3300" s="60" t="str">
        <f>IF(P3300&lt;&gt;"",
    IF(OR(O3300="", Q3300="", R3300=""),
        "Fill all the required columns",
        IFERROR(
            IF(OR(
                AND(R3300="Marine Protected", VLOOKUP(O3300, Reference!$A$2:$D$34, 4, FALSE) &lt;= P3300),
                AND(R3300="General Use", VLOOKUP(O3300, Reference!$A$2:$D$34, 3, FALSE) &lt;= P3300)
            ),
                "Exceeded",
                "OK"
            ),
            "No Regulation defined"
        )
    ),
    ""
)</f>
        <v/>
      </c>
      <c r="AB3300" s="62" t="str">
        <f t="shared" si="51"/>
        <v/>
      </c>
    </row>
    <row r="3301" spans="20:28" x14ac:dyDescent="0.2">
      <c r="T3301" s="60" t="str">
        <f>IF(P3301&lt;&gt;"",
    IF(OR(O3301="", Q3301="", R3301=""),
        "Fill all the required columns",
        IFERROR(
            IF(OR(
                AND(R3301="Marine Protected", VLOOKUP(O3301, Reference!$A$2:$D$34, 4, FALSE) &lt;= P3301),
                AND(R3301="General Use", VLOOKUP(O3301, Reference!$A$2:$D$34, 3, FALSE) &lt;= P3301)
            ),
                "Exceeded",
                "OK"
            ),
            "No Regulation defined"
        )
    ),
    ""
)</f>
        <v/>
      </c>
      <c r="AB3301" s="62" t="str">
        <f t="shared" si="51"/>
        <v/>
      </c>
    </row>
    <row r="3302" spans="20:28" x14ac:dyDescent="0.2">
      <c r="T3302" s="60" t="str">
        <f>IF(P3302&lt;&gt;"",
    IF(OR(O3302="", Q3302="", R3302=""),
        "Fill all the required columns",
        IFERROR(
            IF(OR(
                AND(R3302="Marine Protected", VLOOKUP(O3302, Reference!$A$2:$D$34, 4, FALSE) &lt;= P3302),
                AND(R3302="General Use", VLOOKUP(O3302, Reference!$A$2:$D$34, 3, FALSE) &lt;= P3302)
            ),
                "Exceeded",
                "OK"
            ),
            "No Regulation defined"
        )
    ),
    ""
)</f>
        <v/>
      </c>
      <c r="AB3302" s="62" t="str">
        <f t="shared" si="51"/>
        <v/>
      </c>
    </row>
    <row r="3303" spans="20:28" x14ac:dyDescent="0.2">
      <c r="T3303" s="60" t="str">
        <f>IF(P3303&lt;&gt;"",
    IF(OR(O3303="", Q3303="", R3303=""),
        "Fill all the required columns",
        IFERROR(
            IF(OR(
                AND(R3303="Marine Protected", VLOOKUP(O3303, Reference!$A$2:$D$34, 4, FALSE) &lt;= P3303),
                AND(R3303="General Use", VLOOKUP(O3303, Reference!$A$2:$D$34, 3, FALSE) &lt;= P3303)
            ),
                "Exceeded",
                "OK"
            ),
            "No Regulation defined"
        )
    ),
    ""
)</f>
        <v/>
      </c>
      <c r="AB3303" s="62" t="str">
        <f t="shared" si="51"/>
        <v/>
      </c>
    </row>
    <row r="3304" spans="20:28" x14ac:dyDescent="0.2">
      <c r="T3304" s="60" t="str">
        <f>IF(P3304&lt;&gt;"",
    IF(OR(O3304="", Q3304="", R3304=""),
        "Fill all the required columns",
        IFERROR(
            IF(OR(
                AND(R3304="Marine Protected", VLOOKUP(O3304, Reference!$A$2:$D$34, 4, FALSE) &lt;= P3304),
                AND(R3304="General Use", VLOOKUP(O3304, Reference!$A$2:$D$34, 3, FALSE) &lt;= P3304)
            ),
                "Exceeded",
                "OK"
            ),
            "No Regulation defined"
        )
    ),
    ""
)</f>
        <v/>
      </c>
      <c r="AB3304" s="62" t="str">
        <f t="shared" si="51"/>
        <v/>
      </c>
    </row>
    <row r="3305" spans="20:28" x14ac:dyDescent="0.2">
      <c r="T3305" s="60" t="str">
        <f>IF(P3305&lt;&gt;"",
    IF(OR(O3305="", Q3305="", R3305=""),
        "Fill all the required columns",
        IFERROR(
            IF(OR(
                AND(R3305="Marine Protected", VLOOKUP(O3305, Reference!$A$2:$D$34, 4, FALSE) &lt;= P3305),
                AND(R3305="General Use", VLOOKUP(O3305, Reference!$A$2:$D$34, 3, FALSE) &lt;= P3305)
            ),
                "Exceeded",
                "OK"
            ),
            "No Regulation defined"
        )
    ),
    ""
)</f>
        <v/>
      </c>
      <c r="AB3305" s="62" t="str">
        <f t="shared" si="51"/>
        <v/>
      </c>
    </row>
    <row r="3306" spans="20:28" x14ac:dyDescent="0.2">
      <c r="T3306" s="60" t="str">
        <f>IF(P3306&lt;&gt;"",
    IF(OR(O3306="", Q3306="", R3306=""),
        "Fill all the required columns",
        IFERROR(
            IF(OR(
                AND(R3306="Marine Protected", VLOOKUP(O3306, Reference!$A$2:$D$34, 4, FALSE) &lt;= P3306),
                AND(R3306="General Use", VLOOKUP(O3306, Reference!$A$2:$D$34, 3, FALSE) &lt;= P3306)
            ),
                "Exceeded",
                "OK"
            ),
            "No Regulation defined"
        )
    ),
    ""
)</f>
        <v/>
      </c>
      <c r="AB3306" s="62" t="str">
        <f t="shared" si="51"/>
        <v/>
      </c>
    </row>
    <row r="3307" spans="20:28" x14ac:dyDescent="0.2">
      <c r="T3307" s="60" t="str">
        <f>IF(P3307&lt;&gt;"",
    IF(OR(O3307="", Q3307="", R3307=""),
        "Fill all the required columns",
        IFERROR(
            IF(OR(
                AND(R3307="Marine Protected", VLOOKUP(O3307, Reference!$A$2:$D$34, 4, FALSE) &lt;= P3307),
                AND(R3307="General Use", VLOOKUP(O3307, Reference!$A$2:$D$34, 3, FALSE) &lt;= P3307)
            ),
                "Exceeded",
                "OK"
            ),
            "No Regulation defined"
        )
    ),
    ""
)</f>
        <v/>
      </c>
      <c r="AB3307" s="62" t="str">
        <f t="shared" si="51"/>
        <v/>
      </c>
    </row>
    <row r="3308" spans="20:28" x14ac:dyDescent="0.2">
      <c r="T3308" s="60" t="str">
        <f>IF(P3308&lt;&gt;"",
    IF(OR(O3308="", Q3308="", R3308=""),
        "Fill all the required columns",
        IFERROR(
            IF(OR(
                AND(R3308="Marine Protected", VLOOKUP(O3308, Reference!$A$2:$D$34, 4, FALSE) &lt;= P3308),
                AND(R3308="General Use", VLOOKUP(O3308, Reference!$A$2:$D$34, 3, FALSE) &lt;= P3308)
            ),
                "Exceeded",
                "OK"
            ),
            "No Regulation defined"
        )
    ),
    ""
)</f>
        <v/>
      </c>
      <c r="AB3308" s="62" t="str">
        <f t="shared" si="51"/>
        <v/>
      </c>
    </row>
    <row r="3309" spans="20:28" x14ac:dyDescent="0.2">
      <c r="T3309" s="60" t="str">
        <f>IF(P3309&lt;&gt;"",
    IF(OR(O3309="", Q3309="", R3309=""),
        "Fill all the required columns",
        IFERROR(
            IF(OR(
                AND(R3309="Marine Protected", VLOOKUP(O3309, Reference!$A$2:$D$34, 4, FALSE) &lt;= P3309),
                AND(R3309="General Use", VLOOKUP(O3309, Reference!$A$2:$D$34, 3, FALSE) &lt;= P3309)
            ),
                "Exceeded",
                "OK"
            ),
            "No Regulation defined"
        )
    ),
    ""
)</f>
        <v/>
      </c>
      <c r="AB3309" s="62" t="str">
        <f t="shared" si="51"/>
        <v/>
      </c>
    </row>
    <row r="3310" spans="20:28" x14ac:dyDescent="0.2">
      <c r="T3310" s="60" t="str">
        <f>IF(P3310&lt;&gt;"",
    IF(OR(O3310="", Q3310="", R3310=""),
        "Fill all the required columns",
        IFERROR(
            IF(OR(
                AND(R3310="Marine Protected", VLOOKUP(O3310, Reference!$A$2:$D$34, 4, FALSE) &lt;= P3310),
                AND(R3310="General Use", VLOOKUP(O3310, Reference!$A$2:$D$34, 3, FALSE) &lt;= P3310)
            ),
                "Exceeded",
                "OK"
            ),
            "No Regulation defined"
        )
    ),
    ""
)</f>
        <v/>
      </c>
      <c r="AB3310" s="62" t="str">
        <f t="shared" si="51"/>
        <v/>
      </c>
    </row>
    <row r="3311" spans="20:28" x14ac:dyDescent="0.2">
      <c r="T3311" s="60" t="str">
        <f>IF(P3311&lt;&gt;"",
    IF(OR(O3311="", Q3311="", R3311=""),
        "Fill all the required columns",
        IFERROR(
            IF(OR(
                AND(R3311="Marine Protected", VLOOKUP(O3311, Reference!$A$2:$D$34, 4, FALSE) &lt;= P3311),
                AND(R3311="General Use", VLOOKUP(O3311, Reference!$A$2:$D$34, 3, FALSE) &lt;= P3311)
            ),
                "Exceeded",
                "OK"
            ),
            "No Regulation defined"
        )
    ),
    ""
)</f>
        <v/>
      </c>
      <c r="AB3311" s="62" t="str">
        <f t="shared" si="51"/>
        <v/>
      </c>
    </row>
    <row r="3312" spans="20:28" x14ac:dyDescent="0.2">
      <c r="T3312" s="60" t="str">
        <f>IF(P3312&lt;&gt;"",
    IF(OR(O3312="", Q3312="", R3312=""),
        "Fill all the required columns",
        IFERROR(
            IF(OR(
                AND(R3312="Marine Protected", VLOOKUP(O3312, Reference!$A$2:$D$34, 4, FALSE) &lt;= P3312),
                AND(R3312="General Use", VLOOKUP(O3312, Reference!$A$2:$D$34, 3, FALSE) &lt;= P3312)
            ),
                "Exceeded",
                "OK"
            ),
            "No Regulation defined"
        )
    ),
    ""
)</f>
        <v/>
      </c>
      <c r="AB3312" s="62" t="str">
        <f t="shared" si="51"/>
        <v/>
      </c>
    </row>
    <row r="3313" spans="20:28" x14ac:dyDescent="0.2">
      <c r="T3313" s="60" t="str">
        <f>IF(P3313&lt;&gt;"",
    IF(OR(O3313="", Q3313="", R3313=""),
        "Fill all the required columns",
        IFERROR(
            IF(OR(
                AND(R3313="Marine Protected", VLOOKUP(O3313, Reference!$A$2:$D$34, 4, FALSE) &lt;= P3313),
                AND(R3313="General Use", VLOOKUP(O3313, Reference!$A$2:$D$34, 3, FALSE) &lt;= P3313)
            ),
                "Exceeded",
                "OK"
            ),
            "No Regulation defined"
        )
    ),
    ""
)</f>
        <v/>
      </c>
      <c r="AB3313" s="62" t="str">
        <f t="shared" si="51"/>
        <v/>
      </c>
    </row>
    <row r="3314" spans="20:28" x14ac:dyDescent="0.2">
      <c r="T3314" s="60" t="str">
        <f>IF(P3314&lt;&gt;"",
    IF(OR(O3314="", Q3314="", R3314=""),
        "Fill all the required columns",
        IFERROR(
            IF(OR(
                AND(R3314="Marine Protected", VLOOKUP(O3314, Reference!$A$2:$D$34, 4, FALSE) &lt;= P3314),
                AND(R3314="General Use", VLOOKUP(O3314, Reference!$A$2:$D$34, 3, FALSE) &lt;= P3314)
            ),
                "Exceeded",
                "OK"
            ),
            "No Regulation defined"
        )
    ),
    ""
)</f>
        <v/>
      </c>
      <c r="AB3314" s="62" t="str">
        <f t="shared" si="51"/>
        <v/>
      </c>
    </row>
    <row r="3315" spans="20:28" x14ac:dyDescent="0.2">
      <c r="T3315" s="60" t="str">
        <f>IF(P3315&lt;&gt;"",
    IF(OR(O3315="", Q3315="", R3315=""),
        "Fill all the required columns",
        IFERROR(
            IF(OR(
                AND(R3315="Marine Protected", VLOOKUP(O3315, Reference!$A$2:$D$34, 4, FALSE) &lt;= P3315),
                AND(R3315="General Use", VLOOKUP(O3315, Reference!$A$2:$D$34, 3, FALSE) &lt;= P3315)
            ),
                "Exceeded",
                "OK"
            ),
            "No Regulation defined"
        )
    ),
    ""
)</f>
        <v/>
      </c>
      <c r="AB3315" s="62" t="str">
        <f t="shared" si="51"/>
        <v/>
      </c>
    </row>
    <row r="3316" spans="20:28" x14ac:dyDescent="0.2">
      <c r="T3316" s="60" t="str">
        <f>IF(P3316&lt;&gt;"",
    IF(OR(O3316="", Q3316="", R3316=""),
        "Fill all the required columns",
        IFERROR(
            IF(OR(
                AND(R3316="Marine Protected", VLOOKUP(O3316, Reference!$A$2:$D$34, 4, FALSE) &lt;= P3316),
                AND(R3316="General Use", VLOOKUP(O3316, Reference!$A$2:$D$34, 3, FALSE) &lt;= P3316)
            ),
                "Exceeded",
                "OK"
            ),
            "No Regulation defined"
        )
    ),
    ""
)</f>
        <v/>
      </c>
      <c r="AB3316" s="62" t="str">
        <f t="shared" si="51"/>
        <v/>
      </c>
    </row>
    <row r="3317" spans="20:28" x14ac:dyDescent="0.2">
      <c r="T3317" s="60" t="str">
        <f>IF(P3317&lt;&gt;"",
    IF(OR(O3317="", Q3317="", R3317=""),
        "Fill all the required columns",
        IFERROR(
            IF(OR(
                AND(R3317="Marine Protected", VLOOKUP(O3317, Reference!$A$2:$D$34, 4, FALSE) &lt;= P3317),
                AND(R3317="General Use", VLOOKUP(O3317, Reference!$A$2:$D$34, 3, FALSE) &lt;= P3317)
            ),
                "Exceeded",
                "OK"
            ),
            "No Regulation defined"
        )
    ),
    ""
)</f>
        <v/>
      </c>
      <c r="AB3317" s="62" t="str">
        <f t="shared" si="51"/>
        <v/>
      </c>
    </row>
    <row r="3318" spans="20:28" x14ac:dyDescent="0.2">
      <c r="T3318" s="60" t="str">
        <f>IF(P3318&lt;&gt;"",
    IF(OR(O3318="", Q3318="", R3318=""),
        "Fill all the required columns",
        IFERROR(
            IF(OR(
                AND(R3318="Marine Protected", VLOOKUP(O3318, Reference!$A$2:$D$34, 4, FALSE) &lt;= P3318),
                AND(R3318="General Use", VLOOKUP(O3318, Reference!$A$2:$D$34, 3, FALSE) &lt;= P3318)
            ),
                "Exceeded",
                "OK"
            ),
            "No Regulation defined"
        )
    ),
    ""
)</f>
        <v/>
      </c>
      <c r="AB3318" s="62" t="str">
        <f t="shared" si="51"/>
        <v/>
      </c>
    </row>
    <row r="3319" spans="20:28" x14ac:dyDescent="0.2">
      <c r="T3319" s="60" t="str">
        <f>IF(P3319&lt;&gt;"",
    IF(OR(O3319="", Q3319="", R3319=""),
        "Fill all the required columns",
        IFERROR(
            IF(OR(
                AND(R3319="Marine Protected", VLOOKUP(O3319, Reference!$A$2:$D$34, 4, FALSE) &lt;= P3319),
                AND(R3319="General Use", VLOOKUP(O3319, Reference!$A$2:$D$34, 3, FALSE) &lt;= P3319)
            ),
                "Exceeded",
                "OK"
            ),
            "No Regulation defined"
        )
    ),
    ""
)</f>
        <v/>
      </c>
      <c r="AB3319" s="62" t="str">
        <f t="shared" si="51"/>
        <v/>
      </c>
    </row>
    <row r="3320" spans="20:28" x14ac:dyDescent="0.2">
      <c r="T3320" s="60" t="str">
        <f>IF(P3320&lt;&gt;"",
    IF(OR(O3320="", Q3320="", R3320=""),
        "Fill all the required columns",
        IFERROR(
            IF(OR(
                AND(R3320="Marine Protected", VLOOKUP(O3320, Reference!$A$2:$D$34, 4, FALSE) &lt;= P3320),
                AND(R3320="General Use", VLOOKUP(O3320, Reference!$A$2:$D$34, 3, FALSE) &lt;= P3320)
            ),
                "Exceeded",
                "OK"
            ),
            "No Regulation defined"
        )
    ),
    ""
)</f>
        <v/>
      </c>
      <c r="AB3320" s="62" t="str">
        <f t="shared" si="51"/>
        <v/>
      </c>
    </row>
    <row r="3321" spans="20:28" x14ac:dyDescent="0.2">
      <c r="T3321" s="60" t="str">
        <f>IF(P3321&lt;&gt;"",
    IF(OR(O3321="", Q3321="", R3321=""),
        "Fill all the required columns",
        IFERROR(
            IF(OR(
                AND(R3321="Marine Protected", VLOOKUP(O3321, Reference!$A$2:$D$34, 4, FALSE) &lt;= P3321),
                AND(R3321="General Use", VLOOKUP(O3321, Reference!$A$2:$D$34, 3, FALSE) &lt;= P3321)
            ),
                "Exceeded",
                "OK"
            ),
            "No Regulation defined"
        )
    ),
    ""
)</f>
        <v/>
      </c>
      <c r="AB3321" s="62" t="str">
        <f t="shared" si="51"/>
        <v/>
      </c>
    </row>
    <row r="3322" spans="20:28" x14ac:dyDescent="0.2">
      <c r="T3322" s="60" t="str">
        <f>IF(P3322&lt;&gt;"",
    IF(OR(O3322="", Q3322="", R3322=""),
        "Fill all the required columns",
        IFERROR(
            IF(OR(
                AND(R3322="Marine Protected", VLOOKUP(O3322, Reference!$A$2:$D$34, 4, FALSE) &lt;= P3322),
                AND(R3322="General Use", VLOOKUP(O3322, Reference!$A$2:$D$34, 3, FALSE) &lt;= P3322)
            ),
                "Exceeded",
                "OK"
            ),
            "No Regulation defined"
        )
    ),
    ""
)</f>
        <v/>
      </c>
      <c r="AB3322" s="62" t="str">
        <f t="shared" si="51"/>
        <v/>
      </c>
    </row>
    <row r="3323" spans="20:28" x14ac:dyDescent="0.2">
      <c r="T3323" s="60" t="str">
        <f>IF(P3323&lt;&gt;"",
    IF(OR(O3323="", Q3323="", R3323=""),
        "Fill all the required columns",
        IFERROR(
            IF(OR(
                AND(R3323="Marine Protected", VLOOKUP(O3323, Reference!$A$2:$D$34, 4, FALSE) &lt;= P3323),
                AND(R3323="General Use", VLOOKUP(O3323, Reference!$A$2:$D$34, 3, FALSE) &lt;= P3323)
            ),
                "Exceeded",
                "OK"
            ),
            "No Regulation defined"
        )
    ),
    ""
)</f>
        <v/>
      </c>
      <c r="AB3323" s="62" t="str">
        <f t="shared" si="51"/>
        <v/>
      </c>
    </row>
    <row r="3324" spans="20:28" x14ac:dyDescent="0.2">
      <c r="T3324" s="60" t="str">
        <f>IF(P3324&lt;&gt;"",
    IF(OR(O3324="", Q3324="", R3324=""),
        "Fill all the required columns",
        IFERROR(
            IF(OR(
                AND(R3324="Marine Protected", VLOOKUP(O3324, Reference!$A$2:$D$34, 4, FALSE) &lt;= P3324),
                AND(R3324="General Use", VLOOKUP(O3324, Reference!$A$2:$D$34, 3, FALSE) &lt;= P3324)
            ),
                "Exceeded",
                "OK"
            ),
            "No Regulation defined"
        )
    ),
    ""
)</f>
        <v/>
      </c>
      <c r="AB3324" s="62" t="str">
        <f t="shared" si="51"/>
        <v/>
      </c>
    </row>
    <row r="3325" spans="20:28" x14ac:dyDescent="0.2">
      <c r="T3325" s="60" t="str">
        <f>IF(P3325&lt;&gt;"",
    IF(OR(O3325="", Q3325="", R3325=""),
        "Fill all the required columns",
        IFERROR(
            IF(OR(
                AND(R3325="Marine Protected", VLOOKUP(O3325, Reference!$A$2:$D$34, 4, FALSE) &lt;= P3325),
                AND(R3325="General Use", VLOOKUP(O3325, Reference!$A$2:$D$34, 3, FALSE) &lt;= P3325)
            ),
                "Exceeded",
                "OK"
            ),
            "No Regulation defined"
        )
    ),
    ""
)</f>
        <v/>
      </c>
      <c r="AB3325" s="62" t="str">
        <f t="shared" si="51"/>
        <v/>
      </c>
    </row>
    <row r="3326" spans="20:28" x14ac:dyDescent="0.2">
      <c r="T3326" s="60" t="str">
        <f>IF(P3326&lt;&gt;"",
    IF(OR(O3326="", Q3326="", R3326=""),
        "Fill all the required columns",
        IFERROR(
            IF(OR(
                AND(R3326="Marine Protected", VLOOKUP(O3326, Reference!$A$2:$D$34, 4, FALSE) &lt;= P3326),
                AND(R3326="General Use", VLOOKUP(O3326, Reference!$A$2:$D$34, 3, FALSE) &lt;= P3326)
            ),
                "Exceeded",
                "OK"
            ),
            "No Regulation defined"
        )
    ),
    ""
)</f>
        <v/>
      </c>
      <c r="AB3326" s="62" t="str">
        <f t="shared" si="51"/>
        <v/>
      </c>
    </row>
    <row r="3327" spans="20:28" x14ac:dyDescent="0.2">
      <c r="T3327" s="60" t="str">
        <f>IF(P3327&lt;&gt;"",
    IF(OR(O3327="", Q3327="", R3327=""),
        "Fill all the required columns",
        IFERROR(
            IF(OR(
                AND(R3327="Marine Protected", VLOOKUP(O3327, Reference!$A$2:$D$34, 4, FALSE) &lt;= P3327),
                AND(R3327="General Use", VLOOKUP(O3327, Reference!$A$2:$D$34, 3, FALSE) &lt;= P3327)
            ),
                "Exceeded",
                "OK"
            ),
            "No Regulation defined"
        )
    ),
    ""
)</f>
        <v/>
      </c>
      <c r="AB3327" s="62" t="str">
        <f t="shared" si="51"/>
        <v/>
      </c>
    </row>
    <row r="3328" spans="20:28" x14ac:dyDescent="0.2">
      <c r="T3328" s="60" t="str">
        <f>IF(P3328&lt;&gt;"",
    IF(OR(O3328="", Q3328="", R3328=""),
        "Fill all the required columns",
        IFERROR(
            IF(OR(
                AND(R3328="Marine Protected", VLOOKUP(O3328, Reference!$A$2:$D$34, 4, FALSE) &lt;= P3328),
                AND(R3328="General Use", VLOOKUP(O3328, Reference!$A$2:$D$34, 3, FALSE) &lt;= P3328)
            ),
                "Exceeded",
                "OK"
            ),
            "No Regulation defined"
        )
    ),
    ""
)</f>
        <v/>
      </c>
      <c r="AB3328" s="62" t="str">
        <f t="shared" si="51"/>
        <v/>
      </c>
    </row>
    <row r="3329" spans="20:28" x14ac:dyDescent="0.2">
      <c r="T3329" s="60" t="str">
        <f>IF(P3329&lt;&gt;"",
    IF(OR(O3329="", Q3329="", R3329=""),
        "Fill all the required columns",
        IFERROR(
            IF(OR(
                AND(R3329="Marine Protected", VLOOKUP(O3329, Reference!$A$2:$D$34, 4, FALSE) &lt;= P3329),
                AND(R3329="General Use", VLOOKUP(O3329, Reference!$A$2:$D$34, 3, FALSE) &lt;= P3329)
            ),
                "Exceeded",
                "OK"
            ),
            "No Regulation defined"
        )
    ),
    ""
)</f>
        <v/>
      </c>
      <c r="AB3329" s="62" t="str">
        <f t="shared" si="51"/>
        <v/>
      </c>
    </row>
    <row r="3330" spans="20:28" x14ac:dyDescent="0.2">
      <c r="T3330" s="60" t="str">
        <f>IF(P3330&lt;&gt;"",
    IF(OR(O3330="", Q3330="", R3330=""),
        "Fill all the required columns",
        IFERROR(
            IF(OR(
                AND(R3330="Marine Protected", VLOOKUP(O3330, Reference!$A$2:$D$34, 4, FALSE) &lt;= P3330),
                AND(R3330="General Use", VLOOKUP(O3330, Reference!$A$2:$D$34, 3, FALSE) &lt;= P3330)
            ),
                "Exceeded",
                "OK"
            ),
            "No Regulation defined"
        )
    ),
    ""
)</f>
        <v/>
      </c>
      <c r="AB3330" s="62" t="str">
        <f t="shared" si="51"/>
        <v/>
      </c>
    </row>
    <row r="3331" spans="20:28" x14ac:dyDescent="0.2">
      <c r="T3331" s="60" t="str">
        <f>IF(P3331&lt;&gt;"",
    IF(OR(O3331="", Q3331="", R3331=""),
        "Fill all the required columns",
        IFERROR(
            IF(OR(
                AND(R3331="Marine Protected", VLOOKUP(O3331, Reference!$A$2:$D$34, 4, FALSE) &lt;= P3331),
                AND(R3331="General Use", VLOOKUP(O3331, Reference!$A$2:$D$34, 3, FALSE) &lt;= P3331)
            ),
                "Exceeded",
                "OK"
            ),
            "No Regulation defined"
        )
    ),
    ""
)</f>
        <v/>
      </c>
      <c r="AB3331" s="62" t="str">
        <f t="shared" ref="AB3331:AB3394" si="52">IF(COUNTA(A3331, E3331, F3331, H3331, I3331, O3331, P3331, Q3331, R3331,S3331) = 0, "", IF(COUNTA(A3331, E3331, F3331, H3331, I3331, O3331, P3331, Q3331, R3331,S3331) = 10, "OK", "Incomplete"))</f>
        <v/>
      </c>
    </row>
    <row r="3332" spans="20:28" x14ac:dyDescent="0.2">
      <c r="T3332" s="60" t="str">
        <f>IF(P3332&lt;&gt;"",
    IF(OR(O3332="", Q3332="", R3332=""),
        "Fill all the required columns",
        IFERROR(
            IF(OR(
                AND(R3332="Marine Protected", VLOOKUP(O3332, Reference!$A$2:$D$34, 4, FALSE) &lt;= P3332),
                AND(R3332="General Use", VLOOKUP(O3332, Reference!$A$2:$D$34, 3, FALSE) &lt;= P3332)
            ),
                "Exceeded",
                "OK"
            ),
            "No Regulation defined"
        )
    ),
    ""
)</f>
        <v/>
      </c>
      <c r="AB3332" s="62" t="str">
        <f t="shared" si="52"/>
        <v/>
      </c>
    </row>
    <row r="3333" spans="20:28" x14ac:dyDescent="0.2">
      <c r="T3333" s="60" t="str">
        <f>IF(P3333&lt;&gt;"",
    IF(OR(O3333="", Q3333="", R3333=""),
        "Fill all the required columns",
        IFERROR(
            IF(OR(
                AND(R3333="Marine Protected", VLOOKUP(O3333, Reference!$A$2:$D$34, 4, FALSE) &lt;= P3333),
                AND(R3333="General Use", VLOOKUP(O3333, Reference!$A$2:$D$34, 3, FALSE) &lt;= P3333)
            ),
                "Exceeded",
                "OK"
            ),
            "No Regulation defined"
        )
    ),
    ""
)</f>
        <v/>
      </c>
      <c r="AB3333" s="62" t="str">
        <f t="shared" si="52"/>
        <v/>
      </c>
    </row>
    <row r="3334" spans="20:28" x14ac:dyDescent="0.2">
      <c r="T3334" s="60" t="str">
        <f>IF(P3334&lt;&gt;"",
    IF(OR(O3334="", Q3334="", R3334=""),
        "Fill all the required columns",
        IFERROR(
            IF(OR(
                AND(R3334="Marine Protected", VLOOKUP(O3334, Reference!$A$2:$D$34, 4, FALSE) &lt;= P3334),
                AND(R3334="General Use", VLOOKUP(O3334, Reference!$A$2:$D$34, 3, FALSE) &lt;= P3334)
            ),
                "Exceeded",
                "OK"
            ),
            "No Regulation defined"
        )
    ),
    ""
)</f>
        <v/>
      </c>
      <c r="AB3334" s="62" t="str">
        <f t="shared" si="52"/>
        <v/>
      </c>
    </row>
    <row r="3335" spans="20:28" x14ac:dyDescent="0.2">
      <c r="T3335" s="60" t="str">
        <f>IF(P3335&lt;&gt;"",
    IF(OR(O3335="", Q3335="", R3335=""),
        "Fill all the required columns",
        IFERROR(
            IF(OR(
                AND(R3335="Marine Protected", VLOOKUP(O3335, Reference!$A$2:$D$34, 4, FALSE) &lt;= P3335),
                AND(R3335="General Use", VLOOKUP(O3335, Reference!$A$2:$D$34, 3, FALSE) &lt;= P3335)
            ),
                "Exceeded",
                "OK"
            ),
            "No Regulation defined"
        )
    ),
    ""
)</f>
        <v/>
      </c>
      <c r="AB3335" s="62" t="str">
        <f t="shared" si="52"/>
        <v/>
      </c>
    </row>
    <row r="3336" spans="20:28" x14ac:dyDescent="0.2">
      <c r="T3336" s="60" t="str">
        <f>IF(P3336&lt;&gt;"",
    IF(OR(O3336="", Q3336="", R3336=""),
        "Fill all the required columns",
        IFERROR(
            IF(OR(
                AND(R3336="Marine Protected", VLOOKUP(O3336, Reference!$A$2:$D$34, 4, FALSE) &lt;= P3336),
                AND(R3336="General Use", VLOOKUP(O3336, Reference!$A$2:$D$34, 3, FALSE) &lt;= P3336)
            ),
                "Exceeded",
                "OK"
            ),
            "No Regulation defined"
        )
    ),
    ""
)</f>
        <v/>
      </c>
      <c r="AB3336" s="62" t="str">
        <f t="shared" si="52"/>
        <v/>
      </c>
    </row>
    <row r="3337" spans="20:28" x14ac:dyDescent="0.2">
      <c r="T3337" s="60" t="str">
        <f>IF(P3337&lt;&gt;"",
    IF(OR(O3337="", Q3337="", R3337=""),
        "Fill all the required columns",
        IFERROR(
            IF(OR(
                AND(R3337="Marine Protected", VLOOKUP(O3337, Reference!$A$2:$D$34, 4, FALSE) &lt;= P3337),
                AND(R3337="General Use", VLOOKUP(O3337, Reference!$A$2:$D$34, 3, FALSE) &lt;= P3337)
            ),
                "Exceeded",
                "OK"
            ),
            "No Regulation defined"
        )
    ),
    ""
)</f>
        <v/>
      </c>
      <c r="AB3337" s="62" t="str">
        <f t="shared" si="52"/>
        <v/>
      </c>
    </row>
    <row r="3338" spans="20:28" x14ac:dyDescent="0.2">
      <c r="T3338" s="60" t="str">
        <f>IF(P3338&lt;&gt;"",
    IF(OR(O3338="", Q3338="", R3338=""),
        "Fill all the required columns",
        IFERROR(
            IF(OR(
                AND(R3338="Marine Protected", VLOOKUP(O3338, Reference!$A$2:$D$34, 4, FALSE) &lt;= P3338),
                AND(R3338="General Use", VLOOKUP(O3338, Reference!$A$2:$D$34, 3, FALSE) &lt;= P3338)
            ),
                "Exceeded",
                "OK"
            ),
            "No Regulation defined"
        )
    ),
    ""
)</f>
        <v/>
      </c>
      <c r="AB3338" s="62" t="str">
        <f t="shared" si="52"/>
        <v/>
      </c>
    </row>
    <row r="3339" spans="20:28" x14ac:dyDescent="0.2">
      <c r="T3339" s="60" t="str">
        <f>IF(P3339&lt;&gt;"",
    IF(OR(O3339="", Q3339="", R3339=""),
        "Fill all the required columns",
        IFERROR(
            IF(OR(
                AND(R3339="Marine Protected", VLOOKUP(O3339, Reference!$A$2:$D$34, 4, FALSE) &lt;= P3339),
                AND(R3339="General Use", VLOOKUP(O3339, Reference!$A$2:$D$34, 3, FALSE) &lt;= P3339)
            ),
                "Exceeded",
                "OK"
            ),
            "No Regulation defined"
        )
    ),
    ""
)</f>
        <v/>
      </c>
      <c r="AB3339" s="62" t="str">
        <f t="shared" si="52"/>
        <v/>
      </c>
    </row>
    <row r="3340" spans="20:28" x14ac:dyDescent="0.2">
      <c r="T3340" s="60" t="str">
        <f>IF(P3340&lt;&gt;"",
    IF(OR(O3340="", Q3340="", R3340=""),
        "Fill all the required columns",
        IFERROR(
            IF(OR(
                AND(R3340="Marine Protected", VLOOKUP(O3340, Reference!$A$2:$D$34, 4, FALSE) &lt;= P3340),
                AND(R3340="General Use", VLOOKUP(O3340, Reference!$A$2:$D$34, 3, FALSE) &lt;= P3340)
            ),
                "Exceeded",
                "OK"
            ),
            "No Regulation defined"
        )
    ),
    ""
)</f>
        <v/>
      </c>
      <c r="AB3340" s="62" t="str">
        <f t="shared" si="52"/>
        <v/>
      </c>
    </row>
    <row r="3341" spans="20:28" x14ac:dyDescent="0.2">
      <c r="T3341" s="60" t="str">
        <f>IF(P3341&lt;&gt;"",
    IF(OR(O3341="", Q3341="", R3341=""),
        "Fill all the required columns",
        IFERROR(
            IF(OR(
                AND(R3341="Marine Protected", VLOOKUP(O3341, Reference!$A$2:$D$34, 4, FALSE) &lt;= P3341),
                AND(R3341="General Use", VLOOKUP(O3341, Reference!$A$2:$D$34, 3, FALSE) &lt;= P3341)
            ),
                "Exceeded",
                "OK"
            ),
            "No Regulation defined"
        )
    ),
    ""
)</f>
        <v/>
      </c>
      <c r="AB3341" s="62" t="str">
        <f t="shared" si="52"/>
        <v/>
      </c>
    </row>
    <row r="3342" spans="20:28" x14ac:dyDescent="0.2">
      <c r="T3342" s="60" t="str">
        <f>IF(P3342&lt;&gt;"",
    IF(OR(O3342="", Q3342="", R3342=""),
        "Fill all the required columns",
        IFERROR(
            IF(OR(
                AND(R3342="Marine Protected", VLOOKUP(O3342, Reference!$A$2:$D$34, 4, FALSE) &lt;= P3342),
                AND(R3342="General Use", VLOOKUP(O3342, Reference!$A$2:$D$34, 3, FALSE) &lt;= P3342)
            ),
                "Exceeded",
                "OK"
            ),
            "No Regulation defined"
        )
    ),
    ""
)</f>
        <v/>
      </c>
      <c r="AB3342" s="62" t="str">
        <f t="shared" si="52"/>
        <v/>
      </c>
    </row>
    <row r="3343" spans="20:28" x14ac:dyDescent="0.2">
      <c r="T3343" s="60" t="str">
        <f>IF(P3343&lt;&gt;"",
    IF(OR(O3343="", Q3343="", R3343=""),
        "Fill all the required columns",
        IFERROR(
            IF(OR(
                AND(R3343="Marine Protected", VLOOKUP(O3343, Reference!$A$2:$D$34, 4, FALSE) &lt;= P3343),
                AND(R3343="General Use", VLOOKUP(O3343, Reference!$A$2:$D$34, 3, FALSE) &lt;= P3343)
            ),
                "Exceeded",
                "OK"
            ),
            "No Regulation defined"
        )
    ),
    ""
)</f>
        <v/>
      </c>
      <c r="AB3343" s="62" t="str">
        <f t="shared" si="52"/>
        <v/>
      </c>
    </row>
    <row r="3344" spans="20:28" x14ac:dyDescent="0.2">
      <c r="T3344" s="60" t="str">
        <f>IF(P3344&lt;&gt;"",
    IF(OR(O3344="", Q3344="", R3344=""),
        "Fill all the required columns",
        IFERROR(
            IF(OR(
                AND(R3344="Marine Protected", VLOOKUP(O3344, Reference!$A$2:$D$34, 4, FALSE) &lt;= P3344),
                AND(R3344="General Use", VLOOKUP(O3344, Reference!$A$2:$D$34, 3, FALSE) &lt;= P3344)
            ),
                "Exceeded",
                "OK"
            ),
            "No Regulation defined"
        )
    ),
    ""
)</f>
        <v/>
      </c>
      <c r="AB3344" s="62" t="str">
        <f t="shared" si="52"/>
        <v/>
      </c>
    </row>
    <row r="3345" spans="20:28" x14ac:dyDescent="0.2">
      <c r="T3345" s="60" t="str">
        <f>IF(P3345&lt;&gt;"",
    IF(OR(O3345="", Q3345="", R3345=""),
        "Fill all the required columns",
        IFERROR(
            IF(OR(
                AND(R3345="Marine Protected", VLOOKUP(O3345, Reference!$A$2:$D$34, 4, FALSE) &lt;= P3345),
                AND(R3345="General Use", VLOOKUP(O3345, Reference!$A$2:$D$34, 3, FALSE) &lt;= P3345)
            ),
                "Exceeded",
                "OK"
            ),
            "No Regulation defined"
        )
    ),
    ""
)</f>
        <v/>
      </c>
      <c r="AB3345" s="62" t="str">
        <f t="shared" si="52"/>
        <v/>
      </c>
    </row>
    <row r="3346" spans="20:28" x14ac:dyDescent="0.2">
      <c r="T3346" s="60" t="str">
        <f>IF(P3346&lt;&gt;"",
    IF(OR(O3346="", Q3346="", R3346=""),
        "Fill all the required columns",
        IFERROR(
            IF(OR(
                AND(R3346="Marine Protected", VLOOKUP(O3346, Reference!$A$2:$D$34, 4, FALSE) &lt;= P3346),
                AND(R3346="General Use", VLOOKUP(O3346, Reference!$A$2:$D$34, 3, FALSE) &lt;= P3346)
            ),
                "Exceeded",
                "OK"
            ),
            "No Regulation defined"
        )
    ),
    ""
)</f>
        <v/>
      </c>
      <c r="AB3346" s="62" t="str">
        <f t="shared" si="52"/>
        <v/>
      </c>
    </row>
    <row r="3347" spans="20:28" x14ac:dyDescent="0.2">
      <c r="T3347" s="60" t="str">
        <f>IF(P3347&lt;&gt;"",
    IF(OR(O3347="", Q3347="", R3347=""),
        "Fill all the required columns",
        IFERROR(
            IF(OR(
                AND(R3347="Marine Protected", VLOOKUP(O3347, Reference!$A$2:$D$34, 4, FALSE) &lt;= P3347),
                AND(R3347="General Use", VLOOKUP(O3347, Reference!$A$2:$D$34, 3, FALSE) &lt;= P3347)
            ),
                "Exceeded",
                "OK"
            ),
            "No Regulation defined"
        )
    ),
    ""
)</f>
        <v/>
      </c>
      <c r="AB3347" s="62" t="str">
        <f t="shared" si="52"/>
        <v/>
      </c>
    </row>
    <row r="3348" spans="20:28" x14ac:dyDescent="0.2">
      <c r="T3348" s="60" t="str">
        <f>IF(P3348&lt;&gt;"",
    IF(OR(O3348="", Q3348="", R3348=""),
        "Fill all the required columns",
        IFERROR(
            IF(OR(
                AND(R3348="Marine Protected", VLOOKUP(O3348, Reference!$A$2:$D$34, 4, FALSE) &lt;= P3348),
                AND(R3348="General Use", VLOOKUP(O3348, Reference!$A$2:$D$34, 3, FALSE) &lt;= P3348)
            ),
                "Exceeded",
                "OK"
            ),
            "No Regulation defined"
        )
    ),
    ""
)</f>
        <v/>
      </c>
      <c r="AB3348" s="62" t="str">
        <f t="shared" si="52"/>
        <v/>
      </c>
    </row>
    <row r="3349" spans="20:28" x14ac:dyDescent="0.2">
      <c r="T3349" s="60" t="str">
        <f>IF(P3349&lt;&gt;"",
    IF(OR(O3349="", Q3349="", R3349=""),
        "Fill all the required columns",
        IFERROR(
            IF(OR(
                AND(R3349="Marine Protected", VLOOKUP(O3349, Reference!$A$2:$D$34, 4, FALSE) &lt;= P3349),
                AND(R3349="General Use", VLOOKUP(O3349, Reference!$A$2:$D$34, 3, FALSE) &lt;= P3349)
            ),
                "Exceeded",
                "OK"
            ),
            "No Regulation defined"
        )
    ),
    ""
)</f>
        <v/>
      </c>
      <c r="AB3349" s="62" t="str">
        <f t="shared" si="52"/>
        <v/>
      </c>
    </row>
    <row r="3350" spans="20:28" x14ac:dyDescent="0.2">
      <c r="T3350" s="60" t="str">
        <f>IF(P3350&lt;&gt;"",
    IF(OR(O3350="", Q3350="", R3350=""),
        "Fill all the required columns",
        IFERROR(
            IF(OR(
                AND(R3350="Marine Protected", VLOOKUP(O3350, Reference!$A$2:$D$34, 4, FALSE) &lt;= P3350),
                AND(R3350="General Use", VLOOKUP(O3350, Reference!$A$2:$D$34, 3, FALSE) &lt;= P3350)
            ),
                "Exceeded",
                "OK"
            ),
            "No Regulation defined"
        )
    ),
    ""
)</f>
        <v/>
      </c>
      <c r="AB3350" s="62" t="str">
        <f t="shared" si="52"/>
        <v/>
      </c>
    </row>
    <row r="3351" spans="20:28" x14ac:dyDescent="0.2">
      <c r="T3351" s="60" t="str">
        <f>IF(P3351&lt;&gt;"",
    IF(OR(O3351="", Q3351="", R3351=""),
        "Fill all the required columns",
        IFERROR(
            IF(OR(
                AND(R3351="Marine Protected", VLOOKUP(O3351, Reference!$A$2:$D$34, 4, FALSE) &lt;= P3351),
                AND(R3351="General Use", VLOOKUP(O3351, Reference!$A$2:$D$34, 3, FALSE) &lt;= P3351)
            ),
                "Exceeded",
                "OK"
            ),
            "No Regulation defined"
        )
    ),
    ""
)</f>
        <v/>
      </c>
      <c r="AB3351" s="62" t="str">
        <f t="shared" si="52"/>
        <v/>
      </c>
    </row>
    <row r="3352" spans="20:28" x14ac:dyDescent="0.2">
      <c r="T3352" s="60" t="str">
        <f>IF(P3352&lt;&gt;"",
    IF(OR(O3352="", Q3352="", R3352=""),
        "Fill all the required columns",
        IFERROR(
            IF(OR(
                AND(R3352="Marine Protected", VLOOKUP(O3352, Reference!$A$2:$D$34, 4, FALSE) &lt;= P3352),
                AND(R3352="General Use", VLOOKUP(O3352, Reference!$A$2:$D$34, 3, FALSE) &lt;= P3352)
            ),
                "Exceeded",
                "OK"
            ),
            "No Regulation defined"
        )
    ),
    ""
)</f>
        <v/>
      </c>
      <c r="AB3352" s="62" t="str">
        <f t="shared" si="52"/>
        <v/>
      </c>
    </row>
    <row r="3353" spans="20:28" x14ac:dyDescent="0.2">
      <c r="T3353" s="60" t="str">
        <f>IF(P3353&lt;&gt;"",
    IF(OR(O3353="", Q3353="", R3353=""),
        "Fill all the required columns",
        IFERROR(
            IF(OR(
                AND(R3353="Marine Protected", VLOOKUP(O3353, Reference!$A$2:$D$34, 4, FALSE) &lt;= P3353),
                AND(R3353="General Use", VLOOKUP(O3353, Reference!$A$2:$D$34, 3, FALSE) &lt;= P3353)
            ),
                "Exceeded",
                "OK"
            ),
            "No Regulation defined"
        )
    ),
    ""
)</f>
        <v/>
      </c>
      <c r="AB3353" s="62" t="str">
        <f t="shared" si="52"/>
        <v/>
      </c>
    </row>
    <row r="3354" spans="20:28" x14ac:dyDescent="0.2">
      <c r="T3354" s="60" t="str">
        <f>IF(P3354&lt;&gt;"",
    IF(OR(O3354="", Q3354="", R3354=""),
        "Fill all the required columns",
        IFERROR(
            IF(OR(
                AND(R3354="Marine Protected", VLOOKUP(O3354, Reference!$A$2:$D$34, 4, FALSE) &lt;= P3354),
                AND(R3354="General Use", VLOOKUP(O3354, Reference!$A$2:$D$34, 3, FALSE) &lt;= P3354)
            ),
                "Exceeded",
                "OK"
            ),
            "No Regulation defined"
        )
    ),
    ""
)</f>
        <v/>
      </c>
      <c r="AB3354" s="62" t="str">
        <f t="shared" si="52"/>
        <v/>
      </c>
    </row>
    <row r="3355" spans="20:28" x14ac:dyDescent="0.2">
      <c r="T3355" s="60" t="str">
        <f>IF(P3355&lt;&gt;"",
    IF(OR(O3355="", Q3355="", R3355=""),
        "Fill all the required columns",
        IFERROR(
            IF(OR(
                AND(R3355="Marine Protected", VLOOKUP(O3355, Reference!$A$2:$D$34, 4, FALSE) &lt;= P3355),
                AND(R3355="General Use", VLOOKUP(O3355, Reference!$A$2:$D$34, 3, FALSE) &lt;= P3355)
            ),
                "Exceeded",
                "OK"
            ),
            "No Regulation defined"
        )
    ),
    ""
)</f>
        <v/>
      </c>
      <c r="AB3355" s="62" t="str">
        <f t="shared" si="52"/>
        <v/>
      </c>
    </row>
    <row r="3356" spans="20:28" x14ac:dyDescent="0.2">
      <c r="T3356" s="60" t="str">
        <f>IF(P3356&lt;&gt;"",
    IF(OR(O3356="", Q3356="", R3356=""),
        "Fill all the required columns",
        IFERROR(
            IF(OR(
                AND(R3356="Marine Protected", VLOOKUP(O3356, Reference!$A$2:$D$34, 4, FALSE) &lt;= P3356),
                AND(R3356="General Use", VLOOKUP(O3356, Reference!$A$2:$D$34, 3, FALSE) &lt;= P3356)
            ),
                "Exceeded",
                "OK"
            ),
            "No Regulation defined"
        )
    ),
    ""
)</f>
        <v/>
      </c>
      <c r="AB3356" s="62" t="str">
        <f t="shared" si="52"/>
        <v/>
      </c>
    </row>
    <row r="3357" spans="20:28" x14ac:dyDescent="0.2">
      <c r="T3357" s="60" t="str">
        <f>IF(P3357&lt;&gt;"",
    IF(OR(O3357="", Q3357="", R3357=""),
        "Fill all the required columns",
        IFERROR(
            IF(OR(
                AND(R3357="Marine Protected", VLOOKUP(O3357, Reference!$A$2:$D$34, 4, FALSE) &lt;= P3357),
                AND(R3357="General Use", VLOOKUP(O3357, Reference!$A$2:$D$34, 3, FALSE) &lt;= P3357)
            ),
                "Exceeded",
                "OK"
            ),
            "No Regulation defined"
        )
    ),
    ""
)</f>
        <v/>
      </c>
      <c r="AB3357" s="62" t="str">
        <f t="shared" si="52"/>
        <v/>
      </c>
    </row>
    <row r="3358" spans="20:28" x14ac:dyDescent="0.2">
      <c r="T3358" s="60" t="str">
        <f>IF(P3358&lt;&gt;"",
    IF(OR(O3358="", Q3358="", R3358=""),
        "Fill all the required columns",
        IFERROR(
            IF(OR(
                AND(R3358="Marine Protected", VLOOKUP(O3358, Reference!$A$2:$D$34, 4, FALSE) &lt;= P3358),
                AND(R3358="General Use", VLOOKUP(O3358, Reference!$A$2:$D$34, 3, FALSE) &lt;= P3358)
            ),
                "Exceeded",
                "OK"
            ),
            "No Regulation defined"
        )
    ),
    ""
)</f>
        <v/>
      </c>
      <c r="AB3358" s="62" t="str">
        <f t="shared" si="52"/>
        <v/>
      </c>
    </row>
    <row r="3359" spans="20:28" x14ac:dyDescent="0.2">
      <c r="T3359" s="60" t="str">
        <f>IF(P3359&lt;&gt;"",
    IF(OR(O3359="", Q3359="", R3359=""),
        "Fill all the required columns",
        IFERROR(
            IF(OR(
                AND(R3359="Marine Protected", VLOOKUP(O3359, Reference!$A$2:$D$34, 4, FALSE) &lt;= P3359),
                AND(R3359="General Use", VLOOKUP(O3359, Reference!$A$2:$D$34, 3, FALSE) &lt;= P3359)
            ),
                "Exceeded",
                "OK"
            ),
            "No Regulation defined"
        )
    ),
    ""
)</f>
        <v/>
      </c>
      <c r="AB3359" s="62" t="str">
        <f t="shared" si="52"/>
        <v/>
      </c>
    </row>
    <row r="3360" spans="20:28" x14ac:dyDescent="0.2">
      <c r="T3360" s="60" t="str">
        <f>IF(P3360&lt;&gt;"",
    IF(OR(O3360="", Q3360="", R3360=""),
        "Fill all the required columns",
        IFERROR(
            IF(OR(
                AND(R3360="Marine Protected", VLOOKUP(O3360, Reference!$A$2:$D$34, 4, FALSE) &lt;= P3360),
                AND(R3360="General Use", VLOOKUP(O3360, Reference!$A$2:$D$34, 3, FALSE) &lt;= P3360)
            ),
                "Exceeded",
                "OK"
            ),
            "No Regulation defined"
        )
    ),
    ""
)</f>
        <v/>
      </c>
      <c r="AB3360" s="62" t="str">
        <f t="shared" si="52"/>
        <v/>
      </c>
    </row>
    <row r="3361" spans="20:28" x14ac:dyDescent="0.2">
      <c r="T3361" s="60" t="str">
        <f>IF(P3361&lt;&gt;"",
    IF(OR(O3361="", Q3361="", R3361=""),
        "Fill all the required columns",
        IFERROR(
            IF(OR(
                AND(R3361="Marine Protected", VLOOKUP(O3361, Reference!$A$2:$D$34, 4, FALSE) &lt;= P3361),
                AND(R3361="General Use", VLOOKUP(O3361, Reference!$A$2:$D$34, 3, FALSE) &lt;= P3361)
            ),
                "Exceeded",
                "OK"
            ),
            "No Regulation defined"
        )
    ),
    ""
)</f>
        <v/>
      </c>
      <c r="AB3361" s="62" t="str">
        <f t="shared" si="52"/>
        <v/>
      </c>
    </row>
    <row r="3362" spans="20:28" x14ac:dyDescent="0.2">
      <c r="T3362" s="60" t="str">
        <f>IF(P3362&lt;&gt;"",
    IF(OR(O3362="", Q3362="", R3362=""),
        "Fill all the required columns",
        IFERROR(
            IF(OR(
                AND(R3362="Marine Protected", VLOOKUP(O3362, Reference!$A$2:$D$34, 4, FALSE) &lt;= P3362),
                AND(R3362="General Use", VLOOKUP(O3362, Reference!$A$2:$D$34, 3, FALSE) &lt;= P3362)
            ),
                "Exceeded",
                "OK"
            ),
            "No Regulation defined"
        )
    ),
    ""
)</f>
        <v/>
      </c>
      <c r="AB3362" s="62" t="str">
        <f t="shared" si="52"/>
        <v/>
      </c>
    </row>
    <row r="3363" spans="20:28" x14ac:dyDescent="0.2">
      <c r="T3363" s="60" t="str">
        <f>IF(P3363&lt;&gt;"",
    IF(OR(O3363="", Q3363="", R3363=""),
        "Fill all the required columns",
        IFERROR(
            IF(OR(
                AND(R3363="Marine Protected", VLOOKUP(O3363, Reference!$A$2:$D$34, 4, FALSE) &lt;= P3363),
                AND(R3363="General Use", VLOOKUP(O3363, Reference!$A$2:$D$34, 3, FALSE) &lt;= P3363)
            ),
                "Exceeded",
                "OK"
            ),
            "No Regulation defined"
        )
    ),
    ""
)</f>
        <v/>
      </c>
      <c r="AB3363" s="62" t="str">
        <f t="shared" si="52"/>
        <v/>
      </c>
    </row>
    <row r="3364" spans="20:28" x14ac:dyDescent="0.2">
      <c r="T3364" s="60" t="str">
        <f>IF(P3364&lt;&gt;"",
    IF(OR(O3364="", Q3364="", R3364=""),
        "Fill all the required columns",
        IFERROR(
            IF(OR(
                AND(R3364="Marine Protected", VLOOKUP(O3364, Reference!$A$2:$D$34, 4, FALSE) &lt;= P3364),
                AND(R3364="General Use", VLOOKUP(O3364, Reference!$A$2:$D$34, 3, FALSE) &lt;= P3364)
            ),
                "Exceeded",
                "OK"
            ),
            "No Regulation defined"
        )
    ),
    ""
)</f>
        <v/>
      </c>
      <c r="AB3364" s="62" t="str">
        <f t="shared" si="52"/>
        <v/>
      </c>
    </row>
    <row r="3365" spans="20:28" x14ac:dyDescent="0.2">
      <c r="T3365" s="60" t="str">
        <f>IF(P3365&lt;&gt;"",
    IF(OR(O3365="", Q3365="", R3365=""),
        "Fill all the required columns",
        IFERROR(
            IF(OR(
                AND(R3365="Marine Protected", VLOOKUP(O3365, Reference!$A$2:$D$34, 4, FALSE) &lt;= P3365),
                AND(R3365="General Use", VLOOKUP(O3365, Reference!$A$2:$D$34, 3, FALSE) &lt;= P3365)
            ),
                "Exceeded",
                "OK"
            ),
            "No Regulation defined"
        )
    ),
    ""
)</f>
        <v/>
      </c>
      <c r="AB3365" s="62" t="str">
        <f t="shared" si="52"/>
        <v/>
      </c>
    </row>
    <row r="3366" spans="20:28" x14ac:dyDescent="0.2">
      <c r="T3366" s="60" t="str">
        <f>IF(P3366&lt;&gt;"",
    IF(OR(O3366="", Q3366="", R3366=""),
        "Fill all the required columns",
        IFERROR(
            IF(OR(
                AND(R3366="Marine Protected", VLOOKUP(O3366, Reference!$A$2:$D$34, 4, FALSE) &lt;= P3366),
                AND(R3366="General Use", VLOOKUP(O3366, Reference!$A$2:$D$34, 3, FALSE) &lt;= P3366)
            ),
                "Exceeded",
                "OK"
            ),
            "No Regulation defined"
        )
    ),
    ""
)</f>
        <v/>
      </c>
      <c r="AB3366" s="62" t="str">
        <f t="shared" si="52"/>
        <v/>
      </c>
    </row>
    <row r="3367" spans="20:28" x14ac:dyDescent="0.2">
      <c r="T3367" s="60" t="str">
        <f>IF(P3367&lt;&gt;"",
    IF(OR(O3367="", Q3367="", R3367=""),
        "Fill all the required columns",
        IFERROR(
            IF(OR(
                AND(R3367="Marine Protected", VLOOKUP(O3367, Reference!$A$2:$D$34, 4, FALSE) &lt;= P3367),
                AND(R3367="General Use", VLOOKUP(O3367, Reference!$A$2:$D$34, 3, FALSE) &lt;= P3367)
            ),
                "Exceeded",
                "OK"
            ),
            "No Regulation defined"
        )
    ),
    ""
)</f>
        <v/>
      </c>
      <c r="AB3367" s="62" t="str">
        <f t="shared" si="52"/>
        <v/>
      </c>
    </row>
    <row r="3368" spans="20:28" x14ac:dyDescent="0.2">
      <c r="T3368" s="60" t="str">
        <f>IF(P3368&lt;&gt;"",
    IF(OR(O3368="", Q3368="", R3368=""),
        "Fill all the required columns",
        IFERROR(
            IF(OR(
                AND(R3368="Marine Protected", VLOOKUP(O3368, Reference!$A$2:$D$34, 4, FALSE) &lt;= P3368),
                AND(R3368="General Use", VLOOKUP(O3368, Reference!$A$2:$D$34, 3, FALSE) &lt;= P3368)
            ),
                "Exceeded",
                "OK"
            ),
            "No Regulation defined"
        )
    ),
    ""
)</f>
        <v/>
      </c>
      <c r="AB3368" s="62" t="str">
        <f t="shared" si="52"/>
        <v/>
      </c>
    </row>
    <row r="3369" spans="20:28" x14ac:dyDescent="0.2">
      <c r="T3369" s="60" t="str">
        <f>IF(P3369&lt;&gt;"",
    IF(OR(O3369="", Q3369="", R3369=""),
        "Fill all the required columns",
        IFERROR(
            IF(OR(
                AND(R3369="Marine Protected", VLOOKUP(O3369, Reference!$A$2:$D$34, 4, FALSE) &lt;= P3369),
                AND(R3369="General Use", VLOOKUP(O3369, Reference!$A$2:$D$34, 3, FALSE) &lt;= P3369)
            ),
                "Exceeded",
                "OK"
            ),
            "No Regulation defined"
        )
    ),
    ""
)</f>
        <v/>
      </c>
      <c r="AB3369" s="62" t="str">
        <f t="shared" si="52"/>
        <v/>
      </c>
    </row>
    <row r="3370" spans="20:28" x14ac:dyDescent="0.2">
      <c r="T3370" s="60" t="str">
        <f>IF(P3370&lt;&gt;"",
    IF(OR(O3370="", Q3370="", R3370=""),
        "Fill all the required columns",
        IFERROR(
            IF(OR(
                AND(R3370="Marine Protected", VLOOKUP(O3370, Reference!$A$2:$D$34, 4, FALSE) &lt;= P3370),
                AND(R3370="General Use", VLOOKUP(O3370, Reference!$A$2:$D$34, 3, FALSE) &lt;= P3370)
            ),
                "Exceeded",
                "OK"
            ),
            "No Regulation defined"
        )
    ),
    ""
)</f>
        <v/>
      </c>
      <c r="AB3370" s="62" t="str">
        <f t="shared" si="52"/>
        <v/>
      </c>
    </row>
    <row r="3371" spans="20:28" x14ac:dyDescent="0.2">
      <c r="T3371" s="60" t="str">
        <f>IF(P3371&lt;&gt;"",
    IF(OR(O3371="", Q3371="", R3371=""),
        "Fill all the required columns",
        IFERROR(
            IF(OR(
                AND(R3371="Marine Protected", VLOOKUP(O3371, Reference!$A$2:$D$34, 4, FALSE) &lt;= P3371),
                AND(R3371="General Use", VLOOKUP(O3371, Reference!$A$2:$D$34, 3, FALSE) &lt;= P3371)
            ),
                "Exceeded",
                "OK"
            ),
            "No Regulation defined"
        )
    ),
    ""
)</f>
        <v/>
      </c>
      <c r="AB3371" s="62" t="str">
        <f t="shared" si="52"/>
        <v/>
      </c>
    </row>
    <row r="3372" spans="20:28" x14ac:dyDescent="0.2">
      <c r="T3372" s="60" t="str">
        <f>IF(P3372&lt;&gt;"",
    IF(OR(O3372="", Q3372="", R3372=""),
        "Fill all the required columns",
        IFERROR(
            IF(OR(
                AND(R3372="Marine Protected", VLOOKUP(O3372, Reference!$A$2:$D$34, 4, FALSE) &lt;= P3372),
                AND(R3372="General Use", VLOOKUP(O3372, Reference!$A$2:$D$34, 3, FALSE) &lt;= P3372)
            ),
                "Exceeded",
                "OK"
            ),
            "No Regulation defined"
        )
    ),
    ""
)</f>
        <v/>
      </c>
      <c r="AB3372" s="62" t="str">
        <f t="shared" si="52"/>
        <v/>
      </c>
    </row>
    <row r="3373" spans="20:28" x14ac:dyDescent="0.2">
      <c r="T3373" s="60" t="str">
        <f>IF(P3373&lt;&gt;"",
    IF(OR(O3373="", Q3373="", R3373=""),
        "Fill all the required columns",
        IFERROR(
            IF(OR(
                AND(R3373="Marine Protected", VLOOKUP(O3373, Reference!$A$2:$D$34, 4, FALSE) &lt;= P3373),
                AND(R3373="General Use", VLOOKUP(O3373, Reference!$A$2:$D$34, 3, FALSE) &lt;= P3373)
            ),
                "Exceeded",
                "OK"
            ),
            "No Regulation defined"
        )
    ),
    ""
)</f>
        <v/>
      </c>
      <c r="AB3373" s="62" t="str">
        <f t="shared" si="52"/>
        <v/>
      </c>
    </row>
    <row r="3374" spans="20:28" x14ac:dyDescent="0.2">
      <c r="T3374" s="60" t="str">
        <f>IF(P3374&lt;&gt;"",
    IF(OR(O3374="", Q3374="", R3374=""),
        "Fill all the required columns",
        IFERROR(
            IF(OR(
                AND(R3374="Marine Protected", VLOOKUP(O3374, Reference!$A$2:$D$34, 4, FALSE) &lt;= P3374),
                AND(R3374="General Use", VLOOKUP(O3374, Reference!$A$2:$D$34, 3, FALSE) &lt;= P3374)
            ),
                "Exceeded",
                "OK"
            ),
            "No Regulation defined"
        )
    ),
    ""
)</f>
        <v/>
      </c>
      <c r="AB3374" s="62" t="str">
        <f t="shared" si="52"/>
        <v/>
      </c>
    </row>
    <row r="3375" spans="20:28" x14ac:dyDescent="0.2">
      <c r="T3375" s="60" t="str">
        <f>IF(P3375&lt;&gt;"",
    IF(OR(O3375="", Q3375="", R3375=""),
        "Fill all the required columns",
        IFERROR(
            IF(OR(
                AND(R3375="Marine Protected", VLOOKUP(O3375, Reference!$A$2:$D$34, 4, FALSE) &lt;= P3375),
                AND(R3375="General Use", VLOOKUP(O3375, Reference!$A$2:$D$34, 3, FALSE) &lt;= P3375)
            ),
                "Exceeded",
                "OK"
            ),
            "No Regulation defined"
        )
    ),
    ""
)</f>
        <v/>
      </c>
      <c r="AB3375" s="62" t="str">
        <f t="shared" si="52"/>
        <v/>
      </c>
    </row>
    <row r="3376" spans="20:28" x14ac:dyDescent="0.2">
      <c r="T3376" s="60" t="str">
        <f>IF(P3376&lt;&gt;"",
    IF(OR(O3376="", Q3376="", R3376=""),
        "Fill all the required columns",
        IFERROR(
            IF(OR(
                AND(R3376="Marine Protected", VLOOKUP(O3376, Reference!$A$2:$D$34, 4, FALSE) &lt;= P3376),
                AND(R3376="General Use", VLOOKUP(O3376, Reference!$A$2:$D$34, 3, FALSE) &lt;= P3376)
            ),
                "Exceeded",
                "OK"
            ),
            "No Regulation defined"
        )
    ),
    ""
)</f>
        <v/>
      </c>
      <c r="AB3376" s="62" t="str">
        <f t="shared" si="52"/>
        <v/>
      </c>
    </row>
    <row r="3377" spans="20:28" x14ac:dyDescent="0.2">
      <c r="T3377" s="60" t="str">
        <f>IF(P3377&lt;&gt;"",
    IF(OR(O3377="", Q3377="", R3377=""),
        "Fill all the required columns",
        IFERROR(
            IF(OR(
                AND(R3377="Marine Protected", VLOOKUP(O3377, Reference!$A$2:$D$34, 4, FALSE) &lt;= P3377),
                AND(R3377="General Use", VLOOKUP(O3377, Reference!$A$2:$D$34, 3, FALSE) &lt;= P3377)
            ),
                "Exceeded",
                "OK"
            ),
            "No Regulation defined"
        )
    ),
    ""
)</f>
        <v/>
      </c>
      <c r="AB3377" s="62" t="str">
        <f t="shared" si="52"/>
        <v/>
      </c>
    </row>
    <row r="3378" spans="20:28" x14ac:dyDescent="0.2">
      <c r="T3378" s="60" t="str">
        <f>IF(P3378&lt;&gt;"",
    IF(OR(O3378="", Q3378="", R3378=""),
        "Fill all the required columns",
        IFERROR(
            IF(OR(
                AND(R3378="Marine Protected", VLOOKUP(O3378, Reference!$A$2:$D$34, 4, FALSE) &lt;= P3378),
                AND(R3378="General Use", VLOOKUP(O3378, Reference!$A$2:$D$34, 3, FALSE) &lt;= P3378)
            ),
                "Exceeded",
                "OK"
            ),
            "No Regulation defined"
        )
    ),
    ""
)</f>
        <v/>
      </c>
      <c r="AB3378" s="62" t="str">
        <f t="shared" si="52"/>
        <v/>
      </c>
    </row>
    <row r="3379" spans="20:28" x14ac:dyDescent="0.2">
      <c r="T3379" s="60" t="str">
        <f>IF(P3379&lt;&gt;"",
    IF(OR(O3379="", Q3379="", R3379=""),
        "Fill all the required columns",
        IFERROR(
            IF(OR(
                AND(R3379="Marine Protected", VLOOKUP(O3379, Reference!$A$2:$D$34, 4, FALSE) &lt;= P3379),
                AND(R3379="General Use", VLOOKUP(O3379, Reference!$A$2:$D$34, 3, FALSE) &lt;= P3379)
            ),
                "Exceeded",
                "OK"
            ),
            "No Regulation defined"
        )
    ),
    ""
)</f>
        <v/>
      </c>
      <c r="AB3379" s="62" t="str">
        <f t="shared" si="52"/>
        <v/>
      </c>
    </row>
    <row r="3380" spans="20:28" x14ac:dyDescent="0.2">
      <c r="T3380" s="60" t="str">
        <f>IF(P3380&lt;&gt;"",
    IF(OR(O3380="", Q3380="", R3380=""),
        "Fill all the required columns",
        IFERROR(
            IF(OR(
                AND(R3380="Marine Protected", VLOOKUP(O3380, Reference!$A$2:$D$34, 4, FALSE) &lt;= P3380),
                AND(R3380="General Use", VLOOKUP(O3380, Reference!$A$2:$D$34, 3, FALSE) &lt;= P3380)
            ),
                "Exceeded",
                "OK"
            ),
            "No Regulation defined"
        )
    ),
    ""
)</f>
        <v/>
      </c>
      <c r="AB3380" s="62" t="str">
        <f t="shared" si="52"/>
        <v/>
      </c>
    </row>
    <row r="3381" spans="20:28" x14ac:dyDescent="0.2">
      <c r="T3381" s="60" t="str">
        <f>IF(P3381&lt;&gt;"",
    IF(OR(O3381="", Q3381="", R3381=""),
        "Fill all the required columns",
        IFERROR(
            IF(OR(
                AND(R3381="Marine Protected", VLOOKUP(O3381, Reference!$A$2:$D$34, 4, FALSE) &lt;= P3381),
                AND(R3381="General Use", VLOOKUP(O3381, Reference!$A$2:$D$34, 3, FALSE) &lt;= P3381)
            ),
                "Exceeded",
                "OK"
            ),
            "No Regulation defined"
        )
    ),
    ""
)</f>
        <v/>
      </c>
      <c r="AB3381" s="62" t="str">
        <f t="shared" si="52"/>
        <v/>
      </c>
    </row>
    <row r="3382" spans="20:28" x14ac:dyDescent="0.2">
      <c r="T3382" s="60" t="str">
        <f>IF(P3382&lt;&gt;"",
    IF(OR(O3382="", Q3382="", R3382=""),
        "Fill all the required columns",
        IFERROR(
            IF(OR(
                AND(R3382="Marine Protected", VLOOKUP(O3382, Reference!$A$2:$D$34, 4, FALSE) &lt;= P3382),
                AND(R3382="General Use", VLOOKUP(O3382, Reference!$A$2:$D$34, 3, FALSE) &lt;= P3382)
            ),
                "Exceeded",
                "OK"
            ),
            "No Regulation defined"
        )
    ),
    ""
)</f>
        <v/>
      </c>
      <c r="AB3382" s="62" t="str">
        <f t="shared" si="52"/>
        <v/>
      </c>
    </row>
    <row r="3383" spans="20:28" x14ac:dyDescent="0.2">
      <c r="T3383" s="60" t="str">
        <f>IF(P3383&lt;&gt;"",
    IF(OR(O3383="", Q3383="", R3383=""),
        "Fill all the required columns",
        IFERROR(
            IF(OR(
                AND(R3383="Marine Protected", VLOOKUP(O3383, Reference!$A$2:$D$34, 4, FALSE) &lt;= P3383),
                AND(R3383="General Use", VLOOKUP(O3383, Reference!$A$2:$D$34, 3, FALSE) &lt;= P3383)
            ),
                "Exceeded",
                "OK"
            ),
            "No Regulation defined"
        )
    ),
    ""
)</f>
        <v/>
      </c>
      <c r="AB3383" s="62" t="str">
        <f t="shared" si="52"/>
        <v/>
      </c>
    </row>
    <row r="3384" spans="20:28" x14ac:dyDescent="0.2">
      <c r="T3384" s="60" t="str">
        <f>IF(P3384&lt;&gt;"",
    IF(OR(O3384="", Q3384="", R3384=""),
        "Fill all the required columns",
        IFERROR(
            IF(OR(
                AND(R3384="Marine Protected", VLOOKUP(O3384, Reference!$A$2:$D$34, 4, FALSE) &lt;= P3384),
                AND(R3384="General Use", VLOOKUP(O3384, Reference!$A$2:$D$34, 3, FALSE) &lt;= P3384)
            ),
                "Exceeded",
                "OK"
            ),
            "No Regulation defined"
        )
    ),
    ""
)</f>
        <v/>
      </c>
      <c r="AB3384" s="62" t="str">
        <f t="shared" si="52"/>
        <v/>
      </c>
    </row>
    <row r="3385" spans="20:28" x14ac:dyDescent="0.2">
      <c r="T3385" s="60" t="str">
        <f>IF(P3385&lt;&gt;"",
    IF(OR(O3385="", Q3385="", R3385=""),
        "Fill all the required columns",
        IFERROR(
            IF(OR(
                AND(R3385="Marine Protected", VLOOKUP(O3385, Reference!$A$2:$D$34, 4, FALSE) &lt;= P3385),
                AND(R3385="General Use", VLOOKUP(O3385, Reference!$A$2:$D$34, 3, FALSE) &lt;= P3385)
            ),
                "Exceeded",
                "OK"
            ),
            "No Regulation defined"
        )
    ),
    ""
)</f>
        <v/>
      </c>
      <c r="AB3385" s="62" t="str">
        <f t="shared" si="52"/>
        <v/>
      </c>
    </row>
    <row r="3386" spans="20:28" x14ac:dyDescent="0.2">
      <c r="T3386" s="60" t="str">
        <f>IF(P3386&lt;&gt;"",
    IF(OR(O3386="", Q3386="", R3386=""),
        "Fill all the required columns",
        IFERROR(
            IF(OR(
                AND(R3386="Marine Protected", VLOOKUP(O3386, Reference!$A$2:$D$34, 4, FALSE) &lt;= P3386),
                AND(R3386="General Use", VLOOKUP(O3386, Reference!$A$2:$D$34, 3, FALSE) &lt;= P3386)
            ),
                "Exceeded",
                "OK"
            ),
            "No Regulation defined"
        )
    ),
    ""
)</f>
        <v/>
      </c>
      <c r="AB3386" s="62" t="str">
        <f t="shared" si="52"/>
        <v/>
      </c>
    </row>
    <row r="3387" spans="20:28" x14ac:dyDescent="0.2">
      <c r="T3387" s="60" t="str">
        <f>IF(P3387&lt;&gt;"",
    IF(OR(O3387="", Q3387="", R3387=""),
        "Fill all the required columns",
        IFERROR(
            IF(OR(
                AND(R3387="Marine Protected", VLOOKUP(O3387, Reference!$A$2:$D$34, 4, FALSE) &lt;= P3387),
                AND(R3387="General Use", VLOOKUP(O3387, Reference!$A$2:$D$34, 3, FALSE) &lt;= P3387)
            ),
                "Exceeded",
                "OK"
            ),
            "No Regulation defined"
        )
    ),
    ""
)</f>
        <v/>
      </c>
      <c r="AB3387" s="62" t="str">
        <f t="shared" si="52"/>
        <v/>
      </c>
    </row>
    <row r="3388" spans="20:28" x14ac:dyDescent="0.2">
      <c r="T3388" s="60" t="str">
        <f>IF(P3388&lt;&gt;"",
    IF(OR(O3388="", Q3388="", R3388=""),
        "Fill all the required columns",
        IFERROR(
            IF(OR(
                AND(R3388="Marine Protected", VLOOKUP(O3388, Reference!$A$2:$D$34, 4, FALSE) &lt;= P3388),
                AND(R3388="General Use", VLOOKUP(O3388, Reference!$A$2:$D$34, 3, FALSE) &lt;= P3388)
            ),
                "Exceeded",
                "OK"
            ),
            "No Regulation defined"
        )
    ),
    ""
)</f>
        <v/>
      </c>
      <c r="AB3388" s="62" t="str">
        <f t="shared" si="52"/>
        <v/>
      </c>
    </row>
    <row r="3389" spans="20:28" x14ac:dyDescent="0.2">
      <c r="T3389" s="60" t="str">
        <f>IF(P3389&lt;&gt;"",
    IF(OR(O3389="", Q3389="", R3389=""),
        "Fill all the required columns",
        IFERROR(
            IF(OR(
                AND(R3389="Marine Protected", VLOOKUP(O3389, Reference!$A$2:$D$34, 4, FALSE) &lt;= P3389),
                AND(R3389="General Use", VLOOKUP(O3389, Reference!$A$2:$D$34, 3, FALSE) &lt;= P3389)
            ),
                "Exceeded",
                "OK"
            ),
            "No Regulation defined"
        )
    ),
    ""
)</f>
        <v/>
      </c>
      <c r="AB3389" s="62" t="str">
        <f t="shared" si="52"/>
        <v/>
      </c>
    </row>
    <row r="3390" spans="20:28" x14ac:dyDescent="0.2">
      <c r="T3390" s="60" t="str">
        <f>IF(P3390&lt;&gt;"",
    IF(OR(O3390="", Q3390="", R3390=""),
        "Fill all the required columns",
        IFERROR(
            IF(OR(
                AND(R3390="Marine Protected", VLOOKUP(O3390, Reference!$A$2:$D$34, 4, FALSE) &lt;= P3390),
                AND(R3390="General Use", VLOOKUP(O3390, Reference!$A$2:$D$34, 3, FALSE) &lt;= P3390)
            ),
                "Exceeded",
                "OK"
            ),
            "No Regulation defined"
        )
    ),
    ""
)</f>
        <v/>
      </c>
      <c r="AB3390" s="62" t="str">
        <f t="shared" si="52"/>
        <v/>
      </c>
    </row>
    <row r="3391" spans="20:28" x14ac:dyDescent="0.2">
      <c r="T3391" s="60" t="str">
        <f>IF(P3391&lt;&gt;"",
    IF(OR(O3391="", Q3391="", R3391=""),
        "Fill all the required columns",
        IFERROR(
            IF(OR(
                AND(R3391="Marine Protected", VLOOKUP(O3391, Reference!$A$2:$D$34, 4, FALSE) &lt;= P3391),
                AND(R3391="General Use", VLOOKUP(O3391, Reference!$A$2:$D$34, 3, FALSE) &lt;= P3391)
            ),
                "Exceeded",
                "OK"
            ),
            "No Regulation defined"
        )
    ),
    ""
)</f>
        <v/>
      </c>
      <c r="AB3391" s="62" t="str">
        <f t="shared" si="52"/>
        <v/>
      </c>
    </row>
    <row r="3392" spans="20:28" x14ac:dyDescent="0.2">
      <c r="T3392" s="60" t="str">
        <f>IF(P3392&lt;&gt;"",
    IF(OR(O3392="", Q3392="", R3392=""),
        "Fill all the required columns",
        IFERROR(
            IF(OR(
                AND(R3392="Marine Protected", VLOOKUP(O3392, Reference!$A$2:$D$34, 4, FALSE) &lt;= P3392),
                AND(R3392="General Use", VLOOKUP(O3392, Reference!$A$2:$D$34, 3, FALSE) &lt;= P3392)
            ),
                "Exceeded",
                "OK"
            ),
            "No Regulation defined"
        )
    ),
    ""
)</f>
        <v/>
      </c>
      <c r="AB3392" s="62" t="str">
        <f t="shared" si="52"/>
        <v/>
      </c>
    </row>
    <row r="3393" spans="20:28" x14ac:dyDescent="0.2">
      <c r="T3393" s="60" t="str">
        <f>IF(P3393&lt;&gt;"",
    IF(OR(O3393="", Q3393="", R3393=""),
        "Fill all the required columns",
        IFERROR(
            IF(OR(
                AND(R3393="Marine Protected", VLOOKUP(O3393, Reference!$A$2:$D$34, 4, FALSE) &lt;= P3393),
                AND(R3393="General Use", VLOOKUP(O3393, Reference!$A$2:$D$34, 3, FALSE) &lt;= P3393)
            ),
                "Exceeded",
                "OK"
            ),
            "No Regulation defined"
        )
    ),
    ""
)</f>
        <v/>
      </c>
      <c r="AB3393" s="62" t="str">
        <f t="shared" si="52"/>
        <v/>
      </c>
    </row>
    <row r="3394" spans="20:28" x14ac:dyDescent="0.2">
      <c r="T3394" s="60" t="str">
        <f>IF(P3394&lt;&gt;"",
    IF(OR(O3394="", Q3394="", R3394=""),
        "Fill all the required columns",
        IFERROR(
            IF(OR(
                AND(R3394="Marine Protected", VLOOKUP(O3394, Reference!$A$2:$D$34, 4, FALSE) &lt;= P3394),
                AND(R3394="General Use", VLOOKUP(O3394, Reference!$A$2:$D$34, 3, FALSE) &lt;= P3394)
            ),
                "Exceeded",
                "OK"
            ),
            "No Regulation defined"
        )
    ),
    ""
)</f>
        <v/>
      </c>
      <c r="AB3394" s="62" t="str">
        <f t="shared" si="52"/>
        <v/>
      </c>
    </row>
    <row r="3395" spans="20:28" x14ac:dyDescent="0.2">
      <c r="T3395" s="60" t="str">
        <f>IF(P3395&lt;&gt;"",
    IF(OR(O3395="", Q3395="", R3395=""),
        "Fill all the required columns",
        IFERROR(
            IF(OR(
                AND(R3395="Marine Protected", VLOOKUP(O3395, Reference!$A$2:$D$34, 4, FALSE) &lt;= P3395),
                AND(R3395="General Use", VLOOKUP(O3395, Reference!$A$2:$D$34, 3, FALSE) &lt;= P3395)
            ),
                "Exceeded",
                "OK"
            ),
            "No Regulation defined"
        )
    ),
    ""
)</f>
        <v/>
      </c>
      <c r="AB3395" s="62" t="str">
        <f t="shared" ref="AB3395:AB3458" si="53">IF(COUNTA(A3395, E3395, F3395, H3395, I3395, O3395, P3395, Q3395, R3395,S3395) = 0, "", IF(COUNTA(A3395, E3395, F3395, H3395, I3395, O3395, P3395, Q3395, R3395,S3395) = 10, "OK", "Incomplete"))</f>
        <v/>
      </c>
    </row>
    <row r="3396" spans="20:28" x14ac:dyDescent="0.2">
      <c r="T3396" s="60" t="str">
        <f>IF(P3396&lt;&gt;"",
    IF(OR(O3396="", Q3396="", R3396=""),
        "Fill all the required columns",
        IFERROR(
            IF(OR(
                AND(R3396="Marine Protected", VLOOKUP(O3396, Reference!$A$2:$D$34, 4, FALSE) &lt;= P3396),
                AND(R3396="General Use", VLOOKUP(O3396, Reference!$A$2:$D$34, 3, FALSE) &lt;= P3396)
            ),
                "Exceeded",
                "OK"
            ),
            "No Regulation defined"
        )
    ),
    ""
)</f>
        <v/>
      </c>
      <c r="AB3396" s="62" t="str">
        <f t="shared" si="53"/>
        <v/>
      </c>
    </row>
    <row r="3397" spans="20:28" x14ac:dyDescent="0.2">
      <c r="T3397" s="60" t="str">
        <f>IF(P3397&lt;&gt;"",
    IF(OR(O3397="", Q3397="", R3397=""),
        "Fill all the required columns",
        IFERROR(
            IF(OR(
                AND(R3397="Marine Protected", VLOOKUP(O3397, Reference!$A$2:$D$34, 4, FALSE) &lt;= P3397),
                AND(R3397="General Use", VLOOKUP(O3397, Reference!$A$2:$D$34, 3, FALSE) &lt;= P3397)
            ),
                "Exceeded",
                "OK"
            ),
            "No Regulation defined"
        )
    ),
    ""
)</f>
        <v/>
      </c>
      <c r="AB3397" s="62" t="str">
        <f t="shared" si="53"/>
        <v/>
      </c>
    </row>
    <row r="3398" spans="20:28" x14ac:dyDescent="0.2">
      <c r="T3398" s="60" t="str">
        <f>IF(P3398&lt;&gt;"",
    IF(OR(O3398="", Q3398="", R3398=""),
        "Fill all the required columns",
        IFERROR(
            IF(OR(
                AND(R3398="Marine Protected", VLOOKUP(O3398, Reference!$A$2:$D$34, 4, FALSE) &lt;= P3398),
                AND(R3398="General Use", VLOOKUP(O3398, Reference!$A$2:$D$34, 3, FALSE) &lt;= P3398)
            ),
                "Exceeded",
                "OK"
            ),
            "No Regulation defined"
        )
    ),
    ""
)</f>
        <v/>
      </c>
      <c r="AB3398" s="62" t="str">
        <f t="shared" si="53"/>
        <v/>
      </c>
    </row>
    <row r="3399" spans="20:28" x14ac:dyDescent="0.2">
      <c r="T3399" s="60" t="str">
        <f>IF(P3399&lt;&gt;"",
    IF(OR(O3399="", Q3399="", R3399=""),
        "Fill all the required columns",
        IFERROR(
            IF(OR(
                AND(R3399="Marine Protected", VLOOKUP(O3399, Reference!$A$2:$D$34, 4, FALSE) &lt;= P3399),
                AND(R3399="General Use", VLOOKUP(O3399, Reference!$A$2:$D$34, 3, FALSE) &lt;= P3399)
            ),
                "Exceeded",
                "OK"
            ),
            "No Regulation defined"
        )
    ),
    ""
)</f>
        <v/>
      </c>
      <c r="AB3399" s="62" t="str">
        <f t="shared" si="53"/>
        <v/>
      </c>
    </row>
    <row r="3400" spans="20:28" x14ac:dyDescent="0.2">
      <c r="T3400" s="60" t="str">
        <f>IF(P3400&lt;&gt;"",
    IF(OR(O3400="", Q3400="", R3400=""),
        "Fill all the required columns",
        IFERROR(
            IF(OR(
                AND(R3400="Marine Protected", VLOOKUP(O3400, Reference!$A$2:$D$34, 4, FALSE) &lt;= P3400),
                AND(R3400="General Use", VLOOKUP(O3400, Reference!$A$2:$D$34, 3, FALSE) &lt;= P3400)
            ),
                "Exceeded",
                "OK"
            ),
            "No Regulation defined"
        )
    ),
    ""
)</f>
        <v/>
      </c>
      <c r="AB3400" s="62" t="str">
        <f t="shared" si="53"/>
        <v/>
      </c>
    </row>
    <row r="3401" spans="20:28" x14ac:dyDescent="0.2">
      <c r="T3401" s="60" t="str">
        <f>IF(P3401&lt;&gt;"",
    IF(OR(O3401="", Q3401="", R3401=""),
        "Fill all the required columns",
        IFERROR(
            IF(OR(
                AND(R3401="Marine Protected", VLOOKUP(O3401, Reference!$A$2:$D$34, 4, FALSE) &lt;= P3401),
                AND(R3401="General Use", VLOOKUP(O3401, Reference!$A$2:$D$34, 3, FALSE) &lt;= P3401)
            ),
                "Exceeded",
                "OK"
            ),
            "No Regulation defined"
        )
    ),
    ""
)</f>
        <v/>
      </c>
      <c r="AB3401" s="62" t="str">
        <f t="shared" si="53"/>
        <v/>
      </c>
    </row>
    <row r="3402" spans="20:28" x14ac:dyDescent="0.2">
      <c r="T3402" s="60" t="str">
        <f>IF(P3402&lt;&gt;"",
    IF(OR(O3402="", Q3402="", R3402=""),
        "Fill all the required columns",
        IFERROR(
            IF(OR(
                AND(R3402="Marine Protected", VLOOKUP(O3402, Reference!$A$2:$D$34, 4, FALSE) &lt;= P3402),
                AND(R3402="General Use", VLOOKUP(O3402, Reference!$A$2:$D$34, 3, FALSE) &lt;= P3402)
            ),
                "Exceeded",
                "OK"
            ),
            "No Regulation defined"
        )
    ),
    ""
)</f>
        <v/>
      </c>
      <c r="AB3402" s="62" t="str">
        <f t="shared" si="53"/>
        <v/>
      </c>
    </row>
    <row r="3403" spans="20:28" x14ac:dyDescent="0.2">
      <c r="T3403" s="60" t="str">
        <f>IF(P3403&lt;&gt;"",
    IF(OR(O3403="", Q3403="", R3403=""),
        "Fill all the required columns",
        IFERROR(
            IF(OR(
                AND(R3403="Marine Protected", VLOOKUP(O3403, Reference!$A$2:$D$34, 4, FALSE) &lt;= P3403),
                AND(R3403="General Use", VLOOKUP(O3403, Reference!$A$2:$D$34, 3, FALSE) &lt;= P3403)
            ),
                "Exceeded",
                "OK"
            ),
            "No Regulation defined"
        )
    ),
    ""
)</f>
        <v/>
      </c>
      <c r="AB3403" s="62" t="str">
        <f t="shared" si="53"/>
        <v/>
      </c>
    </row>
    <row r="3404" spans="20:28" x14ac:dyDescent="0.2">
      <c r="T3404" s="60" t="str">
        <f>IF(P3404&lt;&gt;"",
    IF(OR(O3404="", Q3404="", R3404=""),
        "Fill all the required columns",
        IFERROR(
            IF(OR(
                AND(R3404="Marine Protected", VLOOKUP(O3404, Reference!$A$2:$D$34, 4, FALSE) &lt;= P3404),
                AND(R3404="General Use", VLOOKUP(O3404, Reference!$A$2:$D$34, 3, FALSE) &lt;= P3404)
            ),
                "Exceeded",
                "OK"
            ),
            "No Regulation defined"
        )
    ),
    ""
)</f>
        <v/>
      </c>
      <c r="AB3404" s="62" t="str">
        <f t="shared" si="53"/>
        <v/>
      </c>
    </row>
    <row r="3405" spans="20:28" x14ac:dyDescent="0.2">
      <c r="T3405" s="60" t="str">
        <f>IF(P3405&lt;&gt;"",
    IF(OR(O3405="", Q3405="", R3405=""),
        "Fill all the required columns",
        IFERROR(
            IF(OR(
                AND(R3405="Marine Protected", VLOOKUP(O3405, Reference!$A$2:$D$34, 4, FALSE) &lt;= P3405),
                AND(R3405="General Use", VLOOKUP(O3405, Reference!$A$2:$D$34, 3, FALSE) &lt;= P3405)
            ),
                "Exceeded",
                "OK"
            ),
            "No Regulation defined"
        )
    ),
    ""
)</f>
        <v/>
      </c>
      <c r="AB3405" s="62" t="str">
        <f t="shared" si="53"/>
        <v/>
      </c>
    </row>
    <row r="3406" spans="20:28" x14ac:dyDescent="0.2">
      <c r="T3406" s="60" t="str">
        <f>IF(P3406&lt;&gt;"",
    IF(OR(O3406="", Q3406="", R3406=""),
        "Fill all the required columns",
        IFERROR(
            IF(OR(
                AND(R3406="Marine Protected", VLOOKUP(O3406, Reference!$A$2:$D$34, 4, FALSE) &lt;= P3406),
                AND(R3406="General Use", VLOOKUP(O3406, Reference!$A$2:$D$34, 3, FALSE) &lt;= P3406)
            ),
                "Exceeded",
                "OK"
            ),
            "No Regulation defined"
        )
    ),
    ""
)</f>
        <v/>
      </c>
      <c r="AB3406" s="62" t="str">
        <f t="shared" si="53"/>
        <v/>
      </c>
    </row>
    <row r="3407" spans="20:28" x14ac:dyDescent="0.2">
      <c r="T3407" s="60" t="str">
        <f>IF(P3407&lt;&gt;"",
    IF(OR(O3407="", Q3407="", R3407=""),
        "Fill all the required columns",
        IFERROR(
            IF(OR(
                AND(R3407="Marine Protected", VLOOKUP(O3407, Reference!$A$2:$D$34, 4, FALSE) &lt;= P3407),
                AND(R3407="General Use", VLOOKUP(O3407, Reference!$A$2:$D$34, 3, FALSE) &lt;= P3407)
            ),
                "Exceeded",
                "OK"
            ),
            "No Regulation defined"
        )
    ),
    ""
)</f>
        <v/>
      </c>
      <c r="AB3407" s="62" t="str">
        <f t="shared" si="53"/>
        <v/>
      </c>
    </row>
    <row r="3408" spans="20:28" x14ac:dyDescent="0.2">
      <c r="T3408" s="60" t="str">
        <f>IF(P3408&lt;&gt;"",
    IF(OR(O3408="", Q3408="", R3408=""),
        "Fill all the required columns",
        IFERROR(
            IF(OR(
                AND(R3408="Marine Protected", VLOOKUP(O3408, Reference!$A$2:$D$34, 4, FALSE) &lt;= P3408),
                AND(R3408="General Use", VLOOKUP(O3408, Reference!$A$2:$D$34, 3, FALSE) &lt;= P3408)
            ),
                "Exceeded",
                "OK"
            ),
            "No Regulation defined"
        )
    ),
    ""
)</f>
        <v/>
      </c>
      <c r="AB3408" s="62" t="str">
        <f t="shared" si="53"/>
        <v/>
      </c>
    </row>
    <row r="3409" spans="20:28" x14ac:dyDescent="0.2">
      <c r="T3409" s="60" t="str">
        <f>IF(P3409&lt;&gt;"",
    IF(OR(O3409="", Q3409="", R3409=""),
        "Fill all the required columns",
        IFERROR(
            IF(OR(
                AND(R3409="Marine Protected", VLOOKUP(O3409, Reference!$A$2:$D$34, 4, FALSE) &lt;= P3409),
                AND(R3409="General Use", VLOOKUP(O3409, Reference!$A$2:$D$34, 3, FALSE) &lt;= P3409)
            ),
                "Exceeded",
                "OK"
            ),
            "No Regulation defined"
        )
    ),
    ""
)</f>
        <v/>
      </c>
      <c r="AB3409" s="62" t="str">
        <f t="shared" si="53"/>
        <v/>
      </c>
    </row>
    <row r="3410" spans="20:28" x14ac:dyDescent="0.2">
      <c r="T3410" s="60" t="str">
        <f>IF(P3410&lt;&gt;"",
    IF(OR(O3410="", Q3410="", R3410=""),
        "Fill all the required columns",
        IFERROR(
            IF(OR(
                AND(R3410="Marine Protected", VLOOKUP(O3410, Reference!$A$2:$D$34, 4, FALSE) &lt;= P3410),
                AND(R3410="General Use", VLOOKUP(O3410, Reference!$A$2:$D$34, 3, FALSE) &lt;= P3410)
            ),
                "Exceeded",
                "OK"
            ),
            "No Regulation defined"
        )
    ),
    ""
)</f>
        <v/>
      </c>
      <c r="AB3410" s="62" t="str">
        <f t="shared" si="53"/>
        <v/>
      </c>
    </row>
    <row r="3411" spans="20:28" x14ac:dyDescent="0.2">
      <c r="T3411" s="60" t="str">
        <f>IF(P3411&lt;&gt;"",
    IF(OR(O3411="", Q3411="", R3411=""),
        "Fill all the required columns",
        IFERROR(
            IF(OR(
                AND(R3411="Marine Protected", VLOOKUP(O3411, Reference!$A$2:$D$34, 4, FALSE) &lt;= P3411),
                AND(R3411="General Use", VLOOKUP(O3411, Reference!$A$2:$D$34, 3, FALSE) &lt;= P3411)
            ),
                "Exceeded",
                "OK"
            ),
            "No Regulation defined"
        )
    ),
    ""
)</f>
        <v/>
      </c>
      <c r="AB3411" s="62" t="str">
        <f t="shared" si="53"/>
        <v/>
      </c>
    </row>
    <row r="3412" spans="20:28" x14ac:dyDescent="0.2">
      <c r="T3412" s="60" t="str">
        <f>IF(P3412&lt;&gt;"",
    IF(OR(O3412="", Q3412="", R3412=""),
        "Fill all the required columns",
        IFERROR(
            IF(OR(
                AND(R3412="Marine Protected", VLOOKUP(O3412, Reference!$A$2:$D$34, 4, FALSE) &lt;= P3412),
                AND(R3412="General Use", VLOOKUP(O3412, Reference!$A$2:$D$34, 3, FALSE) &lt;= P3412)
            ),
                "Exceeded",
                "OK"
            ),
            "No Regulation defined"
        )
    ),
    ""
)</f>
        <v/>
      </c>
      <c r="AB3412" s="62" t="str">
        <f t="shared" si="53"/>
        <v/>
      </c>
    </row>
    <row r="3413" spans="20:28" x14ac:dyDescent="0.2">
      <c r="T3413" s="60" t="str">
        <f>IF(P3413&lt;&gt;"",
    IF(OR(O3413="", Q3413="", R3413=""),
        "Fill all the required columns",
        IFERROR(
            IF(OR(
                AND(R3413="Marine Protected", VLOOKUP(O3413, Reference!$A$2:$D$34, 4, FALSE) &lt;= P3413),
                AND(R3413="General Use", VLOOKUP(O3413, Reference!$A$2:$D$34, 3, FALSE) &lt;= P3413)
            ),
                "Exceeded",
                "OK"
            ),
            "No Regulation defined"
        )
    ),
    ""
)</f>
        <v/>
      </c>
      <c r="AB3413" s="62" t="str">
        <f t="shared" si="53"/>
        <v/>
      </c>
    </row>
    <row r="3414" spans="20:28" x14ac:dyDescent="0.2">
      <c r="T3414" s="60" t="str">
        <f>IF(P3414&lt;&gt;"",
    IF(OR(O3414="", Q3414="", R3414=""),
        "Fill all the required columns",
        IFERROR(
            IF(OR(
                AND(R3414="Marine Protected", VLOOKUP(O3414, Reference!$A$2:$D$34, 4, FALSE) &lt;= P3414),
                AND(R3414="General Use", VLOOKUP(O3414, Reference!$A$2:$D$34, 3, FALSE) &lt;= P3414)
            ),
                "Exceeded",
                "OK"
            ),
            "No Regulation defined"
        )
    ),
    ""
)</f>
        <v/>
      </c>
      <c r="AB3414" s="62" t="str">
        <f t="shared" si="53"/>
        <v/>
      </c>
    </row>
    <row r="3415" spans="20:28" x14ac:dyDescent="0.2">
      <c r="T3415" s="60" t="str">
        <f>IF(P3415&lt;&gt;"",
    IF(OR(O3415="", Q3415="", R3415=""),
        "Fill all the required columns",
        IFERROR(
            IF(OR(
                AND(R3415="Marine Protected", VLOOKUP(O3415, Reference!$A$2:$D$34, 4, FALSE) &lt;= P3415),
                AND(R3415="General Use", VLOOKUP(O3415, Reference!$A$2:$D$34, 3, FALSE) &lt;= P3415)
            ),
                "Exceeded",
                "OK"
            ),
            "No Regulation defined"
        )
    ),
    ""
)</f>
        <v/>
      </c>
      <c r="AB3415" s="62" t="str">
        <f t="shared" si="53"/>
        <v/>
      </c>
    </row>
    <row r="3416" spans="20:28" x14ac:dyDescent="0.2">
      <c r="T3416" s="60" t="str">
        <f>IF(P3416&lt;&gt;"",
    IF(OR(O3416="", Q3416="", R3416=""),
        "Fill all the required columns",
        IFERROR(
            IF(OR(
                AND(R3416="Marine Protected", VLOOKUP(O3416, Reference!$A$2:$D$34, 4, FALSE) &lt;= P3416),
                AND(R3416="General Use", VLOOKUP(O3416, Reference!$A$2:$D$34, 3, FALSE) &lt;= P3416)
            ),
                "Exceeded",
                "OK"
            ),
            "No Regulation defined"
        )
    ),
    ""
)</f>
        <v/>
      </c>
      <c r="AB3416" s="62" t="str">
        <f t="shared" si="53"/>
        <v/>
      </c>
    </row>
    <row r="3417" spans="20:28" x14ac:dyDescent="0.2">
      <c r="T3417" s="60" t="str">
        <f>IF(P3417&lt;&gt;"",
    IF(OR(O3417="", Q3417="", R3417=""),
        "Fill all the required columns",
        IFERROR(
            IF(OR(
                AND(R3417="Marine Protected", VLOOKUP(O3417, Reference!$A$2:$D$34, 4, FALSE) &lt;= P3417),
                AND(R3417="General Use", VLOOKUP(O3417, Reference!$A$2:$D$34, 3, FALSE) &lt;= P3417)
            ),
                "Exceeded",
                "OK"
            ),
            "No Regulation defined"
        )
    ),
    ""
)</f>
        <v/>
      </c>
      <c r="AB3417" s="62" t="str">
        <f t="shared" si="53"/>
        <v/>
      </c>
    </row>
    <row r="3418" spans="20:28" x14ac:dyDescent="0.2">
      <c r="T3418" s="60" t="str">
        <f>IF(P3418&lt;&gt;"",
    IF(OR(O3418="", Q3418="", R3418=""),
        "Fill all the required columns",
        IFERROR(
            IF(OR(
                AND(R3418="Marine Protected", VLOOKUP(O3418, Reference!$A$2:$D$34, 4, FALSE) &lt;= P3418),
                AND(R3418="General Use", VLOOKUP(O3418, Reference!$A$2:$D$34, 3, FALSE) &lt;= P3418)
            ),
                "Exceeded",
                "OK"
            ),
            "No Regulation defined"
        )
    ),
    ""
)</f>
        <v/>
      </c>
      <c r="AB3418" s="62" t="str">
        <f t="shared" si="53"/>
        <v/>
      </c>
    </row>
    <row r="3419" spans="20:28" x14ac:dyDescent="0.2">
      <c r="T3419" s="60" t="str">
        <f>IF(P3419&lt;&gt;"",
    IF(OR(O3419="", Q3419="", R3419=""),
        "Fill all the required columns",
        IFERROR(
            IF(OR(
                AND(R3419="Marine Protected", VLOOKUP(O3419, Reference!$A$2:$D$34, 4, FALSE) &lt;= P3419),
                AND(R3419="General Use", VLOOKUP(O3419, Reference!$A$2:$D$34, 3, FALSE) &lt;= P3419)
            ),
                "Exceeded",
                "OK"
            ),
            "No Regulation defined"
        )
    ),
    ""
)</f>
        <v/>
      </c>
      <c r="AB3419" s="62" t="str">
        <f t="shared" si="53"/>
        <v/>
      </c>
    </row>
    <row r="3420" spans="20:28" x14ac:dyDescent="0.2">
      <c r="T3420" s="60" t="str">
        <f>IF(P3420&lt;&gt;"",
    IF(OR(O3420="", Q3420="", R3420=""),
        "Fill all the required columns",
        IFERROR(
            IF(OR(
                AND(R3420="Marine Protected", VLOOKUP(O3420, Reference!$A$2:$D$34, 4, FALSE) &lt;= P3420),
                AND(R3420="General Use", VLOOKUP(O3420, Reference!$A$2:$D$34, 3, FALSE) &lt;= P3420)
            ),
                "Exceeded",
                "OK"
            ),
            "No Regulation defined"
        )
    ),
    ""
)</f>
        <v/>
      </c>
      <c r="AB3420" s="62" t="str">
        <f t="shared" si="53"/>
        <v/>
      </c>
    </row>
    <row r="3421" spans="20:28" x14ac:dyDescent="0.2">
      <c r="T3421" s="60" t="str">
        <f>IF(P3421&lt;&gt;"",
    IF(OR(O3421="", Q3421="", R3421=""),
        "Fill all the required columns",
        IFERROR(
            IF(OR(
                AND(R3421="Marine Protected", VLOOKUP(O3421, Reference!$A$2:$D$34, 4, FALSE) &lt;= P3421),
                AND(R3421="General Use", VLOOKUP(O3421, Reference!$A$2:$D$34, 3, FALSE) &lt;= P3421)
            ),
                "Exceeded",
                "OK"
            ),
            "No Regulation defined"
        )
    ),
    ""
)</f>
        <v/>
      </c>
      <c r="AB3421" s="62" t="str">
        <f t="shared" si="53"/>
        <v/>
      </c>
    </row>
    <row r="3422" spans="20:28" x14ac:dyDescent="0.2">
      <c r="T3422" s="60" t="str">
        <f>IF(P3422&lt;&gt;"",
    IF(OR(O3422="", Q3422="", R3422=""),
        "Fill all the required columns",
        IFERROR(
            IF(OR(
                AND(R3422="Marine Protected", VLOOKUP(O3422, Reference!$A$2:$D$34, 4, FALSE) &lt;= P3422),
                AND(R3422="General Use", VLOOKUP(O3422, Reference!$A$2:$D$34, 3, FALSE) &lt;= P3422)
            ),
                "Exceeded",
                "OK"
            ),
            "No Regulation defined"
        )
    ),
    ""
)</f>
        <v/>
      </c>
      <c r="AB3422" s="62" t="str">
        <f t="shared" si="53"/>
        <v/>
      </c>
    </row>
    <row r="3423" spans="20:28" x14ac:dyDescent="0.2">
      <c r="T3423" s="60" t="str">
        <f>IF(P3423&lt;&gt;"",
    IF(OR(O3423="", Q3423="", R3423=""),
        "Fill all the required columns",
        IFERROR(
            IF(OR(
                AND(R3423="Marine Protected", VLOOKUP(O3423, Reference!$A$2:$D$34, 4, FALSE) &lt;= P3423),
                AND(R3423="General Use", VLOOKUP(O3423, Reference!$A$2:$D$34, 3, FALSE) &lt;= P3423)
            ),
                "Exceeded",
                "OK"
            ),
            "No Regulation defined"
        )
    ),
    ""
)</f>
        <v/>
      </c>
      <c r="AB3423" s="62" t="str">
        <f t="shared" si="53"/>
        <v/>
      </c>
    </row>
    <row r="3424" spans="20:28" x14ac:dyDescent="0.2">
      <c r="T3424" s="60" t="str">
        <f>IF(P3424&lt;&gt;"",
    IF(OR(O3424="", Q3424="", R3424=""),
        "Fill all the required columns",
        IFERROR(
            IF(OR(
                AND(R3424="Marine Protected", VLOOKUP(O3424, Reference!$A$2:$D$34, 4, FALSE) &lt;= P3424),
                AND(R3424="General Use", VLOOKUP(O3424, Reference!$A$2:$D$34, 3, FALSE) &lt;= P3424)
            ),
                "Exceeded",
                "OK"
            ),
            "No Regulation defined"
        )
    ),
    ""
)</f>
        <v/>
      </c>
      <c r="AB3424" s="62" t="str">
        <f t="shared" si="53"/>
        <v/>
      </c>
    </row>
    <row r="3425" spans="20:28" x14ac:dyDescent="0.2">
      <c r="T3425" s="60" t="str">
        <f>IF(P3425&lt;&gt;"",
    IF(OR(O3425="", Q3425="", R3425=""),
        "Fill all the required columns",
        IFERROR(
            IF(OR(
                AND(R3425="Marine Protected", VLOOKUP(O3425, Reference!$A$2:$D$34, 4, FALSE) &lt;= P3425),
                AND(R3425="General Use", VLOOKUP(O3425, Reference!$A$2:$D$34, 3, FALSE) &lt;= P3425)
            ),
                "Exceeded",
                "OK"
            ),
            "No Regulation defined"
        )
    ),
    ""
)</f>
        <v/>
      </c>
      <c r="AB3425" s="62" t="str">
        <f t="shared" si="53"/>
        <v/>
      </c>
    </row>
    <row r="3426" spans="20:28" x14ac:dyDescent="0.2">
      <c r="T3426" s="60" t="str">
        <f>IF(P3426&lt;&gt;"",
    IF(OR(O3426="", Q3426="", R3426=""),
        "Fill all the required columns",
        IFERROR(
            IF(OR(
                AND(R3426="Marine Protected", VLOOKUP(O3426, Reference!$A$2:$D$34, 4, FALSE) &lt;= P3426),
                AND(R3426="General Use", VLOOKUP(O3426, Reference!$A$2:$D$34, 3, FALSE) &lt;= P3426)
            ),
                "Exceeded",
                "OK"
            ),
            "No Regulation defined"
        )
    ),
    ""
)</f>
        <v/>
      </c>
      <c r="AB3426" s="62" t="str">
        <f t="shared" si="53"/>
        <v/>
      </c>
    </row>
    <row r="3427" spans="20:28" x14ac:dyDescent="0.2">
      <c r="T3427" s="60" t="str">
        <f>IF(P3427&lt;&gt;"",
    IF(OR(O3427="", Q3427="", R3427=""),
        "Fill all the required columns",
        IFERROR(
            IF(OR(
                AND(R3427="Marine Protected", VLOOKUP(O3427, Reference!$A$2:$D$34, 4, FALSE) &lt;= P3427),
                AND(R3427="General Use", VLOOKUP(O3427, Reference!$A$2:$D$34, 3, FALSE) &lt;= P3427)
            ),
                "Exceeded",
                "OK"
            ),
            "No Regulation defined"
        )
    ),
    ""
)</f>
        <v/>
      </c>
      <c r="AB3427" s="62" t="str">
        <f t="shared" si="53"/>
        <v/>
      </c>
    </row>
    <row r="3428" spans="20:28" x14ac:dyDescent="0.2">
      <c r="T3428" s="60" t="str">
        <f>IF(P3428&lt;&gt;"",
    IF(OR(O3428="", Q3428="", R3428=""),
        "Fill all the required columns",
        IFERROR(
            IF(OR(
                AND(R3428="Marine Protected", VLOOKUP(O3428, Reference!$A$2:$D$34, 4, FALSE) &lt;= P3428),
                AND(R3428="General Use", VLOOKUP(O3428, Reference!$A$2:$D$34, 3, FALSE) &lt;= P3428)
            ),
                "Exceeded",
                "OK"
            ),
            "No Regulation defined"
        )
    ),
    ""
)</f>
        <v/>
      </c>
      <c r="AB3428" s="62" t="str">
        <f t="shared" si="53"/>
        <v/>
      </c>
    </row>
    <row r="3429" spans="20:28" x14ac:dyDescent="0.2">
      <c r="T3429" s="60" t="str">
        <f>IF(P3429&lt;&gt;"",
    IF(OR(O3429="", Q3429="", R3429=""),
        "Fill all the required columns",
        IFERROR(
            IF(OR(
                AND(R3429="Marine Protected", VLOOKUP(O3429, Reference!$A$2:$D$34, 4, FALSE) &lt;= P3429),
                AND(R3429="General Use", VLOOKUP(O3429, Reference!$A$2:$D$34, 3, FALSE) &lt;= P3429)
            ),
                "Exceeded",
                "OK"
            ),
            "No Regulation defined"
        )
    ),
    ""
)</f>
        <v/>
      </c>
      <c r="AB3429" s="62" t="str">
        <f t="shared" si="53"/>
        <v/>
      </c>
    </row>
    <row r="3430" spans="20:28" x14ac:dyDescent="0.2">
      <c r="T3430" s="60" t="str">
        <f>IF(P3430&lt;&gt;"",
    IF(OR(O3430="", Q3430="", R3430=""),
        "Fill all the required columns",
        IFERROR(
            IF(OR(
                AND(R3430="Marine Protected", VLOOKUP(O3430, Reference!$A$2:$D$34, 4, FALSE) &lt;= P3430),
                AND(R3430="General Use", VLOOKUP(O3430, Reference!$A$2:$D$34, 3, FALSE) &lt;= P3430)
            ),
                "Exceeded",
                "OK"
            ),
            "No Regulation defined"
        )
    ),
    ""
)</f>
        <v/>
      </c>
      <c r="AB3430" s="62" t="str">
        <f t="shared" si="53"/>
        <v/>
      </c>
    </row>
    <row r="3431" spans="20:28" x14ac:dyDescent="0.2">
      <c r="T3431" s="60" t="str">
        <f>IF(P3431&lt;&gt;"",
    IF(OR(O3431="", Q3431="", R3431=""),
        "Fill all the required columns",
        IFERROR(
            IF(OR(
                AND(R3431="Marine Protected", VLOOKUP(O3431, Reference!$A$2:$D$34, 4, FALSE) &lt;= P3431),
                AND(R3431="General Use", VLOOKUP(O3431, Reference!$A$2:$D$34, 3, FALSE) &lt;= P3431)
            ),
                "Exceeded",
                "OK"
            ),
            "No Regulation defined"
        )
    ),
    ""
)</f>
        <v/>
      </c>
      <c r="AB3431" s="62" t="str">
        <f t="shared" si="53"/>
        <v/>
      </c>
    </row>
    <row r="3432" spans="20:28" x14ac:dyDescent="0.2">
      <c r="T3432" s="60" t="str">
        <f>IF(P3432&lt;&gt;"",
    IF(OR(O3432="", Q3432="", R3432=""),
        "Fill all the required columns",
        IFERROR(
            IF(OR(
                AND(R3432="Marine Protected", VLOOKUP(O3432, Reference!$A$2:$D$34, 4, FALSE) &lt;= P3432),
                AND(R3432="General Use", VLOOKUP(O3432, Reference!$A$2:$D$34, 3, FALSE) &lt;= P3432)
            ),
                "Exceeded",
                "OK"
            ),
            "No Regulation defined"
        )
    ),
    ""
)</f>
        <v/>
      </c>
      <c r="AB3432" s="62" t="str">
        <f t="shared" si="53"/>
        <v/>
      </c>
    </row>
    <row r="3433" spans="20:28" x14ac:dyDescent="0.2">
      <c r="T3433" s="60" t="str">
        <f>IF(P3433&lt;&gt;"",
    IF(OR(O3433="", Q3433="", R3433=""),
        "Fill all the required columns",
        IFERROR(
            IF(OR(
                AND(R3433="Marine Protected", VLOOKUP(O3433, Reference!$A$2:$D$34, 4, FALSE) &lt;= P3433),
                AND(R3433="General Use", VLOOKUP(O3433, Reference!$A$2:$D$34, 3, FALSE) &lt;= P3433)
            ),
                "Exceeded",
                "OK"
            ),
            "No Regulation defined"
        )
    ),
    ""
)</f>
        <v/>
      </c>
      <c r="AB3433" s="62" t="str">
        <f t="shared" si="53"/>
        <v/>
      </c>
    </row>
    <row r="3434" spans="20:28" x14ac:dyDescent="0.2">
      <c r="T3434" s="60" t="str">
        <f>IF(P3434&lt;&gt;"",
    IF(OR(O3434="", Q3434="", R3434=""),
        "Fill all the required columns",
        IFERROR(
            IF(OR(
                AND(R3434="Marine Protected", VLOOKUP(O3434, Reference!$A$2:$D$34, 4, FALSE) &lt;= P3434),
                AND(R3434="General Use", VLOOKUP(O3434, Reference!$A$2:$D$34, 3, FALSE) &lt;= P3434)
            ),
                "Exceeded",
                "OK"
            ),
            "No Regulation defined"
        )
    ),
    ""
)</f>
        <v/>
      </c>
      <c r="AB3434" s="62" t="str">
        <f t="shared" si="53"/>
        <v/>
      </c>
    </row>
    <row r="3435" spans="20:28" x14ac:dyDescent="0.2">
      <c r="T3435" s="60" t="str">
        <f>IF(P3435&lt;&gt;"",
    IF(OR(O3435="", Q3435="", R3435=""),
        "Fill all the required columns",
        IFERROR(
            IF(OR(
                AND(R3435="Marine Protected", VLOOKUP(O3435, Reference!$A$2:$D$34, 4, FALSE) &lt;= P3435),
                AND(R3435="General Use", VLOOKUP(O3435, Reference!$A$2:$D$34, 3, FALSE) &lt;= P3435)
            ),
                "Exceeded",
                "OK"
            ),
            "No Regulation defined"
        )
    ),
    ""
)</f>
        <v/>
      </c>
      <c r="AB3435" s="62" t="str">
        <f t="shared" si="53"/>
        <v/>
      </c>
    </row>
    <row r="3436" spans="20:28" x14ac:dyDescent="0.2">
      <c r="T3436" s="60" t="str">
        <f>IF(P3436&lt;&gt;"",
    IF(OR(O3436="", Q3436="", R3436=""),
        "Fill all the required columns",
        IFERROR(
            IF(OR(
                AND(R3436="Marine Protected", VLOOKUP(O3436, Reference!$A$2:$D$34, 4, FALSE) &lt;= P3436),
                AND(R3436="General Use", VLOOKUP(O3436, Reference!$A$2:$D$34, 3, FALSE) &lt;= P3436)
            ),
                "Exceeded",
                "OK"
            ),
            "No Regulation defined"
        )
    ),
    ""
)</f>
        <v/>
      </c>
      <c r="AB3436" s="62" t="str">
        <f t="shared" si="53"/>
        <v/>
      </c>
    </row>
    <row r="3437" spans="20:28" x14ac:dyDescent="0.2">
      <c r="T3437" s="60" t="str">
        <f>IF(P3437&lt;&gt;"",
    IF(OR(O3437="", Q3437="", R3437=""),
        "Fill all the required columns",
        IFERROR(
            IF(OR(
                AND(R3437="Marine Protected", VLOOKUP(O3437, Reference!$A$2:$D$34, 4, FALSE) &lt;= P3437),
                AND(R3437="General Use", VLOOKUP(O3437, Reference!$A$2:$D$34, 3, FALSE) &lt;= P3437)
            ),
                "Exceeded",
                "OK"
            ),
            "No Regulation defined"
        )
    ),
    ""
)</f>
        <v/>
      </c>
      <c r="AB3437" s="62" t="str">
        <f t="shared" si="53"/>
        <v/>
      </c>
    </row>
    <row r="3438" spans="20:28" x14ac:dyDescent="0.2">
      <c r="T3438" s="60" t="str">
        <f>IF(P3438&lt;&gt;"",
    IF(OR(O3438="", Q3438="", R3438=""),
        "Fill all the required columns",
        IFERROR(
            IF(OR(
                AND(R3438="Marine Protected", VLOOKUP(O3438, Reference!$A$2:$D$34, 4, FALSE) &lt;= P3438),
                AND(R3438="General Use", VLOOKUP(O3438, Reference!$A$2:$D$34, 3, FALSE) &lt;= P3438)
            ),
                "Exceeded",
                "OK"
            ),
            "No Regulation defined"
        )
    ),
    ""
)</f>
        <v/>
      </c>
      <c r="AB3438" s="62" t="str">
        <f t="shared" si="53"/>
        <v/>
      </c>
    </row>
    <row r="3439" spans="20:28" x14ac:dyDescent="0.2">
      <c r="T3439" s="60" t="str">
        <f>IF(P3439&lt;&gt;"",
    IF(OR(O3439="", Q3439="", R3439=""),
        "Fill all the required columns",
        IFERROR(
            IF(OR(
                AND(R3439="Marine Protected", VLOOKUP(O3439, Reference!$A$2:$D$34, 4, FALSE) &lt;= P3439),
                AND(R3439="General Use", VLOOKUP(O3439, Reference!$A$2:$D$34, 3, FALSE) &lt;= P3439)
            ),
                "Exceeded",
                "OK"
            ),
            "No Regulation defined"
        )
    ),
    ""
)</f>
        <v/>
      </c>
      <c r="AB3439" s="62" t="str">
        <f t="shared" si="53"/>
        <v/>
      </c>
    </row>
    <row r="3440" spans="20:28" x14ac:dyDescent="0.2">
      <c r="T3440" s="60" t="str">
        <f>IF(P3440&lt;&gt;"",
    IF(OR(O3440="", Q3440="", R3440=""),
        "Fill all the required columns",
        IFERROR(
            IF(OR(
                AND(R3440="Marine Protected", VLOOKUP(O3440, Reference!$A$2:$D$34, 4, FALSE) &lt;= P3440),
                AND(R3440="General Use", VLOOKUP(O3440, Reference!$A$2:$D$34, 3, FALSE) &lt;= P3440)
            ),
                "Exceeded",
                "OK"
            ),
            "No Regulation defined"
        )
    ),
    ""
)</f>
        <v/>
      </c>
      <c r="AB3440" s="62" t="str">
        <f t="shared" si="53"/>
        <v/>
      </c>
    </row>
    <row r="3441" spans="20:28" x14ac:dyDescent="0.2">
      <c r="T3441" s="60" t="str">
        <f>IF(P3441&lt;&gt;"",
    IF(OR(O3441="", Q3441="", R3441=""),
        "Fill all the required columns",
        IFERROR(
            IF(OR(
                AND(R3441="Marine Protected", VLOOKUP(O3441, Reference!$A$2:$D$34, 4, FALSE) &lt;= P3441),
                AND(R3441="General Use", VLOOKUP(O3441, Reference!$A$2:$D$34, 3, FALSE) &lt;= P3441)
            ),
                "Exceeded",
                "OK"
            ),
            "No Regulation defined"
        )
    ),
    ""
)</f>
        <v/>
      </c>
      <c r="AB3441" s="62" t="str">
        <f t="shared" si="53"/>
        <v/>
      </c>
    </row>
    <row r="3442" spans="20:28" x14ac:dyDescent="0.2">
      <c r="T3442" s="60" t="str">
        <f>IF(P3442&lt;&gt;"",
    IF(OR(O3442="", Q3442="", R3442=""),
        "Fill all the required columns",
        IFERROR(
            IF(OR(
                AND(R3442="Marine Protected", VLOOKUP(O3442, Reference!$A$2:$D$34, 4, FALSE) &lt;= P3442),
                AND(R3442="General Use", VLOOKUP(O3442, Reference!$A$2:$D$34, 3, FALSE) &lt;= P3442)
            ),
                "Exceeded",
                "OK"
            ),
            "No Regulation defined"
        )
    ),
    ""
)</f>
        <v/>
      </c>
      <c r="AB3442" s="62" t="str">
        <f t="shared" si="53"/>
        <v/>
      </c>
    </row>
    <row r="3443" spans="20:28" x14ac:dyDescent="0.2">
      <c r="T3443" s="60" t="str">
        <f>IF(P3443&lt;&gt;"",
    IF(OR(O3443="", Q3443="", R3443=""),
        "Fill all the required columns",
        IFERROR(
            IF(OR(
                AND(R3443="Marine Protected", VLOOKUP(O3443, Reference!$A$2:$D$34, 4, FALSE) &lt;= P3443),
                AND(R3443="General Use", VLOOKUP(O3443, Reference!$A$2:$D$34, 3, FALSE) &lt;= P3443)
            ),
                "Exceeded",
                "OK"
            ),
            "No Regulation defined"
        )
    ),
    ""
)</f>
        <v/>
      </c>
      <c r="AB3443" s="62" t="str">
        <f t="shared" si="53"/>
        <v/>
      </c>
    </row>
    <row r="3444" spans="20:28" x14ac:dyDescent="0.2">
      <c r="T3444" s="60" t="str">
        <f>IF(P3444&lt;&gt;"",
    IF(OR(O3444="", Q3444="", R3444=""),
        "Fill all the required columns",
        IFERROR(
            IF(OR(
                AND(R3444="Marine Protected", VLOOKUP(O3444, Reference!$A$2:$D$34, 4, FALSE) &lt;= P3444),
                AND(R3444="General Use", VLOOKUP(O3444, Reference!$A$2:$D$34, 3, FALSE) &lt;= P3444)
            ),
                "Exceeded",
                "OK"
            ),
            "No Regulation defined"
        )
    ),
    ""
)</f>
        <v/>
      </c>
      <c r="AB3444" s="62" t="str">
        <f t="shared" si="53"/>
        <v/>
      </c>
    </row>
    <row r="3445" spans="20:28" x14ac:dyDescent="0.2">
      <c r="T3445" s="60" t="str">
        <f>IF(P3445&lt;&gt;"",
    IF(OR(O3445="", Q3445="", R3445=""),
        "Fill all the required columns",
        IFERROR(
            IF(OR(
                AND(R3445="Marine Protected", VLOOKUP(O3445, Reference!$A$2:$D$34, 4, FALSE) &lt;= P3445),
                AND(R3445="General Use", VLOOKUP(O3445, Reference!$A$2:$D$34, 3, FALSE) &lt;= P3445)
            ),
                "Exceeded",
                "OK"
            ),
            "No Regulation defined"
        )
    ),
    ""
)</f>
        <v/>
      </c>
      <c r="AB3445" s="62" t="str">
        <f t="shared" si="53"/>
        <v/>
      </c>
    </row>
    <row r="3446" spans="20:28" x14ac:dyDescent="0.2">
      <c r="T3446" s="60" t="str">
        <f>IF(P3446&lt;&gt;"",
    IF(OR(O3446="", Q3446="", R3446=""),
        "Fill all the required columns",
        IFERROR(
            IF(OR(
                AND(R3446="Marine Protected", VLOOKUP(O3446, Reference!$A$2:$D$34, 4, FALSE) &lt;= P3446),
                AND(R3446="General Use", VLOOKUP(O3446, Reference!$A$2:$D$34, 3, FALSE) &lt;= P3446)
            ),
                "Exceeded",
                "OK"
            ),
            "No Regulation defined"
        )
    ),
    ""
)</f>
        <v/>
      </c>
      <c r="AB3446" s="62" t="str">
        <f t="shared" si="53"/>
        <v/>
      </c>
    </row>
    <row r="3447" spans="20:28" x14ac:dyDescent="0.2">
      <c r="T3447" s="60" t="str">
        <f>IF(P3447&lt;&gt;"",
    IF(OR(O3447="", Q3447="", R3447=""),
        "Fill all the required columns",
        IFERROR(
            IF(OR(
                AND(R3447="Marine Protected", VLOOKUP(O3447, Reference!$A$2:$D$34, 4, FALSE) &lt;= P3447),
                AND(R3447="General Use", VLOOKUP(O3447, Reference!$A$2:$D$34, 3, FALSE) &lt;= P3447)
            ),
                "Exceeded",
                "OK"
            ),
            "No Regulation defined"
        )
    ),
    ""
)</f>
        <v/>
      </c>
      <c r="AB3447" s="62" t="str">
        <f t="shared" si="53"/>
        <v/>
      </c>
    </row>
    <row r="3448" spans="20:28" x14ac:dyDescent="0.2">
      <c r="T3448" s="60" t="str">
        <f>IF(P3448&lt;&gt;"",
    IF(OR(O3448="", Q3448="", R3448=""),
        "Fill all the required columns",
        IFERROR(
            IF(OR(
                AND(R3448="Marine Protected", VLOOKUP(O3448, Reference!$A$2:$D$34, 4, FALSE) &lt;= P3448),
                AND(R3448="General Use", VLOOKUP(O3448, Reference!$A$2:$D$34, 3, FALSE) &lt;= P3448)
            ),
                "Exceeded",
                "OK"
            ),
            "No Regulation defined"
        )
    ),
    ""
)</f>
        <v/>
      </c>
      <c r="AB3448" s="62" t="str">
        <f t="shared" si="53"/>
        <v/>
      </c>
    </row>
    <row r="3449" spans="20:28" x14ac:dyDescent="0.2">
      <c r="T3449" s="60" t="str">
        <f>IF(P3449&lt;&gt;"",
    IF(OR(O3449="", Q3449="", R3449=""),
        "Fill all the required columns",
        IFERROR(
            IF(OR(
                AND(R3449="Marine Protected", VLOOKUP(O3449, Reference!$A$2:$D$34, 4, FALSE) &lt;= P3449),
                AND(R3449="General Use", VLOOKUP(O3449, Reference!$A$2:$D$34, 3, FALSE) &lt;= P3449)
            ),
                "Exceeded",
                "OK"
            ),
            "No Regulation defined"
        )
    ),
    ""
)</f>
        <v/>
      </c>
      <c r="AB3449" s="62" t="str">
        <f t="shared" si="53"/>
        <v/>
      </c>
    </row>
    <row r="3450" spans="20:28" x14ac:dyDescent="0.2">
      <c r="T3450" s="60" t="str">
        <f>IF(P3450&lt;&gt;"",
    IF(OR(O3450="", Q3450="", R3450=""),
        "Fill all the required columns",
        IFERROR(
            IF(OR(
                AND(R3450="Marine Protected", VLOOKUP(O3450, Reference!$A$2:$D$34, 4, FALSE) &lt;= P3450),
                AND(R3450="General Use", VLOOKUP(O3450, Reference!$A$2:$D$34, 3, FALSE) &lt;= P3450)
            ),
                "Exceeded",
                "OK"
            ),
            "No Regulation defined"
        )
    ),
    ""
)</f>
        <v/>
      </c>
      <c r="AB3450" s="62" t="str">
        <f t="shared" si="53"/>
        <v/>
      </c>
    </row>
    <row r="3451" spans="20:28" x14ac:dyDescent="0.2">
      <c r="T3451" s="60" t="str">
        <f>IF(P3451&lt;&gt;"",
    IF(OR(O3451="", Q3451="", R3451=""),
        "Fill all the required columns",
        IFERROR(
            IF(OR(
                AND(R3451="Marine Protected", VLOOKUP(O3451, Reference!$A$2:$D$34, 4, FALSE) &lt;= P3451),
                AND(R3451="General Use", VLOOKUP(O3451, Reference!$A$2:$D$34, 3, FALSE) &lt;= P3451)
            ),
                "Exceeded",
                "OK"
            ),
            "No Regulation defined"
        )
    ),
    ""
)</f>
        <v/>
      </c>
      <c r="AB3451" s="62" t="str">
        <f t="shared" si="53"/>
        <v/>
      </c>
    </row>
    <row r="3452" spans="20:28" x14ac:dyDescent="0.2">
      <c r="T3452" s="60" t="str">
        <f>IF(P3452&lt;&gt;"",
    IF(OR(O3452="", Q3452="", R3452=""),
        "Fill all the required columns",
        IFERROR(
            IF(OR(
                AND(R3452="Marine Protected", VLOOKUP(O3452, Reference!$A$2:$D$34, 4, FALSE) &lt;= P3452),
                AND(R3452="General Use", VLOOKUP(O3452, Reference!$A$2:$D$34, 3, FALSE) &lt;= P3452)
            ),
                "Exceeded",
                "OK"
            ),
            "No Regulation defined"
        )
    ),
    ""
)</f>
        <v/>
      </c>
      <c r="AB3452" s="62" t="str">
        <f t="shared" si="53"/>
        <v/>
      </c>
    </row>
    <row r="3453" spans="20:28" x14ac:dyDescent="0.2">
      <c r="T3453" s="60" t="str">
        <f>IF(P3453&lt;&gt;"",
    IF(OR(O3453="", Q3453="", R3453=""),
        "Fill all the required columns",
        IFERROR(
            IF(OR(
                AND(R3453="Marine Protected", VLOOKUP(O3453, Reference!$A$2:$D$34, 4, FALSE) &lt;= P3453),
                AND(R3453="General Use", VLOOKUP(O3453, Reference!$A$2:$D$34, 3, FALSE) &lt;= P3453)
            ),
                "Exceeded",
                "OK"
            ),
            "No Regulation defined"
        )
    ),
    ""
)</f>
        <v/>
      </c>
      <c r="AB3453" s="62" t="str">
        <f t="shared" si="53"/>
        <v/>
      </c>
    </row>
    <row r="3454" spans="20:28" x14ac:dyDescent="0.2">
      <c r="T3454" s="60" t="str">
        <f>IF(P3454&lt;&gt;"",
    IF(OR(O3454="", Q3454="", R3454=""),
        "Fill all the required columns",
        IFERROR(
            IF(OR(
                AND(R3454="Marine Protected", VLOOKUP(O3454, Reference!$A$2:$D$34, 4, FALSE) &lt;= P3454),
                AND(R3454="General Use", VLOOKUP(O3454, Reference!$A$2:$D$34, 3, FALSE) &lt;= P3454)
            ),
                "Exceeded",
                "OK"
            ),
            "No Regulation defined"
        )
    ),
    ""
)</f>
        <v/>
      </c>
      <c r="AB3454" s="62" t="str">
        <f t="shared" si="53"/>
        <v/>
      </c>
    </row>
    <row r="3455" spans="20:28" x14ac:dyDescent="0.2">
      <c r="T3455" s="60" t="str">
        <f>IF(P3455&lt;&gt;"",
    IF(OR(O3455="", Q3455="", R3455=""),
        "Fill all the required columns",
        IFERROR(
            IF(OR(
                AND(R3455="Marine Protected", VLOOKUP(O3455, Reference!$A$2:$D$34, 4, FALSE) &lt;= P3455),
                AND(R3455="General Use", VLOOKUP(O3455, Reference!$A$2:$D$34, 3, FALSE) &lt;= P3455)
            ),
                "Exceeded",
                "OK"
            ),
            "No Regulation defined"
        )
    ),
    ""
)</f>
        <v/>
      </c>
      <c r="AB3455" s="62" t="str">
        <f t="shared" si="53"/>
        <v/>
      </c>
    </row>
    <row r="3456" spans="20:28" x14ac:dyDescent="0.2">
      <c r="T3456" s="60" t="str">
        <f>IF(P3456&lt;&gt;"",
    IF(OR(O3456="", Q3456="", R3456=""),
        "Fill all the required columns",
        IFERROR(
            IF(OR(
                AND(R3456="Marine Protected", VLOOKUP(O3456, Reference!$A$2:$D$34, 4, FALSE) &lt;= P3456),
                AND(R3456="General Use", VLOOKUP(O3456, Reference!$A$2:$D$34, 3, FALSE) &lt;= P3456)
            ),
                "Exceeded",
                "OK"
            ),
            "No Regulation defined"
        )
    ),
    ""
)</f>
        <v/>
      </c>
      <c r="AB3456" s="62" t="str">
        <f t="shared" si="53"/>
        <v/>
      </c>
    </row>
    <row r="3457" spans="20:28" x14ac:dyDescent="0.2">
      <c r="T3457" s="60" t="str">
        <f>IF(P3457&lt;&gt;"",
    IF(OR(O3457="", Q3457="", R3457=""),
        "Fill all the required columns",
        IFERROR(
            IF(OR(
                AND(R3457="Marine Protected", VLOOKUP(O3457, Reference!$A$2:$D$34, 4, FALSE) &lt;= P3457),
                AND(R3457="General Use", VLOOKUP(O3457, Reference!$A$2:$D$34, 3, FALSE) &lt;= P3457)
            ),
                "Exceeded",
                "OK"
            ),
            "No Regulation defined"
        )
    ),
    ""
)</f>
        <v/>
      </c>
      <c r="AB3457" s="62" t="str">
        <f t="shared" si="53"/>
        <v/>
      </c>
    </row>
    <row r="3458" spans="20:28" x14ac:dyDescent="0.2">
      <c r="T3458" s="60" t="str">
        <f>IF(P3458&lt;&gt;"",
    IF(OR(O3458="", Q3458="", R3458=""),
        "Fill all the required columns",
        IFERROR(
            IF(OR(
                AND(R3458="Marine Protected", VLOOKUP(O3458, Reference!$A$2:$D$34, 4, FALSE) &lt;= P3458),
                AND(R3458="General Use", VLOOKUP(O3458, Reference!$A$2:$D$34, 3, FALSE) &lt;= P3458)
            ),
                "Exceeded",
                "OK"
            ),
            "No Regulation defined"
        )
    ),
    ""
)</f>
        <v/>
      </c>
      <c r="AB3458" s="62" t="str">
        <f t="shared" si="53"/>
        <v/>
      </c>
    </row>
    <row r="3459" spans="20:28" x14ac:dyDescent="0.2">
      <c r="T3459" s="60" t="str">
        <f>IF(P3459&lt;&gt;"",
    IF(OR(O3459="", Q3459="", R3459=""),
        "Fill all the required columns",
        IFERROR(
            IF(OR(
                AND(R3459="Marine Protected", VLOOKUP(O3459, Reference!$A$2:$D$34, 4, FALSE) &lt;= P3459),
                AND(R3459="General Use", VLOOKUP(O3459, Reference!$A$2:$D$34, 3, FALSE) &lt;= P3459)
            ),
                "Exceeded",
                "OK"
            ),
            "No Regulation defined"
        )
    ),
    ""
)</f>
        <v/>
      </c>
      <c r="AB3459" s="62" t="str">
        <f t="shared" ref="AB3459:AB3522" si="54">IF(COUNTA(A3459, E3459, F3459, H3459, I3459, O3459, P3459, Q3459, R3459,S3459) = 0, "", IF(COUNTA(A3459, E3459, F3459, H3459, I3459, O3459, P3459, Q3459, R3459,S3459) = 10, "OK", "Incomplete"))</f>
        <v/>
      </c>
    </row>
    <row r="3460" spans="20:28" x14ac:dyDescent="0.2">
      <c r="T3460" s="60" t="str">
        <f>IF(P3460&lt;&gt;"",
    IF(OR(O3460="", Q3460="", R3460=""),
        "Fill all the required columns",
        IFERROR(
            IF(OR(
                AND(R3460="Marine Protected", VLOOKUP(O3460, Reference!$A$2:$D$34, 4, FALSE) &lt;= P3460),
                AND(R3460="General Use", VLOOKUP(O3460, Reference!$A$2:$D$34, 3, FALSE) &lt;= P3460)
            ),
                "Exceeded",
                "OK"
            ),
            "No Regulation defined"
        )
    ),
    ""
)</f>
        <v/>
      </c>
      <c r="AB3460" s="62" t="str">
        <f t="shared" si="54"/>
        <v/>
      </c>
    </row>
    <row r="3461" spans="20:28" x14ac:dyDescent="0.2">
      <c r="T3461" s="60" t="str">
        <f>IF(P3461&lt;&gt;"",
    IF(OR(O3461="", Q3461="", R3461=""),
        "Fill all the required columns",
        IFERROR(
            IF(OR(
                AND(R3461="Marine Protected", VLOOKUP(O3461, Reference!$A$2:$D$34, 4, FALSE) &lt;= P3461),
                AND(R3461="General Use", VLOOKUP(O3461, Reference!$A$2:$D$34, 3, FALSE) &lt;= P3461)
            ),
                "Exceeded",
                "OK"
            ),
            "No Regulation defined"
        )
    ),
    ""
)</f>
        <v/>
      </c>
      <c r="AB3461" s="62" t="str">
        <f t="shared" si="54"/>
        <v/>
      </c>
    </row>
    <row r="3462" spans="20:28" x14ac:dyDescent="0.2">
      <c r="T3462" s="60" t="str">
        <f>IF(P3462&lt;&gt;"",
    IF(OR(O3462="", Q3462="", R3462=""),
        "Fill all the required columns",
        IFERROR(
            IF(OR(
                AND(R3462="Marine Protected", VLOOKUP(O3462, Reference!$A$2:$D$34, 4, FALSE) &lt;= P3462),
                AND(R3462="General Use", VLOOKUP(O3462, Reference!$A$2:$D$34, 3, FALSE) &lt;= P3462)
            ),
                "Exceeded",
                "OK"
            ),
            "No Regulation defined"
        )
    ),
    ""
)</f>
        <v/>
      </c>
      <c r="AB3462" s="62" t="str">
        <f t="shared" si="54"/>
        <v/>
      </c>
    </row>
    <row r="3463" spans="20:28" x14ac:dyDescent="0.2">
      <c r="T3463" s="60" t="str">
        <f>IF(P3463&lt;&gt;"",
    IF(OR(O3463="", Q3463="", R3463=""),
        "Fill all the required columns",
        IFERROR(
            IF(OR(
                AND(R3463="Marine Protected", VLOOKUP(O3463, Reference!$A$2:$D$34, 4, FALSE) &lt;= P3463),
                AND(R3463="General Use", VLOOKUP(O3463, Reference!$A$2:$D$34, 3, FALSE) &lt;= P3463)
            ),
                "Exceeded",
                "OK"
            ),
            "No Regulation defined"
        )
    ),
    ""
)</f>
        <v/>
      </c>
      <c r="AB3463" s="62" t="str">
        <f t="shared" si="54"/>
        <v/>
      </c>
    </row>
    <row r="3464" spans="20:28" x14ac:dyDescent="0.2">
      <c r="T3464" s="60" t="str">
        <f>IF(P3464&lt;&gt;"",
    IF(OR(O3464="", Q3464="", R3464=""),
        "Fill all the required columns",
        IFERROR(
            IF(OR(
                AND(R3464="Marine Protected", VLOOKUP(O3464, Reference!$A$2:$D$34, 4, FALSE) &lt;= P3464),
                AND(R3464="General Use", VLOOKUP(O3464, Reference!$A$2:$D$34, 3, FALSE) &lt;= P3464)
            ),
                "Exceeded",
                "OK"
            ),
            "No Regulation defined"
        )
    ),
    ""
)</f>
        <v/>
      </c>
      <c r="AB3464" s="62" t="str">
        <f t="shared" si="54"/>
        <v/>
      </c>
    </row>
    <row r="3465" spans="20:28" x14ac:dyDescent="0.2">
      <c r="T3465" s="60" t="str">
        <f>IF(P3465&lt;&gt;"",
    IF(OR(O3465="", Q3465="", R3465=""),
        "Fill all the required columns",
        IFERROR(
            IF(OR(
                AND(R3465="Marine Protected", VLOOKUP(O3465, Reference!$A$2:$D$34, 4, FALSE) &lt;= P3465),
                AND(R3465="General Use", VLOOKUP(O3465, Reference!$A$2:$D$34, 3, FALSE) &lt;= P3465)
            ),
                "Exceeded",
                "OK"
            ),
            "No Regulation defined"
        )
    ),
    ""
)</f>
        <v/>
      </c>
      <c r="AB3465" s="62" t="str">
        <f t="shared" si="54"/>
        <v/>
      </c>
    </row>
    <row r="3466" spans="20:28" x14ac:dyDescent="0.2">
      <c r="T3466" s="60" t="str">
        <f>IF(P3466&lt;&gt;"",
    IF(OR(O3466="", Q3466="", R3466=""),
        "Fill all the required columns",
        IFERROR(
            IF(OR(
                AND(R3466="Marine Protected", VLOOKUP(O3466, Reference!$A$2:$D$34, 4, FALSE) &lt;= P3466),
                AND(R3466="General Use", VLOOKUP(O3466, Reference!$A$2:$D$34, 3, FALSE) &lt;= P3466)
            ),
                "Exceeded",
                "OK"
            ),
            "No Regulation defined"
        )
    ),
    ""
)</f>
        <v/>
      </c>
      <c r="AB3466" s="62" t="str">
        <f t="shared" si="54"/>
        <v/>
      </c>
    </row>
    <row r="3467" spans="20:28" x14ac:dyDescent="0.2">
      <c r="T3467" s="60" t="str">
        <f>IF(P3467&lt;&gt;"",
    IF(OR(O3467="", Q3467="", R3467=""),
        "Fill all the required columns",
        IFERROR(
            IF(OR(
                AND(R3467="Marine Protected", VLOOKUP(O3467, Reference!$A$2:$D$34, 4, FALSE) &lt;= P3467),
                AND(R3467="General Use", VLOOKUP(O3467, Reference!$A$2:$D$34, 3, FALSE) &lt;= P3467)
            ),
                "Exceeded",
                "OK"
            ),
            "No Regulation defined"
        )
    ),
    ""
)</f>
        <v/>
      </c>
      <c r="AB3467" s="62" t="str">
        <f t="shared" si="54"/>
        <v/>
      </c>
    </row>
    <row r="3468" spans="20:28" x14ac:dyDescent="0.2">
      <c r="T3468" s="60" t="str">
        <f>IF(P3468&lt;&gt;"",
    IF(OR(O3468="", Q3468="", R3468=""),
        "Fill all the required columns",
        IFERROR(
            IF(OR(
                AND(R3468="Marine Protected", VLOOKUP(O3468, Reference!$A$2:$D$34, 4, FALSE) &lt;= P3468),
                AND(R3468="General Use", VLOOKUP(O3468, Reference!$A$2:$D$34, 3, FALSE) &lt;= P3468)
            ),
                "Exceeded",
                "OK"
            ),
            "No Regulation defined"
        )
    ),
    ""
)</f>
        <v/>
      </c>
      <c r="AB3468" s="62" t="str">
        <f t="shared" si="54"/>
        <v/>
      </c>
    </row>
    <row r="3469" spans="20:28" x14ac:dyDescent="0.2">
      <c r="T3469" s="60" t="str">
        <f>IF(P3469&lt;&gt;"",
    IF(OR(O3469="", Q3469="", R3469=""),
        "Fill all the required columns",
        IFERROR(
            IF(OR(
                AND(R3469="Marine Protected", VLOOKUP(O3469, Reference!$A$2:$D$34, 4, FALSE) &lt;= P3469),
                AND(R3469="General Use", VLOOKUP(O3469, Reference!$A$2:$D$34, 3, FALSE) &lt;= P3469)
            ),
                "Exceeded",
                "OK"
            ),
            "No Regulation defined"
        )
    ),
    ""
)</f>
        <v/>
      </c>
      <c r="AB3469" s="62" t="str">
        <f t="shared" si="54"/>
        <v/>
      </c>
    </row>
    <row r="3470" spans="20:28" x14ac:dyDescent="0.2">
      <c r="T3470" s="60" t="str">
        <f>IF(P3470&lt;&gt;"",
    IF(OR(O3470="", Q3470="", R3470=""),
        "Fill all the required columns",
        IFERROR(
            IF(OR(
                AND(R3470="Marine Protected", VLOOKUP(O3470, Reference!$A$2:$D$34, 4, FALSE) &lt;= P3470),
                AND(R3470="General Use", VLOOKUP(O3470, Reference!$A$2:$D$34, 3, FALSE) &lt;= P3470)
            ),
                "Exceeded",
                "OK"
            ),
            "No Regulation defined"
        )
    ),
    ""
)</f>
        <v/>
      </c>
      <c r="AB3470" s="62" t="str">
        <f t="shared" si="54"/>
        <v/>
      </c>
    </row>
    <row r="3471" spans="20:28" x14ac:dyDescent="0.2">
      <c r="T3471" s="60" t="str">
        <f>IF(P3471&lt;&gt;"",
    IF(OR(O3471="", Q3471="", R3471=""),
        "Fill all the required columns",
        IFERROR(
            IF(OR(
                AND(R3471="Marine Protected", VLOOKUP(O3471, Reference!$A$2:$D$34, 4, FALSE) &lt;= P3471),
                AND(R3471="General Use", VLOOKUP(O3471, Reference!$A$2:$D$34, 3, FALSE) &lt;= P3471)
            ),
                "Exceeded",
                "OK"
            ),
            "No Regulation defined"
        )
    ),
    ""
)</f>
        <v/>
      </c>
      <c r="AB3471" s="62" t="str">
        <f t="shared" si="54"/>
        <v/>
      </c>
    </row>
    <row r="3472" spans="20:28" x14ac:dyDescent="0.2">
      <c r="T3472" s="60" t="str">
        <f>IF(P3472&lt;&gt;"",
    IF(OR(O3472="", Q3472="", R3472=""),
        "Fill all the required columns",
        IFERROR(
            IF(OR(
                AND(R3472="Marine Protected", VLOOKUP(O3472, Reference!$A$2:$D$34, 4, FALSE) &lt;= P3472),
                AND(R3472="General Use", VLOOKUP(O3472, Reference!$A$2:$D$34, 3, FALSE) &lt;= P3472)
            ),
                "Exceeded",
                "OK"
            ),
            "No Regulation defined"
        )
    ),
    ""
)</f>
        <v/>
      </c>
      <c r="AB3472" s="62" t="str">
        <f t="shared" si="54"/>
        <v/>
      </c>
    </row>
    <row r="3473" spans="20:28" x14ac:dyDescent="0.2">
      <c r="T3473" s="60" t="str">
        <f>IF(P3473&lt;&gt;"",
    IF(OR(O3473="", Q3473="", R3473=""),
        "Fill all the required columns",
        IFERROR(
            IF(OR(
                AND(R3473="Marine Protected", VLOOKUP(O3473, Reference!$A$2:$D$34, 4, FALSE) &lt;= P3473),
                AND(R3473="General Use", VLOOKUP(O3473, Reference!$A$2:$D$34, 3, FALSE) &lt;= P3473)
            ),
                "Exceeded",
                "OK"
            ),
            "No Regulation defined"
        )
    ),
    ""
)</f>
        <v/>
      </c>
      <c r="AB3473" s="62" t="str">
        <f t="shared" si="54"/>
        <v/>
      </c>
    </row>
    <row r="3474" spans="20:28" x14ac:dyDescent="0.2">
      <c r="T3474" s="60" t="str">
        <f>IF(P3474&lt;&gt;"",
    IF(OR(O3474="", Q3474="", R3474=""),
        "Fill all the required columns",
        IFERROR(
            IF(OR(
                AND(R3474="Marine Protected", VLOOKUP(O3474, Reference!$A$2:$D$34, 4, FALSE) &lt;= P3474),
                AND(R3474="General Use", VLOOKUP(O3474, Reference!$A$2:$D$34, 3, FALSE) &lt;= P3474)
            ),
                "Exceeded",
                "OK"
            ),
            "No Regulation defined"
        )
    ),
    ""
)</f>
        <v/>
      </c>
      <c r="AB3474" s="62" t="str">
        <f t="shared" si="54"/>
        <v/>
      </c>
    </row>
    <row r="3475" spans="20:28" x14ac:dyDescent="0.2">
      <c r="T3475" s="60" t="str">
        <f>IF(P3475&lt;&gt;"",
    IF(OR(O3475="", Q3475="", R3475=""),
        "Fill all the required columns",
        IFERROR(
            IF(OR(
                AND(R3475="Marine Protected", VLOOKUP(O3475, Reference!$A$2:$D$34, 4, FALSE) &lt;= P3475),
                AND(R3475="General Use", VLOOKUP(O3475, Reference!$A$2:$D$34, 3, FALSE) &lt;= P3475)
            ),
                "Exceeded",
                "OK"
            ),
            "No Regulation defined"
        )
    ),
    ""
)</f>
        <v/>
      </c>
      <c r="AB3475" s="62" t="str">
        <f t="shared" si="54"/>
        <v/>
      </c>
    </row>
    <row r="3476" spans="20:28" x14ac:dyDescent="0.2">
      <c r="T3476" s="60" t="str">
        <f>IF(P3476&lt;&gt;"",
    IF(OR(O3476="", Q3476="", R3476=""),
        "Fill all the required columns",
        IFERROR(
            IF(OR(
                AND(R3476="Marine Protected", VLOOKUP(O3476, Reference!$A$2:$D$34, 4, FALSE) &lt;= P3476),
                AND(R3476="General Use", VLOOKUP(O3476, Reference!$A$2:$D$34, 3, FALSE) &lt;= P3476)
            ),
                "Exceeded",
                "OK"
            ),
            "No Regulation defined"
        )
    ),
    ""
)</f>
        <v/>
      </c>
      <c r="AB3476" s="62" t="str">
        <f t="shared" si="54"/>
        <v/>
      </c>
    </row>
    <row r="3477" spans="20:28" x14ac:dyDescent="0.2">
      <c r="T3477" s="60" t="str">
        <f>IF(P3477&lt;&gt;"",
    IF(OR(O3477="", Q3477="", R3477=""),
        "Fill all the required columns",
        IFERROR(
            IF(OR(
                AND(R3477="Marine Protected", VLOOKUP(O3477, Reference!$A$2:$D$34, 4, FALSE) &lt;= P3477),
                AND(R3477="General Use", VLOOKUP(O3477, Reference!$A$2:$D$34, 3, FALSE) &lt;= P3477)
            ),
                "Exceeded",
                "OK"
            ),
            "No Regulation defined"
        )
    ),
    ""
)</f>
        <v/>
      </c>
      <c r="AB3477" s="62" t="str">
        <f t="shared" si="54"/>
        <v/>
      </c>
    </row>
    <row r="3478" spans="20:28" x14ac:dyDescent="0.2">
      <c r="T3478" s="60" t="str">
        <f>IF(P3478&lt;&gt;"",
    IF(OR(O3478="", Q3478="", R3478=""),
        "Fill all the required columns",
        IFERROR(
            IF(OR(
                AND(R3478="Marine Protected", VLOOKUP(O3478, Reference!$A$2:$D$34, 4, FALSE) &lt;= P3478),
                AND(R3478="General Use", VLOOKUP(O3478, Reference!$A$2:$D$34, 3, FALSE) &lt;= P3478)
            ),
                "Exceeded",
                "OK"
            ),
            "No Regulation defined"
        )
    ),
    ""
)</f>
        <v/>
      </c>
      <c r="AB3478" s="62" t="str">
        <f t="shared" si="54"/>
        <v/>
      </c>
    </row>
    <row r="3479" spans="20:28" x14ac:dyDescent="0.2">
      <c r="T3479" s="60" t="str">
        <f>IF(P3479&lt;&gt;"",
    IF(OR(O3479="", Q3479="", R3479=""),
        "Fill all the required columns",
        IFERROR(
            IF(OR(
                AND(R3479="Marine Protected", VLOOKUP(O3479, Reference!$A$2:$D$34, 4, FALSE) &lt;= P3479),
                AND(R3479="General Use", VLOOKUP(O3479, Reference!$A$2:$D$34, 3, FALSE) &lt;= P3479)
            ),
                "Exceeded",
                "OK"
            ),
            "No Regulation defined"
        )
    ),
    ""
)</f>
        <v/>
      </c>
      <c r="AB3479" s="62" t="str">
        <f t="shared" si="54"/>
        <v/>
      </c>
    </row>
    <row r="3480" spans="20:28" x14ac:dyDescent="0.2">
      <c r="T3480" s="60" t="str">
        <f>IF(P3480&lt;&gt;"",
    IF(OR(O3480="", Q3480="", R3480=""),
        "Fill all the required columns",
        IFERROR(
            IF(OR(
                AND(R3480="Marine Protected", VLOOKUP(O3480, Reference!$A$2:$D$34, 4, FALSE) &lt;= P3480),
                AND(R3480="General Use", VLOOKUP(O3480, Reference!$A$2:$D$34, 3, FALSE) &lt;= P3480)
            ),
                "Exceeded",
                "OK"
            ),
            "No Regulation defined"
        )
    ),
    ""
)</f>
        <v/>
      </c>
      <c r="AB3480" s="62" t="str">
        <f t="shared" si="54"/>
        <v/>
      </c>
    </row>
    <row r="3481" spans="20:28" x14ac:dyDescent="0.2">
      <c r="T3481" s="60" t="str">
        <f>IF(P3481&lt;&gt;"",
    IF(OR(O3481="", Q3481="", R3481=""),
        "Fill all the required columns",
        IFERROR(
            IF(OR(
                AND(R3481="Marine Protected", VLOOKUP(O3481, Reference!$A$2:$D$34, 4, FALSE) &lt;= P3481),
                AND(R3481="General Use", VLOOKUP(O3481, Reference!$A$2:$D$34, 3, FALSE) &lt;= P3481)
            ),
                "Exceeded",
                "OK"
            ),
            "No Regulation defined"
        )
    ),
    ""
)</f>
        <v/>
      </c>
      <c r="AB3481" s="62" t="str">
        <f t="shared" si="54"/>
        <v/>
      </c>
    </row>
    <row r="3482" spans="20:28" x14ac:dyDescent="0.2">
      <c r="T3482" s="60" t="str">
        <f>IF(P3482&lt;&gt;"",
    IF(OR(O3482="", Q3482="", R3482=""),
        "Fill all the required columns",
        IFERROR(
            IF(OR(
                AND(R3482="Marine Protected", VLOOKUP(O3482, Reference!$A$2:$D$34, 4, FALSE) &lt;= P3482),
                AND(R3482="General Use", VLOOKUP(O3482, Reference!$A$2:$D$34, 3, FALSE) &lt;= P3482)
            ),
                "Exceeded",
                "OK"
            ),
            "No Regulation defined"
        )
    ),
    ""
)</f>
        <v/>
      </c>
      <c r="AB3482" s="62" t="str">
        <f t="shared" si="54"/>
        <v/>
      </c>
    </row>
    <row r="3483" spans="20:28" x14ac:dyDescent="0.2">
      <c r="T3483" s="60" t="str">
        <f>IF(P3483&lt;&gt;"",
    IF(OR(O3483="", Q3483="", R3483=""),
        "Fill all the required columns",
        IFERROR(
            IF(OR(
                AND(R3483="Marine Protected", VLOOKUP(O3483, Reference!$A$2:$D$34, 4, FALSE) &lt;= P3483),
                AND(R3483="General Use", VLOOKUP(O3483, Reference!$A$2:$D$34, 3, FALSE) &lt;= P3483)
            ),
                "Exceeded",
                "OK"
            ),
            "No Regulation defined"
        )
    ),
    ""
)</f>
        <v/>
      </c>
      <c r="AB3483" s="62" t="str">
        <f t="shared" si="54"/>
        <v/>
      </c>
    </row>
    <row r="3484" spans="20:28" x14ac:dyDescent="0.2">
      <c r="T3484" s="60" t="str">
        <f>IF(P3484&lt;&gt;"",
    IF(OR(O3484="", Q3484="", R3484=""),
        "Fill all the required columns",
        IFERROR(
            IF(OR(
                AND(R3484="Marine Protected", VLOOKUP(O3484, Reference!$A$2:$D$34, 4, FALSE) &lt;= P3484),
                AND(R3484="General Use", VLOOKUP(O3484, Reference!$A$2:$D$34, 3, FALSE) &lt;= P3484)
            ),
                "Exceeded",
                "OK"
            ),
            "No Regulation defined"
        )
    ),
    ""
)</f>
        <v/>
      </c>
      <c r="AB3484" s="62" t="str">
        <f t="shared" si="54"/>
        <v/>
      </c>
    </row>
    <row r="3485" spans="20:28" x14ac:dyDescent="0.2">
      <c r="T3485" s="60" t="str">
        <f>IF(P3485&lt;&gt;"",
    IF(OR(O3485="", Q3485="", R3485=""),
        "Fill all the required columns",
        IFERROR(
            IF(OR(
                AND(R3485="Marine Protected", VLOOKUP(O3485, Reference!$A$2:$D$34, 4, FALSE) &lt;= P3485),
                AND(R3485="General Use", VLOOKUP(O3485, Reference!$A$2:$D$34, 3, FALSE) &lt;= P3485)
            ),
                "Exceeded",
                "OK"
            ),
            "No Regulation defined"
        )
    ),
    ""
)</f>
        <v/>
      </c>
      <c r="AB3485" s="62" t="str">
        <f t="shared" si="54"/>
        <v/>
      </c>
    </row>
    <row r="3486" spans="20:28" x14ac:dyDescent="0.2">
      <c r="T3486" s="60" t="str">
        <f>IF(P3486&lt;&gt;"",
    IF(OR(O3486="", Q3486="", R3486=""),
        "Fill all the required columns",
        IFERROR(
            IF(OR(
                AND(R3486="Marine Protected", VLOOKUP(O3486, Reference!$A$2:$D$34, 4, FALSE) &lt;= P3486),
                AND(R3486="General Use", VLOOKUP(O3486, Reference!$A$2:$D$34, 3, FALSE) &lt;= P3486)
            ),
                "Exceeded",
                "OK"
            ),
            "No Regulation defined"
        )
    ),
    ""
)</f>
        <v/>
      </c>
      <c r="AB3486" s="62" t="str">
        <f t="shared" si="54"/>
        <v/>
      </c>
    </row>
    <row r="3487" spans="20:28" x14ac:dyDescent="0.2">
      <c r="T3487" s="60" t="str">
        <f>IF(P3487&lt;&gt;"",
    IF(OR(O3487="", Q3487="", R3487=""),
        "Fill all the required columns",
        IFERROR(
            IF(OR(
                AND(R3487="Marine Protected", VLOOKUP(O3487, Reference!$A$2:$D$34, 4, FALSE) &lt;= P3487),
                AND(R3487="General Use", VLOOKUP(O3487, Reference!$A$2:$D$34, 3, FALSE) &lt;= P3487)
            ),
                "Exceeded",
                "OK"
            ),
            "No Regulation defined"
        )
    ),
    ""
)</f>
        <v/>
      </c>
      <c r="AB3487" s="62" t="str">
        <f t="shared" si="54"/>
        <v/>
      </c>
    </row>
    <row r="3488" spans="20:28" x14ac:dyDescent="0.2">
      <c r="T3488" s="60" t="str">
        <f>IF(P3488&lt;&gt;"",
    IF(OR(O3488="", Q3488="", R3488=""),
        "Fill all the required columns",
        IFERROR(
            IF(OR(
                AND(R3488="Marine Protected", VLOOKUP(O3488, Reference!$A$2:$D$34, 4, FALSE) &lt;= P3488),
                AND(R3488="General Use", VLOOKUP(O3488, Reference!$A$2:$D$34, 3, FALSE) &lt;= P3488)
            ),
                "Exceeded",
                "OK"
            ),
            "No Regulation defined"
        )
    ),
    ""
)</f>
        <v/>
      </c>
      <c r="AB3488" s="62" t="str">
        <f t="shared" si="54"/>
        <v/>
      </c>
    </row>
    <row r="3489" spans="20:28" x14ac:dyDescent="0.2">
      <c r="T3489" s="60" t="str">
        <f>IF(P3489&lt;&gt;"",
    IF(OR(O3489="", Q3489="", R3489=""),
        "Fill all the required columns",
        IFERROR(
            IF(OR(
                AND(R3489="Marine Protected", VLOOKUP(O3489, Reference!$A$2:$D$34, 4, FALSE) &lt;= P3489),
                AND(R3489="General Use", VLOOKUP(O3489, Reference!$A$2:$D$34, 3, FALSE) &lt;= P3489)
            ),
                "Exceeded",
                "OK"
            ),
            "No Regulation defined"
        )
    ),
    ""
)</f>
        <v/>
      </c>
      <c r="AB3489" s="62" t="str">
        <f t="shared" si="54"/>
        <v/>
      </c>
    </row>
    <row r="3490" spans="20:28" x14ac:dyDescent="0.2">
      <c r="T3490" s="60" t="str">
        <f>IF(P3490&lt;&gt;"",
    IF(OR(O3490="", Q3490="", R3490=""),
        "Fill all the required columns",
        IFERROR(
            IF(OR(
                AND(R3490="Marine Protected", VLOOKUP(O3490, Reference!$A$2:$D$34, 4, FALSE) &lt;= P3490),
                AND(R3490="General Use", VLOOKUP(O3490, Reference!$A$2:$D$34, 3, FALSE) &lt;= P3490)
            ),
                "Exceeded",
                "OK"
            ),
            "No Regulation defined"
        )
    ),
    ""
)</f>
        <v/>
      </c>
      <c r="AB3490" s="62" t="str">
        <f t="shared" si="54"/>
        <v/>
      </c>
    </row>
    <row r="3491" spans="20:28" x14ac:dyDescent="0.2">
      <c r="T3491" s="60" t="str">
        <f>IF(P3491&lt;&gt;"",
    IF(OR(O3491="", Q3491="", R3491=""),
        "Fill all the required columns",
        IFERROR(
            IF(OR(
                AND(R3491="Marine Protected", VLOOKUP(O3491, Reference!$A$2:$D$34, 4, FALSE) &lt;= P3491),
                AND(R3491="General Use", VLOOKUP(O3491, Reference!$A$2:$D$34, 3, FALSE) &lt;= P3491)
            ),
                "Exceeded",
                "OK"
            ),
            "No Regulation defined"
        )
    ),
    ""
)</f>
        <v/>
      </c>
      <c r="AB3491" s="62" t="str">
        <f t="shared" si="54"/>
        <v/>
      </c>
    </row>
    <row r="3492" spans="20:28" x14ac:dyDescent="0.2">
      <c r="T3492" s="60" t="str">
        <f>IF(P3492&lt;&gt;"",
    IF(OR(O3492="", Q3492="", R3492=""),
        "Fill all the required columns",
        IFERROR(
            IF(OR(
                AND(R3492="Marine Protected", VLOOKUP(O3492, Reference!$A$2:$D$34, 4, FALSE) &lt;= P3492),
                AND(R3492="General Use", VLOOKUP(O3492, Reference!$A$2:$D$34, 3, FALSE) &lt;= P3492)
            ),
                "Exceeded",
                "OK"
            ),
            "No Regulation defined"
        )
    ),
    ""
)</f>
        <v/>
      </c>
      <c r="AB3492" s="62" t="str">
        <f t="shared" si="54"/>
        <v/>
      </c>
    </row>
    <row r="3493" spans="20:28" x14ac:dyDescent="0.2">
      <c r="T3493" s="60" t="str">
        <f>IF(P3493&lt;&gt;"",
    IF(OR(O3493="", Q3493="", R3493=""),
        "Fill all the required columns",
        IFERROR(
            IF(OR(
                AND(R3493="Marine Protected", VLOOKUP(O3493, Reference!$A$2:$D$34, 4, FALSE) &lt;= P3493),
                AND(R3493="General Use", VLOOKUP(O3493, Reference!$A$2:$D$34, 3, FALSE) &lt;= P3493)
            ),
                "Exceeded",
                "OK"
            ),
            "No Regulation defined"
        )
    ),
    ""
)</f>
        <v/>
      </c>
      <c r="AB3493" s="62" t="str">
        <f t="shared" si="54"/>
        <v/>
      </c>
    </row>
    <row r="3494" spans="20:28" x14ac:dyDescent="0.2">
      <c r="T3494" s="60" t="str">
        <f>IF(P3494&lt;&gt;"",
    IF(OR(O3494="", Q3494="", R3494=""),
        "Fill all the required columns",
        IFERROR(
            IF(OR(
                AND(R3494="Marine Protected", VLOOKUP(O3494, Reference!$A$2:$D$34, 4, FALSE) &lt;= P3494),
                AND(R3494="General Use", VLOOKUP(O3494, Reference!$A$2:$D$34, 3, FALSE) &lt;= P3494)
            ),
                "Exceeded",
                "OK"
            ),
            "No Regulation defined"
        )
    ),
    ""
)</f>
        <v/>
      </c>
      <c r="AB3494" s="62" t="str">
        <f t="shared" si="54"/>
        <v/>
      </c>
    </row>
    <row r="3495" spans="20:28" x14ac:dyDescent="0.2">
      <c r="T3495" s="60" t="str">
        <f>IF(P3495&lt;&gt;"",
    IF(OR(O3495="", Q3495="", R3495=""),
        "Fill all the required columns",
        IFERROR(
            IF(OR(
                AND(R3495="Marine Protected", VLOOKUP(O3495, Reference!$A$2:$D$34, 4, FALSE) &lt;= P3495),
                AND(R3495="General Use", VLOOKUP(O3495, Reference!$A$2:$D$34, 3, FALSE) &lt;= P3495)
            ),
                "Exceeded",
                "OK"
            ),
            "No Regulation defined"
        )
    ),
    ""
)</f>
        <v/>
      </c>
      <c r="AB3495" s="62" t="str">
        <f t="shared" si="54"/>
        <v/>
      </c>
    </row>
    <row r="3496" spans="20:28" x14ac:dyDescent="0.2">
      <c r="T3496" s="60" t="str">
        <f>IF(P3496&lt;&gt;"",
    IF(OR(O3496="", Q3496="", R3496=""),
        "Fill all the required columns",
        IFERROR(
            IF(OR(
                AND(R3496="Marine Protected", VLOOKUP(O3496, Reference!$A$2:$D$34, 4, FALSE) &lt;= P3496),
                AND(R3496="General Use", VLOOKUP(O3496, Reference!$A$2:$D$34, 3, FALSE) &lt;= P3496)
            ),
                "Exceeded",
                "OK"
            ),
            "No Regulation defined"
        )
    ),
    ""
)</f>
        <v/>
      </c>
      <c r="AB3496" s="62" t="str">
        <f t="shared" si="54"/>
        <v/>
      </c>
    </row>
    <row r="3497" spans="20:28" x14ac:dyDescent="0.2">
      <c r="T3497" s="60" t="str">
        <f>IF(P3497&lt;&gt;"",
    IF(OR(O3497="", Q3497="", R3497=""),
        "Fill all the required columns",
        IFERROR(
            IF(OR(
                AND(R3497="Marine Protected", VLOOKUP(O3497, Reference!$A$2:$D$34, 4, FALSE) &lt;= P3497),
                AND(R3497="General Use", VLOOKUP(O3497, Reference!$A$2:$D$34, 3, FALSE) &lt;= P3497)
            ),
                "Exceeded",
                "OK"
            ),
            "No Regulation defined"
        )
    ),
    ""
)</f>
        <v/>
      </c>
      <c r="AB3497" s="62" t="str">
        <f t="shared" si="54"/>
        <v/>
      </c>
    </row>
    <row r="3498" spans="20:28" x14ac:dyDescent="0.2">
      <c r="T3498" s="60" t="str">
        <f>IF(P3498&lt;&gt;"",
    IF(OR(O3498="", Q3498="", R3498=""),
        "Fill all the required columns",
        IFERROR(
            IF(OR(
                AND(R3498="Marine Protected", VLOOKUP(O3498, Reference!$A$2:$D$34, 4, FALSE) &lt;= P3498),
                AND(R3498="General Use", VLOOKUP(O3498, Reference!$A$2:$D$34, 3, FALSE) &lt;= P3498)
            ),
                "Exceeded",
                "OK"
            ),
            "No Regulation defined"
        )
    ),
    ""
)</f>
        <v/>
      </c>
      <c r="AB3498" s="62" t="str">
        <f t="shared" si="54"/>
        <v/>
      </c>
    </row>
    <row r="3499" spans="20:28" x14ac:dyDescent="0.2">
      <c r="T3499" s="60" t="str">
        <f>IF(P3499&lt;&gt;"",
    IF(OR(O3499="", Q3499="", R3499=""),
        "Fill all the required columns",
        IFERROR(
            IF(OR(
                AND(R3499="Marine Protected", VLOOKUP(O3499, Reference!$A$2:$D$34, 4, FALSE) &lt;= P3499),
                AND(R3499="General Use", VLOOKUP(O3499, Reference!$A$2:$D$34, 3, FALSE) &lt;= P3499)
            ),
                "Exceeded",
                "OK"
            ),
            "No Regulation defined"
        )
    ),
    ""
)</f>
        <v/>
      </c>
      <c r="AB3499" s="62" t="str">
        <f t="shared" si="54"/>
        <v/>
      </c>
    </row>
    <row r="3500" spans="20:28" x14ac:dyDescent="0.2">
      <c r="T3500" s="60" t="str">
        <f>IF(P3500&lt;&gt;"",
    IF(OR(O3500="", Q3500="", R3500=""),
        "Fill all the required columns",
        IFERROR(
            IF(OR(
                AND(R3500="Marine Protected", VLOOKUP(O3500, Reference!$A$2:$D$34, 4, FALSE) &lt;= P3500),
                AND(R3500="General Use", VLOOKUP(O3500, Reference!$A$2:$D$34, 3, FALSE) &lt;= P3500)
            ),
                "Exceeded",
                "OK"
            ),
            "No Regulation defined"
        )
    ),
    ""
)</f>
        <v/>
      </c>
      <c r="AB3500" s="62" t="str">
        <f t="shared" si="54"/>
        <v/>
      </c>
    </row>
    <row r="3501" spans="20:28" x14ac:dyDescent="0.2">
      <c r="T3501" s="60" t="str">
        <f>IF(P3501&lt;&gt;"",
    IF(OR(O3501="", Q3501="", R3501=""),
        "Fill all the required columns",
        IFERROR(
            IF(OR(
                AND(R3501="Marine Protected", VLOOKUP(O3501, Reference!$A$2:$D$34, 4, FALSE) &lt;= P3501),
                AND(R3501="General Use", VLOOKUP(O3501, Reference!$A$2:$D$34, 3, FALSE) &lt;= P3501)
            ),
                "Exceeded",
                "OK"
            ),
            "No Regulation defined"
        )
    ),
    ""
)</f>
        <v/>
      </c>
      <c r="AB3501" s="62" t="str">
        <f t="shared" si="54"/>
        <v/>
      </c>
    </row>
    <row r="3502" spans="20:28" x14ac:dyDescent="0.2">
      <c r="T3502" s="60" t="str">
        <f>IF(P3502&lt;&gt;"",
    IF(OR(O3502="", Q3502="", R3502=""),
        "Fill all the required columns",
        IFERROR(
            IF(OR(
                AND(R3502="Marine Protected", VLOOKUP(O3502, Reference!$A$2:$D$34, 4, FALSE) &lt;= P3502),
                AND(R3502="General Use", VLOOKUP(O3502, Reference!$A$2:$D$34, 3, FALSE) &lt;= P3502)
            ),
                "Exceeded",
                "OK"
            ),
            "No Regulation defined"
        )
    ),
    ""
)</f>
        <v/>
      </c>
      <c r="AB3502" s="62" t="str">
        <f t="shared" si="54"/>
        <v/>
      </c>
    </row>
    <row r="3503" spans="20:28" x14ac:dyDescent="0.2">
      <c r="T3503" s="60" t="str">
        <f>IF(P3503&lt;&gt;"",
    IF(OR(O3503="", Q3503="", R3503=""),
        "Fill all the required columns",
        IFERROR(
            IF(OR(
                AND(R3503="Marine Protected", VLOOKUP(O3503, Reference!$A$2:$D$34, 4, FALSE) &lt;= P3503),
                AND(R3503="General Use", VLOOKUP(O3503, Reference!$A$2:$D$34, 3, FALSE) &lt;= P3503)
            ),
                "Exceeded",
                "OK"
            ),
            "No Regulation defined"
        )
    ),
    ""
)</f>
        <v/>
      </c>
      <c r="AB3503" s="62" t="str">
        <f t="shared" si="54"/>
        <v/>
      </c>
    </row>
    <row r="3504" spans="20:28" x14ac:dyDescent="0.2">
      <c r="T3504" s="60" t="str">
        <f>IF(P3504&lt;&gt;"",
    IF(OR(O3504="", Q3504="", R3504=""),
        "Fill all the required columns",
        IFERROR(
            IF(OR(
                AND(R3504="Marine Protected", VLOOKUP(O3504, Reference!$A$2:$D$34, 4, FALSE) &lt;= P3504),
                AND(R3504="General Use", VLOOKUP(O3504, Reference!$A$2:$D$34, 3, FALSE) &lt;= P3504)
            ),
                "Exceeded",
                "OK"
            ),
            "No Regulation defined"
        )
    ),
    ""
)</f>
        <v/>
      </c>
      <c r="AB3504" s="62" t="str">
        <f t="shared" si="54"/>
        <v/>
      </c>
    </row>
    <row r="3505" spans="20:28" x14ac:dyDescent="0.2">
      <c r="T3505" s="60" t="str">
        <f>IF(P3505&lt;&gt;"",
    IF(OR(O3505="", Q3505="", R3505=""),
        "Fill all the required columns",
        IFERROR(
            IF(OR(
                AND(R3505="Marine Protected", VLOOKUP(O3505, Reference!$A$2:$D$34, 4, FALSE) &lt;= P3505),
                AND(R3505="General Use", VLOOKUP(O3505, Reference!$A$2:$D$34, 3, FALSE) &lt;= P3505)
            ),
                "Exceeded",
                "OK"
            ),
            "No Regulation defined"
        )
    ),
    ""
)</f>
        <v/>
      </c>
      <c r="AB3505" s="62" t="str">
        <f t="shared" si="54"/>
        <v/>
      </c>
    </row>
    <row r="3506" spans="20:28" x14ac:dyDescent="0.2">
      <c r="T3506" s="60" t="str">
        <f>IF(P3506&lt;&gt;"",
    IF(OR(O3506="", Q3506="", R3506=""),
        "Fill all the required columns",
        IFERROR(
            IF(OR(
                AND(R3506="Marine Protected", VLOOKUP(O3506, Reference!$A$2:$D$34, 4, FALSE) &lt;= P3506),
                AND(R3506="General Use", VLOOKUP(O3506, Reference!$A$2:$D$34, 3, FALSE) &lt;= P3506)
            ),
                "Exceeded",
                "OK"
            ),
            "No Regulation defined"
        )
    ),
    ""
)</f>
        <v/>
      </c>
      <c r="AB3506" s="62" t="str">
        <f t="shared" si="54"/>
        <v/>
      </c>
    </row>
    <row r="3507" spans="20:28" x14ac:dyDescent="0.2">
      <c r="T3507" s="60" t="str">
        <f>IF(P3507&lt;&gt;"",
    IF(OR(O3507="", Q3507="", R3507=""),
        "Fill all the required columns",
        IFERROR(
            IF(OR(
                AND(R3507="Marine Protected", VLOOKUP(O3507, Reference!$A$2:$D$34, 4, FALSE) &lt;= P3507),
                AND(R3507="General Use", VLOOKUP(O3507, Reference!$A$2:$D$34, 3, FALSE) &lt;= P3507)
            ),
                "Exceeded",
                "OK"
            ),
            "No Regulation defined"
        )
    ),
    ""
)</f>
        <v/>
      </c>
      <c r="AB3507" s="62" t="str">
        <f t="shared" si="54"/>
        <v/>
      </c>
    </row>
    <row r="3508" spans="20:28" x14ac:dyDescent="0.2">
      <c r="T3508" s="60" t="str">
        <f>IF(P3508&lt;&gt;"",
    IF(OR(O3508="", Q3508="", R3508=""),
        "Fill all the required columns",
        IFERROR(
            IF(OR(
                AND(R3508="Marine Protected", VLOOKUP(O3508, Reference!$A$2:$D$34, 4, FALSE) &lt;= P3508),
                AND(R3508="General Use", VLOOKUP(O3508, Reference!$A$2:$D$34, 3, FALSE) &lt;= P3508)
            ),
                "Exceeded",
                "OK"
            ),
            "No Regulation defined"
        )
    ),
    ""
)</f>
        <v/>
      </c>
      <c r="AB3508" s="62" t="str">
        <f t="shared" si="54"/>
        <v/>
      </c>
    </row>
    <row r="3509" spans="20:28" x14ac:dyDescent="0.2">
      <c r="T3509" s="60" t="str">
        <f>IF(P3509&lt;&gt;"",
    IF(OR(O3509="", Q3509="", R3509=""),
        "Fill all the required columns",
        IFERROR(
            IF(OR(
                AND(R3509="Marine Protected", VLOOKUP(O3509, Reference!$A$2:$D$34, 4, FALSE) &lt;= P3509),
                AND(R3509="General Use", VLOOKUP(O3509, Reference!$A$2:$D$34, 3, FALSE) &lt;= P3509)
            ),
                "Exceeded",
                "OK"
            ),
            "No Regulation defined"
        )
    ),
    ""
)</f>
        <v/>
      </c>
      <c r="AB3509" s="62" t="str">
        <f t="shared" si="54"/>
        <v/>
      </c>
    </row>
    <row r="3510" spans="20:28" x14ac:dyDescent="0.2">
      <c r="T3510" s="60" t="str">
        <f>IF(P3510&lt;&gt;"",
    IF(OR(O3510="", Q3510="", R3510=""),
        "Fill all the required columns",
        IFERROR(
            IF(OR(
                AND(R3510="Marine Protected", VLOOKUP(O3510, Reference!$A$2:$D$34, 4, FALSE) &lt;= P3510),
                AND(R3510="General Use", VLOOKUP(O3510, Reference!$A$2:$D$34, 3, FALSE) &lt;= P3510)
            ),
                "Exceeded",
                "OK"
            ),
            "No Regulation defined"
        )
    ),
    ""
)</f>
        <v/>
      </c>
      <c r="AB3510" s="62" t="str">
        <f t="shared" si="54"/>
        <v/>
      </c>
    </row>
    <row r="3511" spans="20:28" x14ac:dyDescent="0.2">
      <c r="T3511" s="60" t="str">
        <f>IF(P3511&lt;&gt;"",
    IF(OR(O3511="", Q3511="", R3511=""),
        "Fill all the required columns",
        IFERROR(
            IF(OR(
                AND(R3511="Marine Protected", VLOOKUP(O3511, Reference!$A$2:$D$34, 4, FALSE) &lt;= P3511),
                AND(R3511="General Use", VLOOKUP(O3511, Reference!$A$2:$D$34, 3, FALSE) &lt;= P3511)
            ),
                "Exceeded",
                "OK"
            ),
            "No Regulation defined"
        )
    ),
    ""
)</f>
        <v/>
      </c>
      <c r="AB3511" s="62" t="str">
        <f t="shared" si="54"/>
        <v/>
      </c>
    </row>
    <row r="3512" spans="20:28" x14ac:dyDescent="0.2">
      <c r="T3512" s="60" t="str">
        <f>IF(P3512&lt;&gt;"",
    IF(OR(O3512="", Q3512="", R3512=""),
        "Fill all the required columns",
        IFERROR(
            IF(OR(
                AND(R3512="Marine Protected", VLOOKUP(O3512, Reference!$A$2:$D$34, 4, FALSE) &lt;= P3512),
                AND(R3512="General Use", VLOOKUP(O3512, Reference!$A$2:$D$34, 3, FALSE) &lt;= P3512)
            ),
                "Exceeded",
                "OK"
            ),
            "No Regulation defined"
        )
    ),
    ""
)</f>
        <v/>
      </c>
      <c r="AB3512" s="62" t="str">
        <f t="shared" si="54"/>
        <v/>
      </c>
    </row>
    <row r="3513" spans="20:28" x14ac:dyDescent="0.2">
      <c r="T3513" s="60" t="str">
        <f>IF(P3513&lt;&gt;"",
    IF(OR(O3513="", Q3513="", R3513=""),
        "Fill all the required columns",
        IFERROR(
            IF(OR(
                AND(R3513="Marine Protected", VLOOKUP(O3513, Reference!$A$2:$D$34, 4, FALSE) &lt;= P3513),
                AND(R3513="General Use", VLOOKUP(O3513, Reference!$A$2:$D$34, 3, FALSE) &lt;= P3513)
            ),
                "Exceeded",
                "OK"
            ),
            "No Regulation defined"
        )
    ),
    ""
)</f>
        <v/>
      </c>
      <c r="AB3513" s="62" t="str">
        <f t="shared" si="54"/>
        <v/>
      </c>
    </row>
    <row r="3514" spans="20:28" x14ac:dyDescent="0.2">
      <c r="T3514" s="60" t="str">
        <f>IF(P3514&lt;&gt;"",
    IF(OR(O3514="", Q3514="", R3514=""),
        "Fill all the required columns",
        IFERROR(
            IF(OR(
                AND(R3514="Marine Protected", VLOOKUP(O3514, Reference!$A$2:$D$34, 4, FALSE) &lt;= P3514),
                AND(R3514="General Use", VLOOKUP(O3514, Reference!$A$2:$D$34, 3, FALSE) &lt;= P3514)
            ),
                "Exceeded",
                "OK"
            ),
            "No Regulation defined"
        )
    ),
    ""
)</f>
        <v/>
      </c>
      <c r="AB3514" s="62" t="str">
        <f t="shared" si="54"/>
        <v/>
      </c>
    </row>
    <row r="3515" spans="20:28" x14ac:dyDescent="0.2">
      <c r="T3515" s="60" t="str">
        <f>IF(P3515&lt;&gt;"",
    IF(OR(O3515="", Q3515="", R3515=""),
        "Fill all the required columns",
        IFERROR(
            IF(OR(
                AND(R3515="Marine Protected", VLOOKUP(O3515, Reference!$A$2:$D$34, 4, FALSE) &lt;= P3515),
                AND(R3515="General Use", VLOOKUP(O3515, Reference!$A$2:$D$34, 3, FALSE) &lt;= P3515)
            ),
                "Exceeded",
                "OK"
            ),
            "No Regulation defined"
        )
    ),
    ""
)</f>
        <v/>
      </c>
      <c r="AB3515" s="62" t="str">
        <f t="shared" si="54"/>
        <v/>
      </c>
    </row>
    <row r="3516" spans="20:28" x14ac:dyDescent="0.2">
      <c r="T3516" s="60" t="str">
        <f>IF(P3516&lt;&gt;"",
    IF(OR(O3516="", Q3516="", R3516=""),
        "Fill all the required columns",
        IFERROR(
            IF(OR(
                AND(R3516="Marine Protected", VLOOKUP(O3516, Reference!$A$2:$D$34, 4, FALSE) &lt;= P3516),
                AND(R3516="General Use", VLOOKUP(O3516, Reference!$A$2:$D$34, 3, FALSE) &lt;= P3516)
            ),
                "Exceeded",
                "OK"
            ),
            "No Regulation defined"
        )
    ),
    ""
)</f>
        <v/>
      </c>
      <c r="AB3516" s="62" t="str">
        <f t="shared" si="54"/>
        <v/>
      </c>
    </row>
    <row r="3517" spans="20:28" x14ac:dyDescent="0.2">
      <c r="T3517" s="60" t="str">
        <f>IF(P3517&lt;&gt;"",
    IF(OR(O3517="", Q3517="", R3517=""),
        "Fill all the required columns",
        IFERROR(
            IF(OR(
                AND(R3517="Marine Protected", VLOOKUP(O3517, Reference!$A$2:$D$34, 4, FALSE) &lt;= P3517),
                AND(R3517="General Use", VLOOKUP(O3517, Reference!$A$2:$D$34, 3, FALSE) &lt;= P3517)
            ),
                "Exceeded",
                "OK"
            ),
            "No Regulation defined"
        )
    ),
    ""
)</f>
        <v/>
      </c>
      <c r="AB3517" s="62" t="str">
        <f t="shared" si="54"/>
        <v/>
      </c>
    </row>
    <row r="3518" spans="20:28" x14ac:dyDescent="0.2">
      <c r="T3518" s="60" t="str">
        <f>IF(P3518&lt;&gt;"",
    IF(OR(O3518="", Q3518="", R3518=""),
        "Fill all the required columns",
        IFERROR(
            IF(OR(
                AND(R3518="Marine Protected", VLOOKUP(O3518, Reference!$A$2:$D$34, 4, FALSE) &lt;= P3518),
                AND(R3518="General Use", VLOOKUP(O3518, Reference!$A$2:$D$34, 3, FALSE) &lt;= P3518)
            ),
                "Exceeded",
                "OK"
            ),
            "No Regulation defined"
        )
    ),
    ""
)</f>
        <v/>
      </c>
      <c r="AB3518" s="62" t="str">
        <f t="shared" si="54"/>
        <v/>
      </c>
    </row>
    <row r="3519" spans="20:28" x14ac:dyDescent="0.2">
      <c r="T3519" s="60" t="str">
        <f>IF(P3519&lt;&gt;"",
    IF(OR(O3519="", Q3519="", R3519=""),
        "Fill all the required columns",
        IFERROR(
            IF(OR(
                AND(R3519="Marine Protected", VLOOKUP(O3519, Reference!$A$2:$D$34, 4, FALSE) &lt;= P3519),
                AND(R3519="General Use", VLOOKUP(O3519, Reference!$A$2:$D$34, 3, FALSE) &lt;= P3519)
            ),
                "Exceeded",
                "OK"
            ),
            "No Regulation defined"
        )
    ),
    ""
)</f>
        <v/>
      </c>
      <c r="AB3519" s="62" t="str">
        <f t="shared" si="54"/>
        <v/>
      </c>
    </row>
    <row r="3520" spans="20:28" x14ac:dyDescent="0.2">
      <c r="T3520" s="60" t="str">
        <f>IF(P3520&lt;&gt;"",
    IF(OR(O3520="", Q3520="", R3520=""),
        "Fill all the required columns",
        IFERROR(
            IF(OR(
                AND(R3520="Marine Protected", VLOOKUP(O3520, Reference!$A$2:$D$34, 4, FALSE) &lt;= P3520),
                AND(R3520="General Use", VLOOKUP(O3520, Reference!$A$2:$D$34, 3, FALSE) &lt;= P3520)
            ),
                "Exceeded",
                "OK"
            ),
            "No Regulation defined"
        )
    ),
    ""
)</f>
        <v/>
      </c>
      <c r="AB3520" s="62" t="str">
        <f t="shared" si="54"/>
        <v/>
      </c>
    </row>
    <row r="3521" spans="20:28" x14ac:dyDescent="0.2">
      <c r="T3521" s="60" t="str">
        <f>IF(P3521&lt;&gt;"",
    IF(OR(O3521="", Q3521="", R3521=""),
        "Fill all the required columns",
        IFERROR(
            IF(OR(
                AND(R3521="Marine Protected", VLOOKUP(O3521, Reference!$A$2:$D$34, 4, FALSE) &lt;= P3521),
                AND(R3521="General Use", VLOOKUP(O3521, Reference!$A$2:$D$34, 3, FALSE) &lt;= P3521)
            ),
                "Exceeded",
                "OK"
            ),
            "No Regulation defined"
        )
    ),
    ""
)</f>
        <v/>
      </c>
      <c r="AB3521" s="62" t="str">
        <f t="shared" si="54"/>
        <v/>
      </c>
    </row>
    <row r="3522" spans="20:28" x14ac:dyDescent="0.2">
      <c r="T3522" s="60" t="str">
        <f>IF(P3522&lt;&gt;"",
    IF(OR(O3522="", Q3522="", R3522=""),
        "Fill all the required columns",
        IFERROR(
            IF(OR(
                AND(R3522="Marine Protected", VLOOKUP(O3522, Reference!$A$2:$D$34, 4, FALSE) &lt;= P3522),
                AND(R3522="General Use", VLOOKUP(O3522, Reference!$A$2:$D$34, 3, FALSE) &lt;= P3522)
            ),
                "Exceeded",
                "OK"
            ),
            "No Regulation defined"
        )
    ),
    ""
)</f>
        <v/>
      </c>
      <c r="AB3522" s="62" t="str">
        <f t="shared" si="54"/>
        <v/>
      </c>
    </row>
    <row r="3523" spans="20:28" x14ac:dyDescent="0.2">
      <c r="T3523" s="60" t="str">
        <f>IF(P3523&lt;&gt;"",
    IF(OR(O3523="", Q3523="", R3523=""),
        "Fill all the required columns",
        IFERROR(
            IF(OR(
                AND(R3523="Marine Protected", VLOOKUP(O3523, Reference!$A$2:$D$34, 4, FALSE) &lt;= P3523),
                AND(R3523="General Use", VLOOKUP(O3523, Reference!$A$2:$D$34, 3, FALSE) &lt;= P3523)
            ),
                "Exceeded",
                "OK"
            ),
            "No Regulation defined"
        )
    ),
    ""
)</f>
        <v/>
      </c>
      <c r="AB3523" s="62" t="str">
        <f t="shared" ref="AB3523:AB3586" si="55">IF(COUNTA(A3523, E3523, F3523, H3523, I3523, O3523, P3523, Q3523, R3523,S3523) = 0, "", IF(COUNTA(A3523, E3523, F3523, H3523, I3523, O3523, P3523, Q3523, R3523,S3523) = 10, "OK", "Incomplete"))</f>
        <v/>
      </c>
    </row>
    <row r="3524" spans="20:28" x14ac:dyDescent="0.2">
      <c r="T3524" s="60" t="str">
        <f>IF(P3524&lt;&gt;"",
    IF(OR(O3524="", Q3524="", R3524=""),
        "Fill all the required columns",
        IFERROR(
            IF(OR(
                AND(R3524="Marine Protected", VLOOKUP(O3524, Reference!$A$2:$D$34, 4, FALSE) &lt;= P3524),
                AND(R3524="General Use", VLOOKUP(O3524, Reference!$A$2:$D$34, 3, FALSE) &lt;= P3524)
            ),
                "Exceeded",
                "OK"
            ),
            "No Regulation defined"
        )
    ),
    ""
)</f>
        <v/>
      </c>
      <c r="AB3524" s="62" t="str">
        <f t="shared" si="55"/>
        <v/>
      </c>
    </row>
    <row r="3525" spans="20:28" x14ac:dyDescent="0.2">
      <c r="T3525" s="60" t="str">
        <f>IF(P3525&lt;&gt;"",
    IF(OR(O3525="", Q3525="", R3525=""),
        "Fill all the required columns",
        IFERROR(
            IF(OR(
                AND(R3525="Marine Protected", VLOOKUP(O3525, Reference!$A$2:$D$34, 4, FALSE) &lt;= P3525),
                AND(R3525="General Use", VLOOKUP(O3525, Reference!$A$2:$D$34, 3, FALSE) &lt;= P3525)
            ),
                "Exceeded",
                "OK"
            ),
            "No Regulation defined"
        )
    ),
    ""
)</f>
        <v/>
      </c>
      <c r="AB3525" s="62" t="str">
        <f t="shared" si="55"/>
        <v/>
      </c>
    </row>
    <row r="3526" spans="20:28" x14ac:dyDescent="0.2">
      <c r="T3526" s="60" t="str">
        <f>IF(P3526&lt;&gt;"",
    IF(OR(O3526="", Q3526="", R3526=""),
        "Fill all the required columns",
        IFERROR(
            IF(OR(
                AND(R3526="Marine Protected", VLOOKUP(O3526, Reference!$A$2:$D$34, 4, FALSE) &lt;= P3526),
                AND(R3526="General Use", VLOOKUP(O3526, Reference!$A$2:$D$34, 3, FALSE) &lt;= P3526)
            ),
                "Exceeded",
                "OK"
            ),
            "No Regulation defined"
        )
    ),
    ""
)</f>
        <v/>
      </c>
      <c r="AB3526" s="62" t="str">
        <f t="shared" si="55"/>
        <v/>
      </c>
    </row>
    <row r="3527" spans="20:28" x14ac:dyDescent="0.2">
      <c r="T3527" s="60" t="str">
        <f>IF(P3527&lt;&gt;"",
    IF(OR(O3527="", Q3527="", R3527=""),
        "Fill all the required columns",
        IFERROR(
            IF(OR(
                AND(R3527="Marine Protected", VLOOKUP(O3527, Reference!$A$2:$D$34, 4, FALSE) &lt;= P3527),
                AND(R3527="General Use", VLOOKUP(O3527, Reference!$A$2:$D$34, 3, FALSE) &lt;= P3527)
            ),
                "Exceeded",
                "OK"
            ),
            "No Regulation defined"
        )
    ),
    ""
)</f>
        <v/>
      </c>
      <c r="AB3527" s="62" t="str">
        <f t="shared" si="55"/>
        <v/>
      </c>
    </row>
    <row r="3528" spans="20:28" x14ac:dyDescent="0.2">
      <c r="T3528" s="60" t="str">
        <f>IF(P3528&lt;&gt;"",
    IF(OR(O3528="", Q3528="", R3528=""),
        "Fill all the required columns",
        IFERROR(
            IF(OR(
                AND(R3528="Marine Protected", VLOOKUP(O3528, Reference!$A$2:$D$34, 4, FALSE) &lt;= P3528),
                AND(R3528="General Use", VLOOKUP(O3528, Reference!$A$2:$D$34, 3, FALSE) &lt;= P3528)
            ),
                "Exceeded",
                "OK"
            ),
            "No Regulation defined"
        )
    ),
    ""
)</f>
        <v/>
      </c>
      <c r="AB3528" s="62" t="str">
        <f t="shared" si="55"/>
        <v/>
      </c>
    </row>
    <row r="3529" spans="20:28" x14ac:dyDescent="0.2">
      <c r="T3529" s="60" t="str">
        <f>IF(P3529&lt;&gt;"",
    IF(OR(O3529="", Q3529="", R3529=""),
        "Fill all the required columns",
        IFERROR(
            IF(OR(
                AND(R3529="Marine Protected", VLOOKUP(O3529, Reference!$A$2:$D$34, 4, FALSE) &lt;= P3529),
                AND(R3529="General Use", VLOOKUP(O3529, Reference!$A$2:$D$34, 3, FALSE) &lt;= P3529)
            ),
                "Exceeded",
                "OK"
            ),
            "No Regulation defined"
        )
    ),
    ""
)</f>
        <v/>
      </c>
      <c r="AB3529" s="62" t="str">
        <f t="shared" si="55"/>
        <v/>
      </c>
    </row>
    <row r="3530" spans="20:28" x14ac:dyDescent="0.2">
      <c r="T3530" s="60" t="str">
        <f>IF(P3530&lt;&gt;"",
    IF(OR(O3530="", Q3530="", R3530=""),
        "Fill all the required columns",
        IFERROR(
            IF(OR(
                AND(R3530="Marine Protected", VLOOKUP(O3530, Reference!$A$2:$D$34, 4, FALSE) &lt;= P3530),
                AND(R3530="General Use", VLOOKUP(O3530, Reference!$A$2:$D$34, 3, FALSE) &lt;= P3530)
            ),
                "Exceeded",
                "OK"
            ),
            "No Regulation defined"
        )
    ),
    ""
)</f>
        <v/>
      </c>
      <c r="AB3530" s="62" t="str">
        <f t="shared" si="55"/>
        <v/>
      </c>
    </row>
    <row r="3531" spans="20:28" x14ac:dyDescent="0.2">
      <c r="T3531" s="60" t="str">
        <f>IF(P3531&lt;&gt;"",
    IF(OR(O3531="", Q3531="", R3531=""),
        "Fill all the required columns",
        IFERROR(
            IF(OR(
                AND(R3531="Marine Protected", VLOOKUP(O3531, Reference!$A$2:$D$34, 4, FALSE) &lt;= P3531),
                AND(R3531="General Use", VLOOKUP(O3531, Reference!$A$2:$D$34, 3, FALSE) &lt;= P3531)
            ),
                "Exceeded",
                "OK"
            ),
            "No Regulation defined"
        )
    ),
    ""
)</f>
        <v/>
      </c>
      <c r="AB3531" s="62" t="str">
        <f t="shared" si="55"/>
        <v/>
      </c>
    </row>
    <row r="3532" spans="20:28" x14ac:dyDescent="0.2">
      <c r="T3532" s="60" t="str">
        <f>IF(P3532&lt;&gt;"",
    IF(OR(O3532="", Q3532="", R3532=""),
        "Fill all the required columns",
        IFERROR(
            IF(OR(
                AND(R3532="Marine Protected", VLOOKUP(O3532, Reference!$A$2:$D$34, 4, FALSE) &lt;= P3532),
                AND(R3532="General Use", VLOOKUP(O3532, Reference!$A$2:$D$34, 3, FALSE) &lt;= P3532)
            ),
                "Exceeded",
                "OK"
            ),
            "No Regulation defined"
        )
    ),
    ""
)</f>
        <v/>
      </c>
      <c r="AB3532" s="62" t="str">
        <f t="shared" si="55"/>
        <v/>
      </c>
    </row>
    <row r="3533" spans="20:28" x14ac:dyDescent="0.2">
      <c r="T3533" s="60" t="str">
        <f>IF(P3533&lt;&gt;"",
    IF(OR(O3533="", Q3533="", R3533=""),
        "Fill all the required columns",
        IFERROR(
            IF(OR(
                AND(R3533="Marine Protected", VLOOKUP(O3533, Reference!$A$2:$D$34, 4, FALSE) &lt;= P3533),
                AND(R3533="General Use", VLOOKUP(O3533, Reference!$A$2:$D$34, 3, FALSE) &lt;= P3533)
            ),
                "Exceeded",
                "OK"
            ),
            "No Regulation defined"
        )
    ),
    ""
)</f>
        <v/>
      </c>
      <c r="AB3533" s="62" t="str">
        <f t="shared" si="55"/>
        <v/>
      </c>
    </row>
    <row r="3534" spans="20:28" x14ac:dyDescent="0.2">
      <c r="T3534" s="60" t="str">
        <f>IF(P3534&lt;&gt;"",
    IF(OR(O3534="", Q3534="", R3534=""),
        "Fill all the required columns",
        IFERROR(
            IF(OR(
                AND(R3534="Marine Protected", VLOOKUP(O3534, Reference!$A$2:$D$34, 4, FALSE) &lt;= P3534),
                AND(R3534="General Use", VLOOKUP(O3534, Reference!$A$2:$D$34, 3, FALSE) &lt;= P3534)
            ),
                "Exceeded",
                "OK"
            ),
            "No Regulation defined"
        )
    ),
    ""
)</f>
        <v/>
      </c>
      <c r="AB3534" s="62" t="str">
        <f t="shared" si="55"/>
        <v/>
      </c>
    </row>
    <row r="3535" spans="20:28" x14ac:dyDescent="0.2">
      <c r="T3535" s="60" t="str">
        <f>IF(P3535&lt;&gt;"",
    IF(OR(O3535="", Q3535="", R3535=""),
        "Fill all the required columns",
        IFERROR(
            IF(OR(
                AND(R3535="Marine Protected", VLOOKUP(O3535, Reference!$A$2:$D$34, 4, FALSE) &lt;= P3535),
                AND(R3535="General Use", VLOOKUP(O3535, Reference!$A$2:$D$34, 3, FALSE) &lt;= P3535)
            ),
                "Exceeded",
                "OK"
            ),
            "No Regulation defined"
        )
    ),
    ""
)</f>
        <v/>
      </c>
      <c r="AB3535" s="62" t="str">
        <f t="shared" si="55"/>
        <v/>
      </c>
    </row>
    <row r="3536" spans="20:28" x14ac:dyDescent="0.2">
      <c r="T3536" s="60" t="str">
        <f>IF(P3536&lt;&gt;"",
    IF(OR(O3536="", Q3536="", R3536=""),
        "Fill all the required columns",
        IFERROR(
            IF(OR(
                AND(R3536="Marine Protected", VLOOKUP(O3536, Reference!$A$2:$D$34, 4, FALSE) &lt;= P3536),
                AND(R3536="General Use", VLOOKUP(O3536, Reference!$A$2:$D$34, 3, FALSE) &lt;= P3536)
            ),
                "Exceeded",
                "OK"
            ),
            "No Regulation defined"
        )
    ),
    ""
)</f>
        <v/>
      </c>
      <c r="AB3536" s="62" t="str">
        <f t="shared" si="55"/>
        <v/>
      </c>
    </row>
    <row r="3537" spans="20:28" x14ac:dyDescent="0.2">
      <c r="T3537" s="60" t="str">
        <f>IF(P3537&lt;&gt;"",
    IF(OR(O3537="", Q3537="", R3537=""),
        "Fill all the required columns",
        IFERROR(
            IF(OR(
                AND(R3537="Marine Protected", VLOOKUP(O3537, Reference!$A$2:$D$34, 4, FALSE) &lt;= P3537),
                AND(R3537="General Use", VLOOKUP(O3537, Reference!$A$2:$D$34, 3, FALSE) &lt;= P3537)
            ),
                "Exceeded",
                "OK"
            ),
            "No Regulation defined"
        )
    ),
    ""
)</f>
        <v/>
      </c>
      <c r="AB3537" s="62" t="str">
        <f t="shared" si="55"/>
        <v/>
      </c>
    </row>
    <row r="3538" spans="20:28" x14ac:dyDescent="0.2">
      <c r="T3538" s="60" t="str">
        <f>IF(P3538&lt;&gt;"",
    IF(OR(O3538="", Q3538="", R3538=""),
        "Fill all the required columns",
        IFERROR(
            IF(OR(
                AND(R3538="Marine Protected", VLOOKUP(O3538, Reference!$A$2:$D$34, 4, FALSE) &lt;= P3538),
                AND(R3538="General Use", VLOOKUP(O3538, Reference!$A$2:$D$34, 3, FALSE) &lt;= P3538)
            ),
                "Exceeded",
                "OK"
            ),
            "No Regulation defined"
        )
    ),
    ""
)</f>
        <v/>
      </c>
      <c r="AB3538" s="62" t="str">
        <f t="shared" si="55"/>
        <v/>
      </c>
    </row>
    <row r="3539" spans="20:28" x14ac:dyDescent="0.2">
      <c r="T3539" s="60" t="str">
        <f>IF(P3539&lt;&gt;"",
    IF(OR(O3539="", Q3539="", R3539=""),
        "Fill all the required columns",
        IFERROR(
            IF(OR(
                AND(R3539="Marine Protected", VLOOKUP(O3539, Reference!$A$2:$D$34, 4, FALSE) &lt;= P3539),
                AND(R3539="General Use", VLOOKUP(O3539, Reference!$A$2:$D$34, 3, FALSE) &lt;= P3539)
            ),
                "Exceeded",
                "OK"
            ),
            "No Regulation defined"
        )
    ),
    ""
)</f>
        <v/>
      </c>
      <c r="AB3539" s="62" t="str">
        <f t="shared" si="55"/>
        <v/>
      </c>
    </row>
    <row r="3540" spans="20:28" x14ac:dyDescent="0.2">
      <c r="T3540" s="60" t="str">
        <f>IF(P3540&lt;&gt;"",
    IF(OR(O3540="", Q3540="", R3540=""),
        "Fill all the required columns",
        IFERROR(
            IF(OR(
                AND(R3540="Marine Protected", VLOOKUP(O3540, Reference!$A$2:$D$34, 4, FALSE) &lt;= P3540),
                AND(R3540="General Use", VLOOKUP(O3540, Reference!$A$2:$D$34, 3, FALSE) &lt;= P3540)
            ),
                "Exceeded",
                "OK"
            ),
            "No Regulation defined"
        )
    ),
    ""
)</f>
        <v/>
      </c>
      <c r="AB3540" s="62" t="str">
        <f t="shared" si="55"/>
        <v/>
      </c>
    </row>
    <row r="3541" spans="20:28" x14ac:dyDescent="0.2">
      <c r="T3541" s="60" t="str">
        <f>IF(P3541&lt;&gt;"",
    IF(OR(O3541="", Q3541="", R3541=""),
        "Fill all the required columns",
        IFERROR(
            IF(OR(
                AND(R3541="Marine Protected", VLOOKUP(O3541, Reference!$A$2:$D$34, 4, FALSE) &lt;= P3541),
                AND(R3541="General Use", VLOOKUP(O3541, Reference!$A$2:$D$34, 3, FALSE) &lt;= P3541)
            ),
                "Exceeded",
                "OK"
            ),
            "No Regulation defined"
        )
    ),
    ""
)</f>
        <v/>
      </c>
      <c r="AB3541" s="62" t="str">
        <f t="shared" si="55"/>
        <v/>
      </c>
    </row>
    <row r="3542" spans="20:28" x14ac:dyDescent="0.2">
      <c r="T3542" s="60" t="str">
        <f>IF(P3542&lt;&gt;"",
    IF(OR(O3542="", Q3542="", R3542=""),
        "Fill all the required columns",
        IFERROR(
            IF(OR(
                AND(R3542="Marine Protected", VLOOKUP(O3542, Reference!$A$2:$D$34, 4, FALSE) &lt;= P3542),
                AND(R3542="General Use", VLOOKUP(O3542, Reference!$A$2:$D$34, 3, FALSE) &lt;= P3542)
            ),
                "Exceeded",
                "OK"
            ),
            "No Regulation defined"
        )
    ),
    ""
)</f>
        <v/>
      </c>
      <c r="AB3542" s="62" t="str">
        <f t="shared" si="55"/>
        <v/>
      </c>
    </row>
    <row r="3543" spans="20:28" x14ac:dyDescent="0.2">
      <c r="T3543" s="60" t="str">
        <f>IF(P3543&lt;&gt;"",
    IF(OR(O3543="", Q3543="", R3543=""),
        "Fill all the required columns",
        IFERROR(
            IF(OR(
                AND(R3543="Marine Protected", VLOOKUP(O3543, Reference!$A$2:$D$34, 4, FALSE) &lt;= P3543),
                AND(R3543="General Use", VLOOKUP(O3543, Reference!$A$2:$D$34, 3, FALSE) &lt;= P3543)
            ),
                "Exceeded",
                "OK"
            ),
            "No Regulation defined"
        )
    ),
    ""
)</f>
        <v/>
      </c>
      <c r="AB3543" s="62" t="str">
        <f t="shared" si="55"/>
        <v/>
      </c>
    </row>
    <row r="3544" spans="20:28" x14ac:dyDescent="0.2">
      <c r="T3544" s="60" t="str">
        <f>IF(P3544&lt;&gt;"",
    IF(OR(O3544="", Q3544="", R3544=""),
        "Fill all the required columns",
        IFERROR(
            IF(OR(
                AND(R3544="Marine Protected", VLOOKUP(O3544, Reference!$A$2:$D$34, 4, FALSE) &lt;= P3544),
                AND(R3544="General Use", VLOOKUP(O3544, Reference!$A$2:$D$34, 3, FALSE) &lt;= P3544)
            ),
                "Exceeded",
                "OK"
            ),
            "No Regulation defined"
        )
    ),
    ""
)</f>
        <v/>
      </c>
      <c r="AB3544" s="62" t="str">
        <f t="shared" si="55"/>
        <v/>
      </c>
    </row>
    <row r="3545" spans="20:28" x14ac:dyDescent="0.2">
      <c r="T3545" s="60" t="str">
        <f>IF(P3545&lt;&gt;"",
    IF(OR(O3545="", Q3545="", R3545=""),
        "Fill all the required columns",
        IFERROR(
            IF(OR(
                AND(R3545="Marine Protected", VLOOKUP(O3545, Reference!$A$2:$D$34, 4, FALSE) &lt;= P3545),
                AND(R3545="General Use", VLOOKUP(O3545, Reference!$A$2:$D$34, 3, FALSE) &lt;= P3545)
            ),
                "Exceeded",
                "OK"
            ),
            "No Regulation defined"
        )
    ),
    ""
)</f>
        <v/>
      </c>
      <c r="AB3545" s="62" t="str">
        <f t="shared" si="55"/>
        <v/>
      </c>
    </row>
    <row r="3546" spans="20:28" x14ac:dyDescent="0.2">
      <c r="T3546" s="60" t="str">
        <f>IF(P3546&lt;&gt;"",
    IF(OR(O3546="", Q3546="", R3546=""),
        "Fill all the required columns",
        IFERROR(
            IF(OR(
                AND(R3546="Marine Protected", VLOOKUP(O3546, Reference!$A$2:$D$34, 4, FALSE) &lt;= P3546),
                AND(R3546="General Use", VLOOKUP(O3546, Reference!$A$2:$D$34, 3, FALSE) &lt;= P3546)
            ),
                "Exceeded",
                "OK"
            ),
            "No Regulation defined"
        )
    ),
    ""
)</f>
        <v/>
      </c>
      <c r="AB3546" s="62" t="str">
        <f t="shared" si="55"/>
        <v/>
      </c>
    </row>
    <row r="3547" spans="20:28" x14ac:dyDescent="0.2">
      <c r="T3547" s="60" t="str">
        <f>IF(P3547&lt;&gt;"",
    IF(OR(O3547="", Q3547="", R3547=""),
        "Fill all the required columns",
        IFERROR(
            IF(OR(
                AND(R3547="Marine Protected", VLOOKUP(O3547, Reference!$A$2:$D$34, 4, FALSE) &lt;= P3547),
                AND(R3547="General Use", VLOOKUP(O3547, Reference!$A$2:$D$34, 3, FALSE) &lt;= P3547)
            ),
                "Exceeded",
                "OK"
            ),
            "No Regulation defined"
        )
    ),
    ""
)</f>
        <v/>
      </c>
      <c r="AB3547" s="62" t="str">
        <f t="shared" si="55"/>
        <v/>
      </c>
    </row>
    <row r="3548" spans="20:28" x14ac:dyDescent="0.2">
      <c r="T3548" s="60" t="str">
        <f>IF(P3548&lt;&gt;"",
    IF(OR(O3548="", Q3548="", R3548=""),
        "Fill all the required columns",
        IFERROR(
            IF(OR(
                AND(R3548="Marine Protected", VLOOKUP(O3548, Reference!$A$2:$D$34, 4, FALSE) &lt;= P3548),
                AND(R3548="General Use", VLOOKUP(O3548, Reference!$A$2:$D$34, 3, FALSE) &lt;= P3548)
            ),
                "Exceeded",
                "OK"
            ),
            "No Regulation defined"
        )
    ),
    ""
)</f>
        <v/>
      </c>
      <c r="AB3548" s="62" t="str">
        <f t="shared" si="55"/>
        <v/>
      </c>
    </row>
    <row r="3549" spans="20:28" x14ac:dyDescent="0.2">
      <c r="T3549" s="60" t="str">
        <f>IF(P3549&lt;&gt;"",
    IF(OR(O3549="", Q3549="", R3549=""),
        "Fill all the required columns",
        IFERROR(
            IF(OR(
                AND(R3549="Marine Protected", VLOOKUP(O3549, Reference!$A$2:$D$34, 4, FALSE) &lt;= P3549),
                AND(R3549="General Use", VLOOKUP(O3549, Reference!$A$2:$D$34, 3, FALSE) &lt;= P3549)
            ),
                "Exceeded",
                "OK"
            ),
            "No Regulation defined"
        )
    ),
    ""
)</f>
        <v/>
      </c>
      <c r="AB3549" s="62" t="str">
        <f t="shared" si="55"/>
        <v/>
      </c>
    </row>
    <row r="3550" spans="20:28" x14ac:dyDescent="0.2">
      <c r="T3550" s="60" t="str">
        <f>IF(P3550&lt;&gt;"",
    IF(OR(O3550="", Q3550="", R3550=""),
        "Fill all the required columns",
        IFERROR(
            IF(OR(
                AND(R3550="Marine Protected", VLOOKUP(O3550, Reference!$A$2:$D$34, 4, FALSE) &lt;= P3550),
                AND(R3550="General Use", VLOOKUP(O3550, Reference!$A$2:$D$34, 3, FALSE) &lt;= P3550)
            ),
                "Exceeded",
                "OK"
            ),
            "No Regulation defined"
        )
    ),
    ""
)</f>
        <v/>
      </c>
      <c r="AB3550" s="62" t="str">
        <f t="shared" si="55"/>
        <v/>
      </c>
    </row>
    <row r="3551" spans="20:28" x14ac:dyDescent="0.2">
      <c r="T3551" s="60" t="str">
        <f>IF(P3551&lt;&gt;"",
    IF(OR(O3551="", Q3551="", R3551=""),
        "Fill all the required columns",
        IFERROR(
            IF(OR(
                AND(R3551="Marine Protected", VLOOKUP(O3551, Reference!$A$2:$D$34, 4, FALSE) &lt;= P3551),
                AND(R3551="General Use", VLOOKUP(O3551, Reference!$A$2:$D$34, 3, FALSE) &lt;= P3551)
            ),
                "Exceeded",
                "OK"
            ),
            "No Regulation defined"
        )
    ),
    ""
)</f>
        <v/>
      </c>
      <c r="AB3551" s="62" t="str">
        <f t="shared" si="55"/>
        <v/>
      </c>
    </row>
    <row r="3552" spans="20:28" x14ac:dyDescent="0.2">
      <c r="T3552" s="60" t="str">
        <f>IF(P3552&lt;&gt;"",
    IF(OR(O3552="", Q3552="", R3552=""),
        "Fill all the required columns",
        IFERROR(
            IF(OR(
                AND(R3552="Marine Protected", VLOOKUP(O3552, Reference!$A$2:$D$34, 4, FALSE) &lt;= P3552),
                AND(R3552="General Use", VLOOKUP(O3552, Reference!$A$2:$D$34, 3, FALSE) &lt;= P3552)
            ),
                "Exceeded",
                "OK"
            ),
            "No Regulation defined"
        )
    ),
    ""
)</f>
        <v/>
      </c>
      <c r="AB3552" s="62" t="str">
        <f t="shared" si="55"/>
        <v/>
      </c>
    </row>
    <row r="3553" spans="20:28" x14ac:dyDescent="0.2">
      <c r="T3553" s="60" t="str">
        <f>IF(P3553&lt;&gt;"",
    IF(OR(O3553="", Q3553="", R3553=""),
        "Fill all the required columns",
        IFERROR(
            IF(OR(
                AND(R3553="Marine Protected", VLOOKUP(O3553, Reference!$A$2:$D$34, 4, FALSE) &lt;= P3553),
                AND(R3553="General Use", VLOOKUP(O3553, Reference!$A$2:$D$34, 3, FALSE) &lt;= P3553)
            ),
                "Exceeded",
                "OK"
            ),
            "No Regulation defined"
        )
    ),
    ""
)</f>
        <v/>
      </c>
      <c r="AB3553" s="62" t="str">
        <f t="shared" si="55"/>
        <v/>
      </c>
    </row>
    <row r="3554" spans="20:28" x14ac:dyDescent="0.2">
      <c r="T3554" s="60" t="str">
        <f>IF(P3554&lt;&gt;"",
    IF(OR(O3554="", Q3554="", R3554=""),
        "Fill all the required columns",
        IFERROR(
            IF(OR(
                AND(R3554="Marine Protected", VLOOKUP(O3554, Reference!$A$2:$D$34, 4, FALSE) &lt;= P3554),
                AND(R3554="General Use", VLOOKUP(O3554, Reference!$A$2:$D$34, 3, FALSE) &lt;= P3554)
            ),
                "Exceeded",
                "OK"
            ),
            "No Regulation defined"
        )
    ),
    ""
)</f>
        <v/>
      </c>
      <c r="AB3554" s="62" t="str">
        <f t="shared" si="55"/>
        <v/>
      </c>
    </row>
    <row r="3555" spans="20:28" x14ac:dyDescent="0.2">
      <c r="T3555" s="60" t="str">
        <f>IF(P3555&lt;&gt;"",
    IF(OR(O3555="", Q3555="", R3555=""),
        "Fill all the required columns",
        IFERROR(
            IF(OR(
                AND(R3555="Marine Protected", VLOOKUP(O3555, Reference!$A$2:$D$34, 4, FALSE) &lt;= P3555),
                AND(R3555="General Use", VLOOKUP(O3555, Reference!$A$2:$D$34, 3, FALSE) &lt;= P3555)
            ),
                "Exceeded",
                "OK"
            ),
            "No Regulation defined"
        )
    ),
    ""
)</f>
        <v/>
      </c>
      <c r="AB3555" s="62" t="str">
        <f t="shared" si="55"/>
        <v/>
      </c>
    </row>
    <row r="3556" spans="20:28" x14ac:dyDescent="0.2">
      <c r="T3556" s="60" t="str">
        <f>IF(P3556&lt;&gt;"",
    IF(OR(O3556="", Q3556="", R3556=""),
        "Fill all the required columns",
        IFERROR(
            IF(OR(
                AND(R3556="Marine Protected", VLOOKUP(O3556, Reference!$A$2:$D$34, 4, FALSE) &lt;= P3556),
                AND(R3556="General Use", VLOOKUP(O3556, Reference!$A$2:$D$34, 3, FALSE) &lt;= P3556)
            ),
                "Exceeded",
                "OK"
            ),
            "No Regulation defined"
        )
    ),
    ""
)</f>
        <v/>
      </c>
      <c r="AB3556" s="62" t="str">
        <f t="shared" si="55"/>
        <v/>
      </c>
    </row>
    <row r="3557" spans="20:28" x14ac:dyDescent="0.2">
      <c r="T3557" s="60" t="str">
        <f>IF(P3557&lt;&gt;"",
    IF(OR(O3557="", Q3557="", R3557=""),
        "Fill all the required columns",
        IFERROR(
            IF(OR(
                AND(R3557="Marine Protected", VLOOKUP(O3557, Reference!$A$2:$D$34, 4, FALSE) &lt;= P3557),
                AND(R3557="General Use", VLOOKUP(O3557, Reference!$A$2:$D$34, 3, FALSE) &lt;= P3557)
            ),
                "Exceeded",
                "OK"
            ),
            "No Regulation defined"
        )
    ),
    ""
)</f>
        <v/>
      </c>
      <c r="AB3557" s="62" t="str">
        <f t="shared" si="55"/>
        <v/>
      </c>
    </row>
    <row r="3558" spans="20:28" x14ac:dyDescent="0.2">
      <c r="T3558" s="60" t="str">
        <f>IF(P3558&lt;&gt;"",
    IF(OR(O3558="", Q3558="", R3558=""),
        "Fill all the required columns",
        IFERROR(
            IF(OR(
                AND(R3558="Marine Protected", VLOOKUP(O3558, Reference!$A$2:$D$34, 4, FALSE) &lt;= P3558),
                AND(R3558="General Use", VLOOKUP(O3558, Reference!$A$2:$D$34, 3, FALSE) &lt;= P3558)
            ),
                "Exceeded",
                "OK"
            ),
            "No Regulation defined"
        )
    ),
    ""
)</f>
        <v/>
      </c>
      <c r="AB3558" s="62" t="str">
        <f t="shared" si="55"/>
        <v/>
      </c>
    </row>
    <row r="3559" spans="20:28" x14ac:dyDescent="0.2">
      <c r="T3559" s="60" t="str">
        <f>IF(P3559&lt;&gt;"",
    IF(OR(O3559="", Q3559="", R3559=""),
        "Fill all the required columns",
        IFERROR(
            IF(OR(
                AND(R3559="Marine Protected", VLOOKUP(O3559, Reference!$A$2:$D$34, 4, FALSE) &lt;= P3559),
                AND(R3559="General Use", VLOOKUP(O3559, Reference!$A$2:$D$34, 3, FALSE) &lt;= P3559)
            ),
                "Exceeded",
                "OK"
            ),
            "No Regulation defined"
        )
    ),
    ""
)</f>
        <v/>
      </c>
      <c r="AB3559" s="62" t="str">
        <f t="shared" si="55"/>
        <v/>
      </c>
    </row>
    <row r="3560" spans="20:28" x14ac:dyDescent="0.2">
      <c r="T3560" s="60" t="str">
        <f>IF(P3560&lt;&gt;"",
    IF(OR(O3560="", Q3560="", R3560=""),
        "Fill all the required columns",
        IFERROR(
            IF(OR(
                AND(R3560="Marine Protected", VLOOKUP(O3560, Reference!$A$2:$D$34, 4, FALSE) &lt;= P3560),
                AND(R3560="General Use", VLOOKUP(O3560, Reference!$A$2:$D$34, 3, FALSE) &lt;= P3560)
            ),
                "Exceeded",
                "OK"
            ),
            "No Regulation defined"
        )
    ),
    ""
)</f>
        <v/>
      </c>
      <c r="AB3560" s="62" t="str">
        <f t="shared" si="55"/>
        <v/>
      </c>
    </row>
    <row r="3561" spans="20:28" x14ac:dyDescent="0.2">
      <c r="T3561" s="60" t="str">
        <f>IF(P3561&lt;&gt;"",
    IF(OR(O3561="", Q3561="", R3561=""),
        "Fill all the required columns",
        IFERROR(
            IF(OR(
                AND(R3561="Marine Protected", VLOOKUP(O3561, Reference!$A$2:$D$34, 4, FALSE) &lt;= P3561),
                AND(R3561="General Use", VLOOKUP(O3561, Reference!$A$2:$D$34, 3, FALSE) &lt;= P3561)
            ),
                "Exceeded",
                "OK"
            ),
            "No Regulation defined"
        )
    ),
    ""
)</f>
        <v/>
      </c>
      <c r="AB3561" s="62" t="str">
        <f t="shared" si="55"/>
        <v/>
      </c>
    </row>
    <row r="3562" spans="20:28" x14ac:dyDescent="0.2">
      <c r="T3562" s="60" t="str">
        <f>IF(P3562&lt;&gt;"",
    IF(OR(O3562="", Q3562="", R3562=""),
        "Fill all the required columns",
        IFERROR(
            IF(OR(
                AND(R3562="Marine Protected", VLOOKUP(O3562, Reference!$A$2:$D$34, 4, FALSE) &lt;= P3562),
                AND(R3562="General Use", VLOOKUP(O3562, Reference!$A$2:$D$34, 3, FALSE) &lt;= P3562)
            ),
                "Exceeded",
                "OK"
            ),
            "No Regulation defined"
        )
    ),
    ""
)</f>
        <v/>
      </c>
      <c r="AB3562" s="62" t="str">
        <f t="shared" si="55"/>
        <v/>
      </c>
    </row>
    <row r="3563" spans="20:28" x14ac:dyDescent="0.2">
      <c r="T3563" s="60" t="str">
        <f>IF(P3563&lt;&gt;"",
    IF(OR(O3563="", Q3563="", R3563=""),
        "Fill all the required columns",
        IFERROR(
            IF(OR(
                AND(R3563="Marine Protected", VLOOKUP(O3563, Reference!$A$2:$D$34, 4, FALSE) &lt;= P3563),
                AND(R3563="General Use", VLOOKUP(O3563, Reference!$A$2:$D$34, 3, FALSE) &lt;= P3563)
            ),
                "Exceeded",
                "OK"
            ),
            "No Regulation defined"
        )
    ),
    ""
)</f>
        <v/>
      </c>
      <c r="AB3563" s="62" t="str">
        <f t="shared" si="55"/>
        <v/>
      </c>
    </row>
    <row r="3564" spans="20:28" x14ac:dyDescent="0.2">
      <c r="T3564" s="60" t="str">
        <f>IF(P3564&lt;&gt;"",
    IF(OR(O3564="", Q3564="", R3564=""),
        "Fill all the required columns",
        IFERROR(
            IF(OR(
                AND(R3564="Marine Protected", VLOOKUP(O3564, Reference!$A$2:$D$34, 4, FALSE) &lt;= P3564),
                AND(R3564="General Use", VLOOKUP(O3564, Reference!$A$2:$D$34, 3, FALSE) &lt;= P3564)
            ),
                "Exceeded",
                "OK"
            ),
            "No Regulation defined"
        )
    ),
    ""
)</f>
        <v/>
      </c>
      <c r="AB3564" s="62" t="str">
        <f t="shared" si="55"/>
        <v/>
      </c>
    </row>
    <row r="3565" spans="20:28" x14ac:dyDescent="0.2">
      <c r="T3565" s="60" t="str">
        <f>IF(P3565&lt;&gt;"",
    IF(OR(O3565="", Q3565="", R3565=""),
        "Fill all the required columns",
        IFERROR(
            IF(OR(
                AND(R3565="Marine Protected", VLOOKUP(O3565, Reference!$A$2:$D$34, 4, FALSE) &lt;= P3565),
                AND(R3565="General Use", VLOOKUP(O3565, Reference!$A$2:$D$34, 3, FALSE) &lt;= P3565)
            ),
                "Exceeded",
                "OK"
            ),
            "No Regulation defined"
        )
    ),
    ""
)</f>
        <v/>
      </c>
      <c r="AB3565" s="62" t="str">
        <f t="shared" si="55"/>
        <v/>
      </c>
    </row>
    <row r="3566" spans="20:28" x14ac:dyDescent="0.2">
      <c r="T3566" s="60" t="str">
        <f>IF(P3566&lt;&gt;"",
    IF(OR(O3566="", Q3566="", R3566=""),
        "Fill all the required columns",
        IFERROR(
            IF(OR(
                AND(R3566="Marine Protected", VLOOKUP(O3566, Reference!$A$2:$D$34, 4, FALSE) &lt;= P3566),
                AND(R3566="General Use", VLOOKUP(O3566, Reference!$A$2:$D$34, 3, FALSE) &lt;= P3566)
            ),
                "Exceeded",
                "OK"
            ),
            "No Regulation defined"
        )
    ),
    ""
)</f>
        <v/>
      </c>
      <c r="AB3566" s="62" t="str">
        <f t="shared" si="55"/>
        <v/>
      </c>
    </row>
    <row r="3567" spans="20:28" x14ac:dyDescent="0.2">
      <c r="T3567" s="60" t="str">
        <f>IF(P3567&lt;&gt;"",
    IF(OR(O3567="", Q3567="", R3567=""),
        "Fill all the required columns",
        IFERROR(
            IF(OR(
                AND(R3567="Marine Protected", VLOOKUP(O3567, Reference!$A$2:$D$34, 4, FALSE) &lt;= P3567),
                AND(R3567="General Use", VLOOKUP(O3567, Reference!$A$2:$D$34, 3, FALSE) &lt;= P3567)
            ),
                "Exceeded",
                "OK"
            ),
            "No Regulation defined"
        )
    ),
    ""
)</f>
        <v/>
      </c>
      <c r="AB3567" s="62" t="str">
        <f t="shared" si="55"/>
        <v/>
      </c>
    </row>
    <row r="3568" spans="20:28" x14ac:dyDescent="0.2">
      <c r="T3568" s="60" t="str">
        <f>IF(P3568&lt;&gt;"",
    IF(OR(O3568="", Q3568="", R3568=""),
        "Fill all the required columns",
        IFERROR(
            IF(OR(
                AND(R3568="Marine Protected", VLOOKUP(O3568, Reference!$A$2:$D$34, 4, FALSE) &lt;= P3568),
                AND(R3568="General Use", VLOOKUP(O3568, Reference!$A$2:$D$34, 3, FALSE) &lt;= P3568)
            ),
                "Exceeded",
                "OK"
            ),
            "No Regulation defined"
        )
    ),
    ""
)</f>
        <v/>
      </c>
      <c r="AB3568" s="62" t="str">
        <f t="shared" si="55"/>
        <v/>
      </c>
    </row>
    <row r="3569" spans="20:28" x14ac:dyDescent="0.2">
      <c r="T3569" s="60" t="str">
        <f>IF(P3569&lt;&gt;"",
    IF(OR(O3569="", Q3569="", R3569=""),
        "Fill all the required columns",
        IFERROR(
            IF(OR(
                AND(R3569="Marine Protected", VLOOKUP(O3569, Reference!$A$2:$D$34, 4, FALSE) &lt;= P3569),
                AND(R3569="General Use", VLOOKUP(O3569, Reference!$A$2:$D$34, 3, FALSE) &lt;= P3569)
            ),
                "Exceeded",
                "OK"
            ),
            "No Regulation defined"
        )
    ),
    ""
)</f>
        <v/>
      </c>
      <c r="AB3569" s="62" t="str">
        <f t="shared" si="55"/>
        <v/>
      </c>
    </row>
    <row r="3570" spans="20:28" x14ac:dyDescent="0.2">
      <c r="T3570" s="60" t="str">
        <f>IF(P3570&lt;&gt;"",
    IF(OR(O3570="", Q3570="", R3570=""),
        "Fill all the required columns",
        IFERROR(
            IF(OR(
                AND(R3570="Marine Protected", VLOOKUP(O3570, Reference!$A$2:$D$34, 4, FALSE) &lt;= P3570),
                AND(R3570="General Use", VLOOKUP(O3570, Reference!$A$2:$D$34, 3, FALSE) &lt;= P3570)
            ),
                "Exceeded",
                "OK"
            ),
            "No Regulation defined"
        )
    ),
    ""
)</f>
        <v/>
      </c>
      <c r="AB3570" s="62" t="str">
        <f t="shared" si="55"/>
        <v/>
      </c>
    </row>
    <row r="3571" spans="20:28" x14ac:dyDescent="0.2">
      <c r="T3571" s="60" t="str">
        <f>IF(P3571&lt;&gt;"",
    IF(OR(O3571="", Q3571="", R3571=""),
        "Fill all the required columns",
        IFERROR(
            IF(OR(
                AND(R3571="Marine Protected", VLOOKUP(O3571, Reference!$A$2:$D$34, 4, FALSE) &lt;= P3571),
                AND(R3571="General Use", VLOOKUP(O3571, Reference!$A$2:$D$34, 3, FALSE) &lt;= P3571)
            ),
                "Exceeded",
                "OK"
            ),
            "No Regulation defined"
        )
    ),
    ""
)</f>
        <v/>
      </c>
      <c r="AB3571" s="62" t="str">
        <f t="shared" si="55"/>
        <v/>
      </c>
    </row>
    <row r="3572" spans="20:28" x14ac:dyDescent="0.2">
      <c r="T3572" s="60" t="str">
        <f>IF(P3572&lt;&gt;"",
    IF(OR(O3572="", Q3572="", R3572=""),
        "Fill all the required columns",
        IFERROR(
            IF(OR(
                AND(R3572="Marine Protected", VLOOKUP(O3572, Reference!$A$2:$D$34, 4, FALSE) &lt;= P3572),
                AND(R3572="General Use", VLOOKUP(O3572, Reference!$A$2:$D$34, 3, FALSE) &lt;= P3572)
            ),
                "Exceeded",
                "OK"
            ),
            "No Regulation defined"
        )
    ),
    ""
)</f>
        <v/>
      </c>
      <c r="AB3572" s="62" t="str">
        <f t="shared" si="55"/>
        <v/>
      </c>
    </row>
    <row r="3573" spans="20:28" x14ac:dyDescent="0.2">
      <c r="T3573" s="60" t="str">
        <f>IF(P3573&lt;&gt;"",
    IF(OR(O3573="", Q3573="", R3573=""),
        "Fill all the required columns",
        IFERROR(
            IF(OR(
                AND(R3573="Marine Protected", VLOOKUP(O3573, Reference!$A$2:$D$34, 4, FALSE) &lt;= P3573),
                AND(R3573="General Use", VLOOKUP(O3573, Reference!$A$2:$D$34, 3, FALSE) &lt;= P3573)
            ),
                "Exceeded",
                "OK"
            ),
            "No Regulation defined"
        )
    ),
    ""
)</f>
        <v/>
      </c>
      <c r="AB3573" s="62" t="str">
        <f t="shared" si="55"/>
        <v/>
      </c>
    </row>
    <row r="3574" spans="20:28" x14ac:dyDescent="0.2">
      <c r="T3574" s="60" t="str">
        <f>IF(P3574&lt;&gt;"",
    IF(OR(O3574="", Q3574="", R3574=""),
        "Fill all the required columns",
        IFERROR(
            IF(OR(
                AND(R3574="Marine Protected", VLOOKUP(O3574, Reference!$A$2:$D$34, 4, FALSE) &lt;= P3574),
                AND(R3574="General Use", VLOOKUP(O3574, Reference!$A$2:$D$34, 3, FALSE) &lt;= P3574)
            ),
                "Exceeded",
                "OK"
            ),
            "No Regulation defined"
        )
    ),
    ""
)</f>
        <v/>
      </c>
      <c r="AB3574" s="62" t="str">
        <f t="shared" si="55"/>
        <v/>
      </c>
    </row>
    <row r="3575" spans="20:28" x14ac:dyDescent="0.2">
      <c r="T3575" s="60" t="str">
        <f>IF(P3575&lt;&gt;"",
    IF(OR(O3575="", Q3575="", R3575=""),
        "Fill all the required columns",
        IFERROR(
            IF(OR(
                AND(R3575="Marine Protected", VLOOKUP(O3575, Reference!$A$2:$D$34, 4, FALSE) &lt;= P3575),
                AND(R3575="General Use", VLOOKUP(O3575, Reference!$A$2:$D$34, 3, FALSE) &lt;= P3575)
            ),
                "Exceeded",
                "OK"
            ),
            "No Regulation defined"
        )
    ),
    ""
)</f>
        <v/>
      </c>
      <c r="AB3575" s="62" t="str">
        <f t="shared" si="55"/>
        <v/>
      </c>
    </row>
    <row r="3576" spans="20:28" x14ac:dyDescent="0.2">
      <c r="T3576" s="60" t="str">
        <f>IF(P3576&lt;&gt;"",
    IF(OR(O3576="", Q3576="", R3576=""),
        "Fill all the required columns",
        IFERROR(
            IF(OR(
                AND(R3576="Marine Protected", VLOOKUP(O3576, Reference!$A$2:$D$34, 4, FALSE) &lt;= P3576),
                AND(R3576="General Use", VLOOKUP(O3576, Reference!$A$2:$D$34, 3, FALSE) &lt;= P3576)
            ),
                "Exceeded",
                "OK"
            ),
            "No Regulation defined"
        )
    ),
    ""
)</f>
        <v/>
      </c>
      <c r="AB3576" s="62" t="str">
        <f t="shared" si="55"/>
        <v/>
      </c>
    </row>
    <row r="3577" spans="20:28" x14ac:dyDescent="0.2">
      <c r="T3577" s="60" t="str">
        <f>IF(P3577&lt;&gt;"",
    IF(OR(O3577="", Q3577="", R3577=""),
        "Fill all the required columns",
        IFERROR(
            IF(OR(
                AND(R3577="Marine Protected", VLOOKUP(O3577, Reference!$A$2:$D$34, 4, FALSE) &lt;= P3577),
                AND(R3577="General Use", VLOOKUP(O3577, Reference!$A$2:$D$34, 3, FALSE) &lt;= P3577)
            ),
                "Exceeded",
                "OK"
            ),
            "No Regulation defined"
        )
    ),
    ""
)</f>
        <v/>
      </c>
      <c r="AB3577" s="62" t="str">
        <f t="shared" si="55"/>
        <v/>
      </c>
    </row>
    <row r="3578" spans="20:28" x14ac:dyDescent="0.2">
      <c r="T3578" s="60" t="str">
        <f>IF(P3578&lt;&gt;"",
    IF(OR(O3578="", Q3578="", R3578=""),
        "Fill all the required columns",
        IFERROR(
            IF(OR(
                AND(R3578="Marine Protected", VLOOKUP(O3578, Reference!$A$2:$D$34, 4, FALSE) &lt;= P3578),
                AND(R3578="General Use", VLOOKUP(O3578, Reference!$A$2:$D$34, 3, FALSE) &lt;= P3578)
            ),
                "Exceeded",
                "OK"
            ),
            "No Regulation defined"
        )
    ),
    ""
)</f>
        <v/>
      </c>
      <c r="AB3578" s="62" t="str">
        <f t="shared" si="55"/>
        <v/>
      </c>
    </row>
    <row r="3579" spans="20:28" x14ac:dyDescent="0.2">
      <c r="T3579" s="60" t="str">
        <f>IF(P3579&lt;&gt;"",
    IF(OR(O3579="", Q3579="", R3579=""),
        "Fill all the required columns",
        IFERROR(
            IF(OR(
                AND(R3579="Marine Protected", VLOOKUP(O3579, Reference!$A$2:$D$34, 4, FALSE) &lt;= P3579),
                AND(R3579="General Use", VLOOKUP(O3579, Reference!$A$2:$D$34, 3, FALSE) &lt;= P3579)
            ),
                "Exceeded",
                "OK"
            ),
            "No Regulation defined"
        )
    ),
    ""
)</f>
        <v/>
      </c>
      <c r="AB3579" s="62" t="str">
        <f t="shared" si="55"/>
        <v/>
      </c>
    </row>
    <row r="3580" spans="20:28" x14ac:dyDescent="0.2">
      <c r="T3580" s="60" t="str">
        <f>IF(P3580&lt;&gt;"",
    IF(OR(O3580="", Q3580="", R3580=""),
        "Fill all the required columns",
        IFERROR(
            IF(OR(
                AND(R3580="Marine Protected", VLOOKUP(O3580, Reference!$A$2:$D$34, 4, FALSE) &lt;= P3580),
                AND(R3580="General Use", VLOOKUP(O3580, Reference!$A$2:$D$34, 3, FALSE) &lt;= P3580)
            ),
                "Exceeded",
                "OK"
            ),
            "No Regulation defined"
        )
    ),
    ""
)</f>
        <v/>
      </c>
      <c r="AB3580" s="62" t="str">
        <f t="shared" si="55"/>
        <v/>
      </c>
    </row>
    <row r="3581" spans="20:28" x14ac:dyDescent="0.2">
      <c r="T3581" s="60" t="str">
        <f>IF(P3581&lt;&gt;"",
    IF(OR(O3581="", Q3581="", R3581=""),
        "Fill all the required columns",
        IFERROR(
            IF(OR(
                AND(R3581="Marine Protected", VLOOKUP(O3581, Reference!$A$2:$D$34, 4, FALSE) &lt;= P3581),
                AND(R3581="General Use", VLOOKUP(O3581, Reference!$A$2:$D$34, 3, FALSE) &lt;= P3581)
            ),
                "Exceeded",
                "OK"
            ),
            "No Regulation defined"
        )
    ),
    ""
)</f>
        <v/>
      </c>
      <c r="AB3581" s="62" t="str">
        <f t="shared" si="55"/>
        <v/>
      </c>
    </row>
    <row r="3582" spans="20:28" x14ac:dyDescent="0.2">
      <c r="T3582" s="60" t="str">
        <f>IF(P3582&lt;&gt;"",
    IF(OR(O3582="", Q3582="", R3582=""),
        "Fill all the required columns",
        IFERROR(
            IF(OR(
                AND(R3582="Marine Protected", VLOOKUP(O3582, Reference!$A$2:$D$34, 4, FALSE) &lt;= P3582),
                AND(R3582="General Use", VLOOKUP(O3582, Reference!$A$2:$D$34, 3, FALSE) &lt;= P3582)
            ),
                "Exceeded",
                "OK"
            ),
            "No Regulation defined"
        )
    ),
    ""
)</f>
        <v/>
      </c>
      <c r="AB3582" s="62" t="str">
        <f t="shared" si="55"/>
        <v/>
      </c>
    </row>
    <row r="3583" spans="20:28" x14ac:dyDescent="0.2">
      <c r="T3583" s="60" t="str">
        <f>IF(P3583&lt;&gt;"",
    IF(OR(O3583="", Q3583="", R3583=""),
        "Fill all the required columns",
        IFERROR(
            IF(OR(
                AND(R3583="Marine Protected", VLOOKUP(O3583, Reference!$A$2:$D$34, 4, FALSE) &lt;= P3583),
                AND(R3583="General Use", VLOOKUP(O3583, Reference!$A$2:$D$34, 3, FALSE) &lt;= P3583)
            ),
                "Exceeded",
                "OK"
            ),
            "No Regulation defined"
        )
    ),
    ""
)</f>
        <v/>
      </c>
      <c r="AB3583" s="62" t="str">
        <f t="shared" si="55"/>
        <v/>
      </c>
    </row>
    <row r="3584" spans="20:28" x14ac:dyDescent="0.2">
      <c r="T3584" s="60" t="str">
        <f>IF(P3584&lt;&gt;"",
    IF(OR(O3584="", Q3584="", R3584=""),
        "Fill all the required columns",
        IFERROR(
            IF(OR(
                AND(R3584="Marine Protected", VLOOKUP(O3584, Reference!$A$2:$D$34, 4, FALSE) &lt;= P3584),
                AND(R3584="General Use", VLOOKUP(O3584, Reference!$A$2:$D$34, 3, FALSE) &lt;= P3584)
            ),
                "Exceeded",
                "OK"
            ),
            "No Regulation defined"
        )
    ),
    ""
)</f>
        <v/>
      </c>
      <c r="AB3584" s="62" t="str">
        <f t="shared" si="55"/>
        <v/>
      </c>
    </row>
    <row r="3585" spans="20:28" x14ac:dyDescent="0.2">
      <c r="T3585" s="60" t="str">
        <f>IF(P3585&lt;&gt;"",
    IF(OR(O3585="", Q3585="", R3585=""),
        "Fill all the required columns",
        IFERROR(
            IF(OR(
                AND(R3585="Marine Protected", VLOOKUP(O3585, Reference!$A$2:$D$34, 4, FALSE) &lt;= P3585),
                AND(R3585="General Use", VLOOKUP(O3585, Reference!$A$2:$D$34, 3, FALSE) &lt;= P3585)
            ),
                "Exceeded",
                "OK"
            ),
            "No Regulation defined"
        )
    ),
    ""
)</f>
        <v/>
      </c>
      <c r="AB3585" s="62" t="str">
        <f t="shared" si="55"/>
        <v/>
      </c>
    </row>
    <row r="3586" spans="20:28" x14ac:dyDescent="0.2">
      <c r="T3586" s="60" t="str">
        <f>IF(P3586&lt;&gt;"",
    IF(OR(O3586="", Q3586="", R3586=""),
        "Fill all the required columns",
        IFERROR(
            IF(OR(
                AND(R3586="Marine Protected", VLOOKUP(O3586, Reference!$A$2:$D$34, 4, FALSE) &lt;= P3586),
                AND(R3586="General Use", VLOOKUP(O3586, Reference!$A$2:$D$34, 3, FALSE) &lt;= P3586)
            ),
                "Exceeded",
                "OK"
            ),
            "No Regulation defined"
        )
    ),
    ""
)</f>
        <v/>
      </c>
      <c r="AB3586" s="62" t="str">
        <f t="shared" si="55"/>
        <v/>
      </c>
    </row>
    <row r="3587" spans="20:28" x14ac:dyDescent="0.2">
      <c r="T3587" s="60" t="str">
        <f>IF(P3587&lt;&gt;"",
    IF(OR(O3587="", Q3587="", R3587=""),
        "Fill all the required columns",
        IFERROR(
            IF(OR(
                AND(R3587="Marine Protected", VLOOKUP(O3587, Reference!$A$2:$D$34, 4, FALSE) &lt;= P3587),
                AND(R3587="General Use", VLOOKUP(O3587, Reference!$A$2:$D$34, 3, FALSE) &lt;= P3587)
            ),
                "Exceeded",
                "OK"
            ),
            "No Regulation defined"
        )
    ),
    ""
)</f>
        <v/>
      </c>
      <c r="AB3587" s="62" t="str">
        <f t="shared" ref="AB3587:AB3650" si="56">IF(COUNTA(A3587, E3587, F3587, H3587, I3587, O3587, P3587, Q3587, R3587,S3587) = 0, "", IF(COUNTA(A3587, E3587, F3587, H3587, I3587, O3587, P3587, Q3587, R3587,S3587) = 10, "OK", "Incomplete"))</f>
        <v/>
      </c>
    </row>
    <row r="3588" spans="20:28" x14ac:dyDescent="0.2">
      <c r="T3588" s="60" t="str">
        <f>IF(P3588&lt;&gt;"",
    IF(OR(O3588="", Q3588="", R3588=""),
        "Fill all the required columns",
        IFERROR(
            IF(OR(
                AND(R3588="Marine Protected", VLOOKUP(O3588, Reference!$A$2:$D$34, 4, FALSE) &lt;= P3588),
                AND(R3588="General Use", VLOOKUP(O3588, Reference!$A$2:$D$34, 3, FALSE) &lt;= P3588)
            ),
                "Exceeded",
                "OK"
            ),
            "No Regulation defined"
        )
    ),
    ""
)</f>
        <v/>
      </c>
      <c r="AB3588" s="62" t="str">
        <f t="shared" si="56"/>
        <v/>
      </c>
    </row>
    <row r="3589" spans="20:28" x14ac:dyDescent="0.2">
      <c r="T3589" s="60" t="str">
        <f>IF(P3589&lt;&gt;"",
    IF(OR(O3589="", Q3589="", R3589=""),
        "Fill all the required columns",
        IFERROR(
            IF(OR(
                AND(R3589="Marine Protected", VLOOKUP(O3589, Reference!$A$2:$D$34, 4, FALSE) &lt;= P3589),
                AND(R3589="General Use", VLOOKUP(O3589, Reference!$A$2:$D$34, 3, FALSE) &lt;= P3589)
            ),
                "Exceeded",
                "OK"
            ),
            "No Regulation defined"
        )
    ),
    ""
)</f>
        <v/>
      </c>
      <c r="AB3589" s="62" t="str">
        <f t="shared" si="56"/>
        <v/>
      </c>
    </row>
    <row r="3590" spans="20:28" x14ac:dyDescent="0.2">
      <c r="T3590" s="60" t="str">
        <f>IF(P3590&lt;&gt;"",
    IF(OR(O3590="", Q3590="", R3590=""),
        "Fill all the required columns",
        IFERROR(
            IF(OR(
                AND(R3590="Marine Protected", VLOOKUP(O3590, Reference!$A$2:$D$34, 4, FALSE) &lt;= P3590),
                AND(R3590="General Use", VLOOKUP(O3590, Reference!$A$2:$D$34, 3, FALSE) &lt;= P3590)
            ),
                "Exceeded",
                "OK"
            ),
            "No Regulation defined"
        )
    ),
    ""
)</f>
        <v/>
      </c>
      <c r="AB3590" s="62" t="str">
        <f t="shared" si="56"/>
        <v/>
      </c>
    </row>
    <row r="3591" spans="20:28" x14ac:dyDescent="0.2">
      <c r="T3591" s="60" t="str">
        <f>IF(P3591&lt;&gt;"",
    IF(OR(O3591="", Q3591="", R3591=""),
        "Fill all the required columns",
        IFERROR(
            IF(OR(
                AND(R3591="Marine Protected", VLOOKUP(O3591, Reference!$A$2:$D$34, 4, FALSE) &lt;= P3591),
                AND(R3591="General Use", VLOOKUP(O3591, Reference!$A$2:$D$34, 3, FALSE) &lt;= P3591)
            ),
                "Exceeded",
                "OK"
            ),
            "No Regulation defined"
        )
    ),
    ""
)</f>
        <v/>
      </c>
      <c r="AB3591" s="62" t="str">
        <f t="shared" si="56"/>
        <v/>
      </c>
    </row>
    <row r="3592" spans="20:28" x14ac:dyDescent="0.2">
      <c r="T3592" s="60" t="str">
        <f>IF(P3592&lt;&gt;"",
    IF(OR(O3592="", Q3592="", R3592=""),
        "Fill all the required columns",
        IFERROR(
            IF(OR(
                AND(R3592="Marine Protected", VLOOKUP(O3592, Reference!$A$2:$D$34, 4, FALSE) &lt;= P3592),
                AND(R3592="General Use", VLOOKUP(O3592, Reference!$A$2:$D$34, 3, FALSE) &lt;= P3592)
            ),
                "Exceeded",
                "OK"
            ),
            "No Regulation defined"
        )
    ),
    ""
)</f>
        <v/>
      </c>
      <c r="AB3592" s="62" t="str">
        <f t="shared" si="56"/>
        <v/>
      </c>
    </row>
    <row r="3593" spans="20:28" x14ac:dyDescent="0.2">
      <c r="T3593" s="60" t="str">
        <f>IF(P3593&lt;&gt;"",
    IF(OR(O3593="", Q3593="", R3593=""),
        "Fill all the required columns",
        IFERROR(
            IF(OR(
                AND(R3593="Marine Protected", VLOOKUP(O3593, Reference!$A$2:$D$34, 4, FALSE) &lt;= P3593),
                AND(R3593="General Use", VLOOKUP(O3593, Reference!$A$2:$D$34, 3, FALSE) &lt;= P3593)
            ),
                "Exceeded",
                "OK"
            ),
            "No Regulation defined"
        )
    ),
    ""
)</f>
        <v/>
      </c>
      <c r="AB3593" s="62" t="str">
        <f t="shared" si="56"/>
        <v/>
      </c>
    </row>
    <row r="3594" spans="20:28" x14ac:dyDescent="0.2">
      <c r="T3594" s="60" t="str">
        <f>IF(P3594&lt;&gt;"",
    IF(OR(O3594="", Q3594="", R3594=""),
        "Fill all the required columns",
        IFERROR(
            IF(OR(
                AND(R3594="Marine Protected", VLOOKUP(O3594, Reference!$A$2:$D$34, 4, FALSE) &lt;= P3594),
                AND(R3594="General Use", VLOOKUP(O3594, Reference!$A$2:$D$34, 3, FALSE) &lt;= P3594)
            ),
                "Exceeded",
                "OK"
            ),
            "No Regulation defined"
        )
    ),
    ""
)</f>
        <v/>
      </c>
      <c r="AB3594" s="62" t="str">
        <f t="shared" si="56"/>
        <v/>
      </c>
    </row>
    <row r="3595" spans="20:28" x14ac:dyDescent="0.2">
      <c r="T3595" s="60" t="str">
        <f>IF(P3595&lt;&gt;"",
    IF(OR(O3595="", Q3595="", R3595=""),
        "Fill all the required columns",
        IFERROR(
            IF(OR(
                AND(R3595="Marine Protected", VLOOKUP(O3595, Reference!$A$2:$D$34, 4, FALSE) &lt;= P3595),
                AND(R3595="General Use", VLOOKUP(O3595, Reference!$A$2:$D$34, 3, FALSE) &lt;= P3595)
            ),
                "Exceeded",
                "OK"
            ),
            "No Regulation defined"
        )
    ),
    ""
)</f>
        <v/>
      </c>
      <c r="AB3595" s="62" t="str">
        <f t="shared" si="56"/>
        <v/>
      </c>
    </row>
    <row r="3596" spans="20:28" x14ac:dyDescent="0.2">
      <c r="T3596" s="60" t="str">
        <f>IF(P3596&lt;&gt;"",
    IF(OR(O3596="", Q3596="", R3596=""),
        "Fill all the required columns",
        IFERROR(
            IF(OR(
                AND(R3596="Marine Protected", VLOOKUP(O3596, Reference!$A$2:$D$34, 4, FALSE) &lt;= P3596),
                AND(R3596="General Use", VLOOKUP(O3596, Reference!$A$2:$D$34, 3, FALSE) &lt;= P3596)
            ),
                "Exceeded",
                "OK"
            ),
            "No Regulation defined"
        )
    ),
    ""
)</f>
        <v/>
      </c>
      <c r="AB3596" s="62" t="str">
        <f t="shared" si="56"/>
        <v/>
      </c>
    </row>
    <row r="3597" spans="20:28" x14ac:dyDescent="0.2">
      <c r="T3597" s="60" t="str">
        <f>IF(P3597&lt;&gt;"",
    IF(OR(O3597="", Q3597="", R3597=""),
        "Fill all the required columns",
        IFERROR(
            IF(OR(
                AND(R3597="Marine Protected", VLOOKUP(O3597, Reference!$A$2:$D$34, 4, FALSE) &lt;= P3597),
                AND(R3597="General Use", VLOOKUP(O3597, Reference!$A$2:$D$34, 3, FALSE) &lt;= P3597)
            ),
                "Exceeded",
                "OK"
            ),
            "No Regulation defined"
        )
    ),
    ""
)</f>
        <v/>
      </c>
      <c r="AB3597" s="62" t="str">
        <f t="shared" si="56"/>
        <v/>
      </c>
    </row>
    <row r="3598" spans="20:28" x14ac:dyDescent="0.2">
      <c r="T3598" s="60" t="str">
        <f>IF(P3598&lt;&gt;"",
    IF(OR(O3598="", Q3598="", R3598=""),
        "Fill all the required columns",
        IFERROR(
            IF(OR(
                AND(R3598="Marine Protected", VLOOKUP(O3598, Reference!$A$2:$D$34, 4, FALSE) &lt;= P3598),
                AND(R3598="General Use", VLOOKUP(O3598, Reference!$A$2:$D$34, 3, FALSE) &lt;= P3598)
            ),
                "Exceeded",
                "OK"
            ),
            "No Regulation defined"
        )
    ),
    ""
)</f>
        <v/>
      </c>
      <c r="AB3598" s="62" t="str">
        <f t="shared" si="56"/>
        <v/>
      </c>
    </row>
    <row r="3599" spans="20:28" x14ac:dyDescent="0.2">
      <c r="T3599" s="60" t="str">
        <f>IF(P3599&lt;&gt;"",
    IF(OR(O3599="", Q3599="", R3599=""),
        "Fill all the required columns",
        IFERROR(
            IF(OR(
                AND(R3599="Marine Protected", VLOOKUP(O3599, Reference!$A$2:$D$34, 4, FALSE) &lt;= P3599),
                AND(R3599="General Use", VLOOKUP(O3599, Reference!$A$2:$D$34, 3, FALSE) &lt;= P3599)
            ),
                "Exceeded",
                "OK"
            ),
            "No Regulation defined"
        )
    ),
    ""
)</f>
        <v/>
      </c>
      <c r="AB3599" s="62" t="str">
        <f t="shared" si="56"/>
        <v/>
      </c>
    </row>
    <row r="3600" spans="20:28" x14ac:dyDescent="0.2">
      <c r="T3600" s="60" t="str">
        <f>IF(P3600&lt;&gt;"",
    IF(OR(O3600="", Q3600="", R3600=""),
        "Fill all the required columns",
        IFERROR(
            IF(OR(
                AND(R3600="Marine Protected", VLOOKUP(O3600, Reference!$A$2:$D$34, 4, FALSE) &lt;= P3600),
                AND(R3600="General Use", VLOOKUP(O3600, Reference!$A$2:$D$34, 3, FALSE) &lt;= P3600)
            ),
                "Exceeded",
                "OK"
            ),
            "No Regulation defined"
        )
    ),
    ""
)</f>
        <v/>
      </c>
      <c r="AB3600" s="62" t="str">
        <f t="shared" si="56"/>
        <v/>
      </c>
    </row>
    <row r="3601" spans="20:28" x14ac:dyDescent="0.2">
      <c r="T3601" s="60" t="str">
        <f>IF(P3601&lt;&gt;"",
    IF(OR(O3601="", Q3601="", R3601=""),
        "Fill all the required columns",
        IFERROR(
            IF(OR(
                AND(R3601="Marine Protected", VLOOKUP(O3601, Reference!$A$2:$D$34, 4, FALSE) &lt;= P3601),
                AND(R3601="General Use", VLOOKUP(O3601, Reference!$A$2:$D$34, 3, FALSE) &lt;= P3601)
            ),
                "Exceeded",
                "OK"
            ),
            "No Regulation defined"
        )
    ),
    ""
)</f>
        <v/>
      </c>
      <c r="AB3601" s="62" t="str">
        <f t="shared" si="56"/>
        <v/>
      </c>
    </row>
    <row r="3602" spans="20:28" x14ac:dyDescent="0.2">
      <c r="T3602" s="60" t="str">
        <f>IF(P3602&lt;&gt;"",
    IF(OR(O3602="", Q3602="", R3602=""),
        "Fill all the required columns",
        IFERROR(
            IF(OR(
                AND(R3602="Marine Protected", VLOOKUP(O3602, Reference!$A$2:$D$34, 4, FALSE) &lt;= P3602),
                AND(R3602="General Use", VLOOKUP(O3602, Reference!$A$2:$D$34, 3, FALSE) &lt;= P3602)
            ),
                "Exceeded",
                "OK"
            ),
            "No Regulation defined"
        )
    ),
    ""
)</f>
        <v/>
      </c>
      <c r="AB3602" s="62" t="str">
        <f t="shared" si="56"/>
        <v/>
      </c>
    </row>
    <row r="3603" spans="20:28" x14ac:dyDescent="0.2">
      <c r="T3603" s="60" t="str">
        <f>IF(P3603&lt;&gt;"",
    IF(OR(O3603="", Q3603="", R3603=""),
        "Fill all the required columns",
        IFERROR(
            IF(OR(
                AND(R3603="Marine Protected", VLOOKUP(O3603, Reference!$A$2:$D$34, 4, FALSE) &lt;= P3603),
                AND(R3603="General Use", VLOOKUP(O3603, Reference!$A$2:$D$34, 3, FALSE) &lt;= P3603)
            ),
                "Exceeded",
                "OK"
            ),
            "No Regulation defined"
        )
    ),
    ""
)</f>
        <v/>
      </c>
      <c r="AB3603" s="62" t="str">
        <f t="shared" si="56"/>
        <v/>
      </c>
    </row>
    <row r="3604" spans="20:28" x14ac:dyDescent="0.2">
      <c r="T3604" s="60" t="str">
        <f>IF(P3604&lt;&gt;"",
    IF(OR(O3604="", Q3604="", R3604=""),
        "Fill all the required columns",
        IFERROR(
            IF(OR(
                AND(R3604="Marine Protected", VLOOKUP(O3604, Reference!$A$2:$D$34, 4, FALSE) &lt;= P3604),
                AND(R3604="General Use", VLOOKUP(O3604, Reference!$A$2:$D$34, 3, FALSE) &lt;= P3604)
            ),
                "Exceeded",
                "OK"
            ),
            "No Regulation defined"
        )
    ),
    ""
)</f>
        <v/>
      </c>
      <c r="AB3604" s="62" t="str">
        <f t="shared" si="56"/>
        <v/>
      </c>
    </row>
    <row r="3605" spans="20:28" x14ac:dyDescent="0.2">
      <c r="T3605" s="60" t="str">
        <f>IF(P3605&lt;&gt;"",
    IF(OR(O3605="", Q3605="", R3605=""),
        "Fill all the required columns",
        IFERROR(
            IF(OR(
                AND(R3605="Marine Protected", VLOOKUP(O3605, Reference!$A$2:$D$34, 4, FALSE) &lt;= P3605),
                AND(R3605="General Use", VLOOKUP(O3605, Reference!$A$2:$D$34, 3, FALSE) &lt;= P3605)
            ),
                "Exceeded",
                "OK"
            ),
            "No Regulation defined"
        )
    ),
    ""
)</f>
        <v/>
      </c>
      <c r="AB3605" s="62" t="str">
        <f t="shared" si="56"/>
        <v/>
      </c>
    </row>
    <row r="3606" spans="20:28" x14ac:dyDescent="0.2">
      <c r="T3606" s="60" t="str">
        <f>IF(P3606&lt;&gt;"",
    IF(OR(O3606="", Q3606="", R3606=""),
        "Fill all the required columns",
        IFERROR(
            IF(OR(
                AND(R3606="Marine Protected", VLOOKUP(O3606, Reference!$A$2:$D$34, 4, FALSE) &lt;= P3606),
                AND(R3606="General Use", VLOOKUP(O3606, Reference!$A$2:$D$34, 3, FALSE) &lt;= P3606)
            ),
                "Exceeded",
                "OK"
            ),
            "No Regulation defined"
        )
    ),
    ""
)</f>
        <v/>
      </c>
      <c r="AB3606" s="62" t="str">
        <f t="shared" si="56"/>
        <v/>
      </c>
    </row>
    <row r="3607" spans="20:28" x14ac:dyDescent="0.2">
      <c r="T3607" s="60" t="str">
        <f>IF(P3607&lt;&gt;"",
    IF(OR(O3607="", Q3607="", R3607=""),
        "Fill all the required columns",
        IFERROR(
            IF(OR(
                AND(R3607="Marine Protected", VLOOKUP(O3607, Reference!$A$2:$D$34, 4, FALSE) &lt;= P3607),
                AND(R3607="General Use", VLOOKUP(O3607, Reference!$A$2:$D$34, 3, FALSE) &lt;= P3607)
            ),
                "Exceeded",
                "OK"
            ),
            "No Regulation defined"
        )
    ),
    ""
)</f>
        <v/>
      </c>
      <c r="AB3607" s="62" t="str">
        <f t="shared" si="56"/>
        <v/>
      </c>
    </row>
    <row r="3608" spans="20:28" x14ac:dyDescent="0.2">
      <c r="T3608" s="60" t="str">
        <f>IF(P3608&lt;&gt;"",
    IF(OR(O3608="", Q3608="", R3608=""),
        "Fill all the required columns",
        IFERROR(
            IF(OR(
                AND(R3608="Marine Protected", VLOOKUP(O3608, Reference!$A$2:$D$34, 4, FALSE) &lt;= P3608),
                AND(R3608="General Use", VLOOKUP(O3608, Reference!$A$2:$D$34, 3, FALSE) &lt;= P3608)
            ),
                "Exceeded",
                "OK"
            ),
            "No Regulation defined"
        )
    ),
    ""
)</f>
        <v/>
      </c>
      <c r="AB3608" s="62" t="str">
        <f t="shared" si="56"/>
        <v/>
      </c>
    </row>
    <row r="3609" spans="20:28" x14ac:dyDescent="0.2">
      <c r="T3609" s="60" t="str">
        <f>IF(P3609&lt;&gt;"",
    IF(OR(O3609="", Q3609="", R3609=""),
        "Fill all the required columns",
        IFERROR(
            IF(OR(
                AND(R3609="Marine Protected", VLOOKUP(O3609, Reference!$A$2:$D$34, 4, FALSE) &lt;= P3609),
                AND(R3609="General Use", VLOOKUP(O3609, Reference!$A$2:$D$34, 3, FALSE) &lt;= P3609)
            ),
                "Exceeded",
                "OK"
            ),
            "No Regulation defined"
        )
    ),
    ""
)</f>
        <v/>
      </c>
      <c r="AB3609" s="62" t="str">
        <f t="shared" si="56"/>
        <v/>
      </c>
    </row>
    <row r="3610" spans="20:28" x14ac:dyDescent="0.2">
      <c r="T3610" s="60" t="str">
        <f>IF(P3610&lt;&gt;"",
    IF(OR(O3610="", Q3610="", R3610=""),
        "Fill all the required columns",
        IFERROR(
            IF(OR(
                AND(R3610="Marine Protected", VLOOKUP(O3610, Reference!$A$2:$D$34, 4, FALSE) &lt;= P3610),
                AND(R3610="General Use", VLOOKUP(O3610, Reference!$A$2:$D$34, 3, FALSE) &lt;= P3610)
            ),
                "Exceeded",
                "OK"
            ),
            "No Regulation defined"
        )
    ),
    ""
)</f>
        <v/>
      </c>
      <c r="AB3610" s="62" t="str">
        <f t="shared" si="56"/>
        <v/>
      </c>
    </row>
    <row r="3611" spans="20:28" x14ac:dyDescent="0.2">
      <c r="T3611" s="60" t="str">
        <f>IF(P3611&lt;&gt;"",
    IF(OR(O3611="", Q3611="", R3611=""),
        "Fill all the required columns",
        IFERROR(
            IF(OR(
                AND(R3611="Marine Protected", VLOOKUP(O3611, Reference!$A$2:$D$34, 4, FALSE) &lt;= P3611),
                AND(R3611="General Use", VLOOKUP(O3611, Reference!$A$2:$D$34, 3, FALSE) &lt;= P3611)
            ),
                "Exceeded",
                "OK"
            ),
            "No Regulation defined"
        )
    ),
    ""
)</f>
        <v/>
      </c>
      <c r="AB3611" s="62" t="str">
        <f t="shared" si="56"/>
        <v/>
      </c>
    </row>
    <row r="3612" spans="20:28" x14ac:dyDescent="0.2">
      <c r="T3612" s="60" t="str">
        <f>IF(P3612&lt;&gt;"",
    IF(OR(O3612="", Q3612="", R3612=""),
        "Fill all the required columns",
        IFERROR(
            IF(OR(
                AND(R3612="Marine Protected", VLOOKUP(O3612, Reference!$A$2:$D$34, 4, FALSE) &lt;= P3612),
                AND(R3612="General Use", VLOOKUP(O3612, Reference!$A$2:$D$34, 3, FALSE) &lt;= P3612)
            ),
                "Exceeded",
                "OK"
            ),
            "No Regulation defined"
        )
    ),
    ""
)</f>
        <v/>
      </c>
      <c r="AB3612" s="62" t="str">
        <f t="shared" si="56"/>
        <v/>
      </c>
    </row>
    <row r="3613" spans="20:28" x14ac:dyDescent="0.2">
      <c r="T3613" s="60" t="str">
        <f>IF(P3613&lt;&gt;"",
    IF(OR(O3613="", Q3613="", R3613=""),
        "Fill all the required columns",
        IFERROR(
            IF(OR(
                AND(R3613="Marine Protected", VLOOKUP(O3613, Reference!$A$2:$D$34, 4, FALSE) &lt;= P3613),
                AND(R3613="General Use", VLOOKUP(O3613, Reference!$A$2:$D$34, 3, FALSE) &lt;= P3613)
            ),
                "Exceeded",
                "OK"
            ),
            "No Regulation defined"
        )
    ),
    ""
)</f>
        <v/>
      </c>
      <c r="AB3613" s="62" t="str">
        <f t="shared" si="56"/>
        <v/>
      </c>
    </row>
    <row r="3614" spans="20:28" x14ac:dyDescent="0.2">
      <c r="T3614" s="60" t="str">
        <f>IF(P3614&lt;&gt;"",
    IF(OR(O3614="", Q3614="", R3614=""),
        "Fill all the required columns",
        IFERROR(
            IF(OR(
                AND(R3614="Marine Protected", VLOOKUP(O3614, Reference!$A$2:$D$34, 4, FALSE) &lt;= P3614),
                AND(R3614="General Use", VLOOKUP(O3614, Reference!$A$2:$D$34, 3, FALSE) &lt;= P3614)
            ),
                "Exceeded",
                "OK"
            ),
            "No Regulation defined"
        )
    ),
    ""
)</f>
        <v/>
      </c>
      <c r="AB3614" s="62" t="str">
        <f t="shared" si="56"/>
        <v/>
      </c>
    </row>
    <row r="3615" spans="20:28" x14ac:dyDescent="0.2">
      <c r="T3615" s="60" t="str">
        <f>IF(P3615&lt;&gt;"",
    IF(OR(O3615="", Q3615="", R3615=""),
        "Fill all the required columns",
        IFERROR(
            IF(OR(
                AND(R3615="Marine Protected", VLOOKUP(O3615, Reference!$A$2:$D$34, 4, FALSE) &lt;= P3615),
                AND(R3615="General Use", VLOOKUP(O3615, Reference!$A$2:$D$34, 3, FALSE) &lt;= P3615)
            ),
                "Exceeded",
                "OK"
            ),
            "No Regulation defined"
        )
    ),
    ""
)</f>
        <v/>
      </c>
      <c r="AB3615" s="62" t="str">
        <f t="shared" si="56"/>
        <v/>
      </c>
    </row>
    <row r="3616" spans="20:28" x14ac:dyDescent="0.2">
      <c r="T3616" s="60" t="str">
        <f>IF(P3616&lt;&gt;"",
    IF(OR(O3616="", Q3616="", R3616=""),
        "Fill all the required columns",
        IFERROR(
            IF(OR(
                AND(R3616="Marine Protected", VLOOKUP(O3616, Reference!$A$2:$D$34, 4, FALSE) &lt;= P3616),
                AND(R3616="General Use", VLOOKUP(O3616, Reference!$A$2:$D$34, 3, FALSE) &lt;= P3616)
            ),
                "Exceeded",
                "OK"
            ),
            "No Regulation defined"
        )
    ),
    ""
)</f>
        <v/>
      </c>
      <c r="AB3616" s="62" t="str">
        <f t="shared" si="56"/>
        <v/>
      </c>
    </row>
    <row r="3617" spans="20:28" x14ac:dyDescent="0.2">
      <c r="T3617" s="60" t="str">
        <f>IF(P3617&lt;&gt;"",
    IF(OR(O3617="", Q3617="", R3617=""),
        "Fill all the required columns",
        IFERROR(
            IF(OR(
                AND(R3617="Marine Protected", VLOOKUP(O3617, Reference!$A$2:$D$34, 4, FALSE) &lt;= P3617),
                AND(R3617="General Use", VLOOKUP(O3617, Reference!$A$2:$D$34, 3, FALSE) &lt;= P3617)
            ),
                "Exceeded",
                "OK"
            ),
            "No Regulation defined"
        )
    ),
    ""
)</f>
        <v/>
      </c>
      <c r="AB3617" s="62" t="str">
        <f t="shared" si="56"/>
        <v/>
      </c>
    </row>
    <row r="3618" spans="20:28" x14ac:dyDescent="0.2">
      <c r="T3618" s="60" t="str">
        <f>IF(P3618&lt;&gt;"",
    IF(OR(O3618="", Q3618="", R3618=""),
        "Fill all the required columns",
        IFERROR(
            IF(OR(
                AND(R3618="Marine Protected", VLOOKUP(O3618, Reference!$A$2:$D$34, 4, FALSE) &lt;= P3618),
                AND(R3618="General Use", VLOOKUP(O3618, Reference!$A$2:$D$34, 3, FALSE) &lt;= P3618)
            ),
                "Exceeded",
                "OK"
            ),
            "No Regulation defined"
        )
    ),
    ""
)</f>
        <v/>
      </c>
      <c r="AB3618" s="62" t="str">
        <f t="shared" si="56"/>
        <v/>
      </c>
    </row>
    <row r="3619" spans="20:28" x14ac:dyDescent="0.2">
      <c r="T3619" s="60" t="str">
        <f>IF(P3619&lt;&gt;"",
    IF(OR(O3619="", Q3619="", R3619=""),
        "Fill all the required columns",
        IFERROR(
            IF(OR(
                AND(R3619="Marine Protected", VLOOKUP(O3619, Reference!$A$2:$D$34, 4, FALSE) &lt;= P3619),
                AND(R3619="General Use", VLOOKUP(O3619, Reference!$A$2:$D$34, 3, FALSE) &lt;= P3619)
            ),
                "Exceeded",
                "OK"
            ),
            "No Regulation defined"
        )
    ),
    ""
)</f>
        <v/>
      </c>
      <c r="AB3619" s="62" t="str">
        <f t="shared" si="56"/>
        <v/>
      </c>
    </row>
    <row r="3620" spans="20:28" x14ac:dyDescent="0.2">
      <c r="T3620" s="60" t="str">
        <f>IF(P3620&lt;&gt;"",
    IF(OR(O3620="", Q3620="", R3620=""),
        "Fill all the required columns",
        IFERROR(
            IF(OR(
                AND(R3620="Marine Protected", VLOOKUP(O3620, Reference!$A$2:$D$34, 4, FALSE) &lt;= P3620),
                AND(R3620="General Use", VLOOKUP(O3620, Reference!$A$2:$D$34, 3, FALSE) &lt;= P3620)
            ),
                "Exceeded",
                "OK"
            ),
            "No Regulation defined"
        )
    ),
    ""
)</f>
        <v/>
      </c>
      <c r="AB3620" s="62" t="str">
        <f t="shared" si="56"/>
        <v/>
      </c>
    </row>
    <row r="3621" spans="20:28" x14ac:dyDescent="0.2">
      <c r="T3621" s="60" t="str">
        <f>IF(P3621&lt;&gt;"",
    IF(OR(O3621="", Q3621="", R3621=""),
        "Fill all the required columns",
        IFERROR(
            IF(OR(
                AND(R3621="Marine Protected", VLOOKUP(O3621, Reference!$A$2:$D$34, 4, FALSE) &lt;= P3621),
                AND(R3621="General Use", VLOOKUP(O3621, Reference!$A$2:$D$34, 3, FALSE) &lt;= P3621)
            ),
                "Exceeded",
                "OK"
            ),
            "No Regulation defined"
        )
    ),
    ""
)</f>
        <v/>
      </c>
      <c r="AB3621" s="62" t="str">
        <f t="shared" si="56"/>
        <v/>
      </c>
    </row>
    <row r="3622" spans="20:28" x14ac:dyDescent="0.2">
      <c r="T3622" s="60" t="str">
        <f>IF(P3622&lt;&gt;"",
    IF(OR(O3622="", Q3622="", R3622=""),
        "Fill all the required columns",
        IFERROR(
            IF(OR(
                AND(R3622="Marine Protected", VLOOKUP(O3622, Reference!$A$2:$D$34, 4, FALSE) &lt;= P3622),
                AND(R3622="General Use", VLOOKUP(O3622, Reference!$A$2:$D$34, 3, FALSE) &lt;= P3622)
            ),
                "Exceeded",
                "OK"
            ),
            "No Regulation defined"
        )
    ),
    ""
)</f>
        <v/>
      </c>
      <c r="AB3622" s="62" t="str">
        <f t="shared" si="56"/>
        <v/>
      </c>
    </row>
    <row r="3623" spans="20:28" x14ac:dyDescent="0.2">
      <c r="T3623" s="60" t="str">
        <f>IF(P3623&lt;&gt;"",
    IF(OR(O3623="", Q3623="", R3623=""),
        "Fill all the required columns",
        IFERROR(
            IF(OR(
                AND(R3623="Marine Protected", VLOOKUP(O3623, Reference!$A$2:$D$34, 4, FALSE) &lt;= P3623),
                AND(R3623="General Use", VLOOKUP(O3623, Reference!$A$2:$D$34, 3, FALSE) &lt;= P3623)
            ),
                "Exceeded",
                "OK"
            ),
            "No Regulation defined"
        )
    ),
    ""
)</f>
        <v/>
      </c>
      <c r="AB3623" s="62" t="str">
        <f t="shared" si="56"/>
        <v/>
      </c>
    </row>
    <row r="3624" spans="20:28" x14ac:dyDescent="0.2">
      <c r="T3624" s="60" t="str">
        <f>IF(P3624&lt;&gt;"",
    IF(OR(O3624="", Q3624="", R3624=""),
        "Fill all the required columns",
        IFERROR(
            IF(OR(
                AND(R3624="Marine Protected", VLOOKUP(O3624, Reference!$A$2:$D$34, 4, FALSE) &lt;= P3624),
                AND(R3624="General Use", VLOOKUP(O3624, Reference!$A$2:$D$34, 3, FALSE) &lt;= P3624)
            ),
                "Exceeded",
                "OK"
            ),
            "No Regulation defined"
        )
    ),
    ""
)</f>
        <v/>
      </c>
      <c r="AB3624" s="62" t="str">
        <f t="shared" si="56"/>
        <v/>
      </c>
    </row>
    <row r="3625" spans="20:28" x14ac:dyDescent="0.2">
      <c r="T3625" s="60" t="str">
        <f>IF(P3625&lt;&gt;"",
    IF(OR(O3625="", Q3625="", R3625=""),
        "Fill all the required columns",
        IFERROR(
            IF(OR(
                AND(R3625="Marine Protected", VLOOKUP(O3625, Reference!$A$2:$D$34, 4, FALSE) &lt;= P3625),
                AND(R3625="General Use", VLOOKUP(O3625, Reference!$A$2:$D$34, 3, FALSE) &lt;= P3625)
            ),
                "Exceeded",
                "OK"
            ),
            "No Regulation defined"
        )
    ),
    ""
)</f>
        <v/>
      </c>
      <c r="AB3625" s="62" t="str">
        <f t="shared" si="56"/>
        <v/>
      </c>
    </row>
    <row r="3626" spans="20:28" x14ac:dyDescent="0.2">
      <c r="T3626" s="60" t="str">
        <f>IF(P3626&lt;&gt;"",
    IF(OR(O3626="", Q3626="", R3626=""),
        "Fill all the required columns",
        IFERROR(
            IF(OR(
                AND(R3626="Marine Protected", VLOOKUP(O3626, Reference!$A$2:$D$34, 4, FALSE) &lt;= P3626),
                AND(R3626="General Use", VLOOKUP(O3626, Reference!$A$2:$D$34, 3, FALSE) &lt;= P3626)
            ),
                "Exceeded",
                "OK"
            ),
            "No Regulation defined"
        )
    ),
    ""
)</f>
        <v/>
      </c>
      <c r="AB3626" s="62" t="str">
        <f t="shared" si="56"/>
        <v/>
      </c>
    </row>
    <row r="3627" spans="20:28" x14ac:dyDescent="0.2">
      <c r="T3627" s="60" t="str">
        <f>IF(P3627&lt;&gt;"",
    IF(OR(O3627="", Q3627="", R3627=""),
        "Fill all the required columns",
        IFERROR(
            IF(OR(
                AND(R3627="Marine Protected", VLOOKUP(O3627, Reference!$A$2:$D$34, 4, FALSE) &lt;= P3627),
                AND(R3627="General Use", VLOOKUP(O3627, Reference!$A$2:$D$34, 3, FALSE) &lt;= P3627)
            ),
                "Exceeded",
                "OK"
            ),
            "No Regulation defined"
        )
    ),
    ""
)</f>
        <v/>
      </c>
      <c r="AB3627" s="62" t="str">
        <f t="shared" si="56"/>
        <v/>
      </c>
    </row>
    <row r="3628" spans="20:28" x14ac:dyDescent="0.2">
      <c r="T3628" s="60" t="str">
        <f>IF(P3628&lt;&gt;"",
    IF(OR(O3628="", Q3628="", R3628=""),
        "Fill all the required columns",
        IFERROR(
            IF(OR(
                AND(R3628="Marine Protected", VLOOKUP(O3628, Reference!$A$2:$D$34, 4, FALSE) &lt;= P3628),
                AND(R3628="General Use", VLOOKUP(O3628, Reference!$A$2:$D$34, 3, FALSE) &lt;= P3628)
            ),
                "Exceeded",
                "OK"
            ),
            "No Regulation defined"
        )
    ),
    ""
)</f>
        <v/>
      </c>
      <c r="AB3628" s="62" t="str">
        <f t="shared" si="56"/>
        <v/>
      </c>
    </row>
    <row r="3629" spans="20:28" x14ac:dyDescent="0.2">
      <c r="T3629" s="60" t="str">
        <f>IF(P3629&lt;&gt;"",
    IF(OR(O3629="", Q3629="", R3629=""),
        "Fill all the required columns",
        IFERROR(
            IF(OR(
                AND(R3629="Marine Protected", VLOOKUP(O3629, Reference!$A$2:$D$34, 4, FALSE) &lt;= P3629),
                AND(R3629="General Use", VLOOKUP(O3629, Reference!$A$2:$D$34, 3, FALSE) &lt;= P3629)
            ),
                "Exceeded",
                "OK"
            ),
            "No Regulation defined"
        )
    ),
    ""
)</f>
        <v/>
      </c>
      <c r="AB3629" s="62" t="str">
        <f t="shared" si="56"/>
        <v/>
      </c>
    </row>
    <row r="3630" spans="20:28" x14ac:dyDescent="0.2">
      <c r="T3630" s="60" t="str">
        <f>IF(P3630&lt;&gt;"",
    IF(OR(O3630="", Q3630="", R3630=""),
        "Fill all the required columns",
        IFERROR(
            IF(OR(
                AND(R3630="Marine Protected", VLOOKUP(O3630, Reference!$A$2:$D$34, 4, FALSE) &lt;= P3630),
                AND(R3630="General Use", VLOOKUP(O3630, Reference!$A$2:$D$34, 3, FALSE) &lt;= P3630)
            ),
                "Exceeded",
                "OK"
            ),
            "No Regulation defined"
        )
    ),
    ""
)</f>
        <v/>
      </c>
      <c r="AB3630" s="62" t="str">
        <f t="shared" si="56"/>
        <v/>
      </c>
    </row>
    <row r="3631" spans="20:28" x14ac:dyDescent="0.2">
      <c r="T3631" s="60" t="str">
        <f>IF(P3631&lt;&gt;"",
    IF(OR(O3631="", Q3631="", R3631=""),
        "Fill all the required columns",
        IFERROR(
            IF(OR(
                AND(R3631="Marine Protected", VLOOKUP(O3631, Reference!$A$2:$D$34, 4, FALSE) &lt;= P3631),
                AND(R3631="General Use", VLOOKUP(O3631, Reference!$A$2:$D$34, 3, FALSE) &lt;= P3631)
            ),
                "Exceeded",
                "OK"
            ),
            "No Regulation defined"
        )
    ),
    ""
)</f>
        <v/>
      </c>
      <c r="AB3631" s="62" t="str">
        <f t="shared" si="56"/>
        <v/>
      </c>
    </row>
    <row r="3632" spans="20:28" x14ac:dyDescent="0.2">
      <c r="T3632" s="60" t="str">
        <f>IF(P3632&lt;&gt;"",
    IF(OR(O3632="", Q3632="", R3632=""),
        "Fill all the required columns",
        IFERROR(
            IF(OR(
                AND(R3632="Marine Protected", VLOOKUP(O3632, Reference!$A$2:$D$34, 4, FALSE) &lt;= P3632),
                AND(R3632="General Use", VLOOKUP(O3632, Reference!$A$2:$D$34, 3, FALSE) &lt;= P3632)
            ),
                "Exceeded",
                "OK"
            ),
            "No Regulation defined"
        )
    ),
    ""
)</f>
        <v/>
      </c>
      <c r="AB3632" s="62" t="str">
        <f t="shared" si="56"/>
        <v/>
      </c>
    </row>
    <row r="3633" spans="20:28" x14ac:dyDescent="0.2">
      <c r="T3633" s="60" t="str">
        <f>IF(P3633&lt;&gt;"",
    IF(OR(O3633="", Q3633="", R3633=""),
        "Fill all the required columns",
        IFERROR(
            IF(OR(
                AND(R3633="Marine Protected", VLOOKUP(O3633, Reference!$A$2:$D$34, 4, FALSE) &lt;= P3633),
                AND(R3633="General Use", VLOOKUP(O3633, Reference!$A$2:$D$34, 3, FALSE) &lt;= P3633)
            ),
                "Exceeded",
                "OK"
            ),
            "No Regulation defined"
        )
    ),
    ""
)</f>
        <v/>
      </c>
      <c r="AB3633" s="62" t="str">
        <f t="shared" si="56"/>
        <v/>
      </c>
    </row>
    <row r="3634" spans="20:28" x14ac:dyDescent="0.2">
      <c r="T3634" s="60" t="str">
        <f>IF(P3634&lt;&gt;"",
    IF(OR(O3634="", Q3634="", R3634=""),
        "Fill all the required columns",
        IFERROR(
            IF(OR(
                AND(R3634="Marine Protected", VLOOKUP(O3634, Reference!$A$2:$D$34, 4, FALSE) &lt;= P3634),
                AND(R3634="General Use", VLOOKUP(O3634, Reference!$A$2:$D$34, 3, FALSE) &lt;= P3634)
            ),
                "Exceeded",
                "OK"
            ),
            "No Regulation defined"
        )
    ),
    ""
)</f>
        <v/>
      </c>
      <c r="AB3634" s="62" t="str">
        <f t="shared" si="56"/>
        <v/>
      </c>
    </row>
    <row r="3635" spans="20:28" x14ac:dyDescent="0.2">
      <c r="T3635" s="60" t="str">
        <f>IF(P3635&lt;&gt;"",
    IF(OR(O3635="", Q3635="", R3635=""),
        "Fill all the required columns",
        IFERROR(
            IF(OR(
                AND(R3635="Marine Protected", VLOOKUP(O3635, Reference!$A$2:$D$34, 4, FALSE) &lt;= P3635),
                AND(R3635="General Use", VLOOKUP(O3635, Reference!$A$2:$D$34, 3, FALSE) &lt;= P3635)
            ),
                "Exceeded",
                "OK"
            ),
            "No Regulation defined"
        )
    ),
    ""
)</f>
        <v/>
      </c>
      <c r="AB3635" s="62" t="str">
        <f t="shared" si="56"/>
        <v/>
      </c>
    </row>
    <row r="3636" spans="20:28" x14ac:dyDescent="0.2">
      <c r="T3636" s="60" t="str">
        <f>IF(P3636&lt;&gt;"",
    IF(OR(O3636="", Q3636="", R3636=""),
        "Fill all the required columns",
        IFERROR(
            IF(OR(
                AND(R3636="Marine Protected", VLOOKUP(O3636, Reference!$A$2:$D$34, 4, FALSE) &lt;= P3636),
                AND(R3636="General Use", VLOOKUP(O3636, Reference!$A$2:$D$34, 3, FALSE) &lt;= P3636)
            ),
                "Exceeded",
                "OK"
            ),
            "No Regulation defined"
        )
    ),
    ""
)</f>
        <v/>
      </c>
      <c r="AB3636" s="62" t="str">
        <f t="shared" si="56"/>
        <v/>
      </c>
    </row>
    <row r="3637" spans="20:28" x14ac:dyDescent="0.2">
      <c r="T3637" s="60" t="str">
        <f>IF(P3637&lt;&gt;"",
    IF(OR(O3637="", Q3637="", R3637=""),
        "Fill all the required columns",
        IFERROR(
            IF(OR(
                AND(R3637="Marine Protected", VLOOKUP(O3637, Reference!$A$2:$D$34, 4, FALSE) &lt;= P3637),
                AND(R3637="General Use", VLOOKUP(O3637, Reference!$A$2:$D$34, 3, FALSE) &lt;= P3637)
            ),
                "Exceeded",
                "OK"
            ),
            "No Regulation defined"
        )
    ),
    ""
)</f>
        <v/>
      </c>
      <c r="AB3637" s="62" t="str">
        <f t="shared" si="56"/>
        <v/>
      </c>
    </row>
    <row r="3638" spans="20:28" x14ac:dyDescent="0.2">
      <c r="T3638" s="60" t="str">
        <f>IF(P3638&lt;&gt;"",
    IF(OR(O3638="", Q3638="", R3638=""),
        "Fill all the required columns",
        IFERROR(
            IF(OR(
                AND(R3638="Marine Protected", VLOOKUP(O3638, Reference!$A$2:$D$34, 4, FALSE) &lt;= P3638),
                AND(R3638="General Use", VLOOKUP(O3638, Reference!$A$2:$D$34, 3, FALSE) &lt;= P3638)
            ),
                "Exceeded",
                "OK"
            ),
            "No Regulation defined"
        )
    ),
    ""
)</f>
        <v/>
      </c>
      <c r="AB3638" s="62" t="str">
        <f t="shared" si="56"/>
        <v/>
      </c>
    </row>
    <row r="3639" spans="20:28" x14ac:dyDescent="0.2">
      <c r="T3639" s="60" t="str">
        <f>IF(P3639&lt;&gt;"",
    IF(OR(O3639="", Q3639="", R3639=""),
        "Fill all the required columns",
        IFERROR(
            IF(OR(
                AND(R3639="Marine Protected", VLOOKUP(O3639, Reference!$A$2:$D$34, 4, FALSE) &lt;= P3639),
                AND(R3639="General Use", VLOOKUP(O3639, Reference!$A$2:$D$34, 3, FALSE) &lt;= P3639)
            ),
                "Exceeded",
                "OK"
            ),
            "No Regulation defined"
        )
    ),
    ""
)</f>
        <v/>
      </c>
      <c r="AB3639" s="62" t="str">
        <f t="shared" si="56"/>
        <v/>
      </c>
    </row>
    <row r="3640" spans="20:28" x14ac:dyDescent="0.2">
      <c r="T3640" s="60" t="str">
        <f>IF(P3640&lt;&gt;"",
    IF(OR(O3640="", Q3640="", R3640=""),
        "Fill all the required columns",
        IFERROR(
            IF(OR(
                AND(R3640="Marine Protected", VLOOKUP(O3640, Reference!$A$2:$D$34, 4, FALSE) &lt;= P3640),
                AND(R3640="General Use", VLOOKUP(O3640, Reference!$A$2:$D$34, 3, FALSE) &lt;= P3640)
            ),
                "Exceeded",
                "OK"
            ),
            "No Regulation defined"
        )
    ),
    ""
)</f>
        <v/>
      </c>
      <c r="AB3640" s="62" t="str">
        <f t="shared" si="56"/>
        <v/>
      </c>
    </row>
    <row r="3641" spans="20:28" x14ac:dyDescent="0.2">
      <c r="T3641" s="60" t="str">
        <f>IF(P3641&lt;&gt;"",
    IF(OR(O3641="", Q3641="", R3641=""),
        "Fill all the required columns",
        IFERROR(
            IF(OR(
                AND(R3641="Marine Protected", VLOOKUP(O3641, Reference!$A$2:$D$34, 4, FALSE) &lt;= P3641),
                AND(R3641="General Use", VLOOKUP(O3641, Reference!$A$2:$D$34, 3, FALSE) &lt;= P3641)
            ),
                "Exceeded",
                "OK"
            ),
            "No Regulation defined"
        )
    ),
    ""
)</f>
        <v/>
      </c>
      <c r="AB3641" s="62" t="str">
        <f t="shared" si="56"/>
        <v/>
      </c>
    </row>
    <row r="3642" spans="20:28" x14ac:dyDescent="0.2">
      <c r="T3642" s="60" t="str">
        <f>IF(P3642&lt;&gt;"",
    IF(OR(O3642="", Q3642="", R3642=""),
        "Fill all the required columns",
        IFERROR(
            IF(OR(
                AND(R3642="Marine Protected", VLOOKUP(O3642, Reference!$A$2:$D$34, 4, FALSE) &lt;= P3642),
                AND(R3642="General Use", VLOOKUP(O3642, Reference!$A$2:$D$34, 3, FALSE) &lt;= P3642)
            ),
                "Exceeded",
                "OK"
            ),
            "No Regulation defined"
        )
    ),
    ""
)</f>
        <v/>
      </c>
      <c r="AB3642" s="62" t="str">
        <f t="shared" si="56"/>
        <v/>
      </c>
    </row>
    <row r="3643" spans="20:28" x14ac:dyDescent="0.2">
      <c r="T3643" s="60" t="str">
        <f>IF(P3643&lt;&gt;"",
    IF(OR(O3643="", Q3643="", R3643=""),
        "Fill all the required columns",
        IFERROR(
            IF(OR(
                AND(R3643="Marine Protected", VLOOKUP(O3643, Reference!$A$2:$D$34, 4, FALSE) &lt;= P3643),
                AND(R3643="General Use", VLOOKUP(O3643, Reference!$A$2:$D$34, 3, FALSE) &lt;= P3643)
            ),
                "Exceeded",
                "OK"
            ),
            "No Regulation defined"
        )
    ),
    ""
)</f>
        <v/>
      </c>
      <c r="AB3643" s="62" t="str">
        <f t="shared" si="56"/>
        <v/>
      </c>
    </row>
    <row r="3644" spans="20:28" x14ac:dyDescent="0.2">
      <c r="T3644" s="60" t="str">
        <f>IF(P3644&lt;&gt;"",
    IF(OR(O3644="", Q3644="", R3644=""),
        "Fill all the required columns",
        IFERROR(
            IF(OR(
                AND(R3644="Marine Protected", VLOOKUP(O3644, Reference!$A$2:$D$34, 4, FALSE) &lt;= P3644),
                AND(R3644="General Use", VLOOKUP(O3644, Reference!$A$2:$D$34, 3, FALSE) &lt;= P3644)
            ),
                "Exceeded",
                "OK"
            ),
            "No Regulation defined"
        )
    ),
    ""
)</f>
        <v/>
      </c>
      <c r="AB3644" s="62" t="str">
        <f t="shared" si="56"/>
        <v/>
      </c>
    </row>
    <row r="3645" spans="20:28" x14ac:dyDescent="0.2">
      <c r="T3645" s="60" t="str">
        <f>IF(P3645&lt;&gt;"",
    IF(OR(O3645="", Q3645="", R3645=""),
        "Fill all the required columns",
        IFERROR(
            IF(OR(
                AND(R3645="Marine Protected", VLOOKUP(O3645, Reference!$A$2:$D$34, 4, FALSE) &lt;= P3645),
                AND(R3645="General Use", VLOOKUP(O3645, Reference!$A$2:$D$34, 3, FALSE) &lt;= P3645)
            ),
                "Exceeded",
                "OK"
            ),
            "No Regulation defined"
        )
    ),
    ""
)</f>
        <v/>
      </c>
      <c r="AB3645" s="62" t="str">
        <f t="shared" si="56"/>
        <v/>
      </c>
    </row>
    <row r="3646" spans="20:28" x14ac:dyDescent="0.2">
      <c r="T3646" s="60" t="str">
        <f>IF(P3646&lt;&gt;"",
    IF(OR(O3646="", Q3646="", R3646=""),
        "Fill all the required columns",
        IFERROR(
            IF(OR(
                AND(R3646="Marine Protected", VLOOKUP(O3646, Reference!$A$2:$D$34, 4, FALSE) &lt;= P3646),
                AND(R3646="General Use", VLOOKUP(O3646, Reference!$A$2:$D$34, 3, FALSE) &lt;= P3646)
            ),
                "Exceeded",
                "OK"
            ),
            "No Regulation defined"
        )
    ),
    ""
)</f>
        <v/>
      </c>
      <c r="AB3646" s="62" t="str">
        <f t="shared" si="56"/>
        <v/>
      </c>
    </row>
    <row r="3647" spans="20:28" x14ac:dyDescent="0.2">
      <c r="T3647" s="60" t="str">
        <f>IF(P3647&lt;&gt;"",
    IF(OR(O3647="", Q3647="", R3647=""),
        "Fill all the required columns",
        IFERROR(
            IF(OR(
                AND(R3647="Marine Protected", VLOOKUP(O3647, Reference!$A$2:$D$34, 4, FALSE) &lt;= P3647),
                AND(R3647="General Use", VLOOKUP(O3647, Reference!$A$2:$D$34, 3, FALSE) &lt;= P3647)
            ),
                "Exceeded",
                "OK"
            ),
            "No Regulation defined"
        )
    ),
    ""
)</f>
        <v/>
      </c>
      <c r="AB3647" s="62" t="str">
        <f t="shared" si="56"/>
        <v/>
      </c>
    </row>
    <row r="3648" spans="20:28" x14ac:dyDescent="0.2">
      <c r="T3648" s="60" t="str">
        <f>IF(P3648&lt;&gt;"",
    IF(OR(O3648="", Q3648="", R3648=""),
        "Fill all the required columns",
        IFERROR(
            IF(OR(
                AND(R3648="Marine Protected", VLOOKUP(O3648, Reference!$A$2:$D$34, 4, FALSE) &lt;= P3648),
                AND(R3648="General Use", VLOOKUP(O3648, Reference!$A$2:$D$34, 3, FALSE) &lt;= P3648)
            ),
                "Exceeded",
                "OK"
            ),
            "No Regulation defined"
        )
    ),
    ""
)</f>
        <v/>
      </c>
      <c r="AB3648" s="62" t="str">
        <f t="shared" si="56"/>
        <v/>
      </c>
    </row>
    <row r="3649" spans="20:28" x14ac:dyDescent="0.2">
      <c r="T3649" s="60" t="str">
        <f>IF(P3649&lt;&gt;"",
    IF(OR(O3649="", Q3649="", R3649=""),
        "Fill all the required columns",
        IFERROR(
            IF(OR(
                AND(R3649="Marine Protected", VLOOKUP(O3649, Reference!$A$2:$D$34, 4, FALSE) &lt;= P3649),
                AND(R3649="General Use", VLOOKUP(O3649, Reference!$A$2:$D$34, 3, FALSE) &lt;= P3649)
            ),
                "Exceeded",
                "OK"
            ),
            "No Regulation defined"
        )
    ),
    ""
)</f>
        <v/>
      </c>
      <c r="AB3649" s="62" t="str">
        <f t="shared" si="56"/>
        <v/>
      </c>
    </row>
    <row r="3650" spans="20:28" x14ac:dyDescent="0.2">
      <c r="T3650" s="60" t="str">
        <f>IF(P3650&lt;&gt;"",
    IF(OR(O3650="", Q3650="", R3650=""),
        "Fill all the required columns",
        IFERROR(
            IF(OR(
                AND(R3650="Marine Protected", VLOOKUP(O3650, Reference!$A$2:$D$34, 4, FALSE) &lt;= P3650),
                AND(R3650="General Use", VLOOKUP(O3650, Reference!$A$2:$D$34, 3, FALSE) &lt;= P3650)
            ),
                "Exceeded",
                "OK"
            ),
            "No Regulation defined"
        )
    ),
    ""
)</f>
        <v/>
      </c>
      <c r="AB3650" s="62" t="str">
        <f t="shared" si="56"/>
        <v/>
      </c>
    </row>
    <row r="3651" spans="20:28" x14ac:dyDescent="0.2">
      <c r="T3651" s="60" t="str">
        <f>IF(P3651&lt;&gt;"",
    IF(OR(O3651="", Q3651="", R3651=""),
        "Fill all the required columns",
        IFERROR(
            IF(OR(
                AND(R3651="Marine Protected", VLOOKUP(O3651, Reference!$A$2:$D$34, 4, FALSE) &lt;= P3651),
                AND(R3651="General Use", VLOOKUP(O3651, Reference!$A$2:$D$34, 3, FALSE) &lt;= P3651)
            ),
                "Exceeded",
                "OK"
            ),
            "No Regulation defined"
        )
    ),
    ""
)</f>
        <v/>
      </c>
      <c r="AB3651" s="62" t="str">
        <f t="shared" ref="AB3651:AB3714" si="57">IF(COUNTA(A3651, E3651, F3651, H3651, I3651, O3651, P3651, Q3651, R3651,S3651) = 0, "", IF(COUNTA(A3651, E3651, F3651, H3651, I3651, O3651, P3651, Q3651, R3651,S3651) = 10, "OK", "Incomplete"))</f>
        <v/>
      </c>
    </row>
    <row r="3652" spans="20:28" x14ac:dyDescent="0.2">
      <c r="T3652" s="60" t="str">
        <f>IF(P3652&lt;&gt;"",
    IF(OR(O3652="", Q3652="", R3652=""),
        "Fill all the required columns",
        IFERROR(
            IF(OR(
                AND(R3652="Marine Protected", VLOOKUP(O3652, Reference!$A$2:$D$34, 4, FALSE) &lt;= P3652),
                AND(R3652="General Use", VLOOKUP(O3652, Reference!$A$2:$D$34, 3, FALSE) &lt;= P3652)
            ),
                "Exceeded",
                "OK"
            ),
            "No Regulation defined"
        )
    ),
    ""
)</f>
        <v/>
      </c>
      <c r="AB3652" s="62" t="str">
        <f t="shared" si="57"/>
        <v/>
      </c>
    </row>
    <row r="3653" spans="20:28" x14ac:dyDescent="0.2">
      <c r="T3653" s="60" t="str">
        <f>IF(P3653&lt;&gt;"",
    IF(OR(O3653="", Q3653="", R3653=""),
        "Fill all the required columns",
        IFERROR(
            IF(OR(
                AND(R3653="Marine Protected", VLOOKUP(O3653, Reference!$A$2:$D$34, 4, FALSE) &lt;= P3653),
                AND(R3653="General Use", VLOOKUP(O3653, Reference!$A$2:$D$34, 3, FALSE) &lt;= P3653)
            ),
                "Exceeded",
                "OK"
            ),
            "No Regulation defined"
        )
    ),
    ""
)</f>
        <v/>
      </c>
      <c r="AB3653" s="62" t="str">
        <f t="shared" si="57"/>
        <v/>
      </c>
    </row>
    <row r="3654" spans="20:28" x14ac:dyDescent="0.2">
      <c r="T3654" s="60" t="str">
        <f>IF(P3654&lt;&gt;"",
    IF(OR(O3654="", Q3654="", R3654=""),
        "Fill all the required columns",
        IFERROR(
            IF(OR(
                AND(R3654="Marine Protected", VLOOKUP(O3654, Reference!$A$2:$D$34, 4, FALSE) &lt;= P3654),
                AND(R3654="General Use", VLOOKUP(O3654, Reference!$A$2:$D$34, 3, FALSE) &lt;= P3654)
            ),
                "Exceeded",
                "OK"
            ),
            "No Regulation defined"
        )
    ),
    ""
)</f>
        <v/>
      </c>
      <c r="AB3654" s="62" t="str">
        <f t="shared" si="57"/>
        <v/>
      </c>
    </row>
    <row r="3655" spans="20:28" x14ac:dyDescent="0.2">
      <c r="T3655" s="60" t="str">
        <f>IF(P3655&lt;&gt;"",
    IF(OR(O3655="", Q3655="", R3655=""),
        "Fill all the required columns",
        IFERROR(
            IF(OR(
                AND(R3655="Marine Protected", VLOOKUP(O3655, Reference!$A$2:$D$34, 4, FALSE) &lt;= P3655),
                AND(R3655="General Use", VLOOKUP(O3655, Reference!$A$2:$D$34, 3, FALSE) &lt;= P3655)
            ),
                "Exceeded",
                "OK"
            ),
            "No Regulation defined"
        )
    ),
    ""
)</f>
        <v/>
      </c>
      <c r="AB3655" s="62" t="str">
        <f t="shared" si="57"/>
        <v/>
      </c>
    </row>
    <row r="3656" spans="20:28" x14ac:dyDescent="0.2">
      <c r="T3656" s="60" t="str">
        <f>IF(P3656&lt;&gt;"",
    IF(OR(O3656="", Q3656="", R3656=""),
        "Fill all the required columns",
        IFERROR(
            IF(OR(
                AND(R3656="Marine Protected", VLOOKUP(O3656, Reference!$A$2:$D$34, 4, FALSE) &lt;= P3656),
                AND(R3656="General Use", VLOOKUP(O3656, Reference!$A$2:$D$34, 3, FALSE) &lt;= P3656)
            ),
                "Exceeded",
                "OK"
            ),
            "No Regulation defined"
        )
    ),
    ""
)</f>
        <v/>
      </c>
      <c r="AB3656" s="62" t="str">
        <f t="shared" si="57"/>
        <v/>
      </c>
    </row>
    <row r="3657" spans="20:28" x14ac:dyDescent="0.2">
      <c r="T3657" s="60" t="str">
        <f>IF(P3657&lt;&gt;"",
    IF(OR(O3657="", Q3657="", R3657=""),
        "Fill all the required columns",
        IFERROR(
            IF(OR(
                AND(R3657="Marine Protected", VLOOKUP(O3657, Reference!$A$2:$D$34, 4, FALSE) &lt;= P3657),
                AND(R3657="General Use", VLOOKUP(O3657, Reference!$A$2:$D$34, 3, FALSE) &lt;= P3657)
            ),
                "Exceeded",
                "OK"
            ),
            "No Regulation defined"
        )
    ),
    ""
)</f>
        <v/>
      </c>
      <c r="AB3657" s="62" t="str">
        <f t="shared" si="57"/>
        <v/>
      </c>
    </row>
    <row r="3658" spans="20:28" x14ac:dyDescent="0.2">
      <c r="T3658" s="60" t="str">
        <f>IF(P3658&lt;&gt;"",
    IF(OR(O3658="", Q3658="", R3658=""),
        "Fill all the required columns",
        IFERROR(
            IF(OR(
                AND(R3658="Marine Protected", VLOOKUP(O3658, Reference!$A$2:$D$34, 4, FALSE) &lt;= P3658),
                AND(R3658="General Use", VLOOKUP(O3658, Reference!$A$2:$D$34, 3, FALSE) &lt;= P3658)
            ),
                "Exceeded",
                "OK"
            ),
            "No Regulation defined"
        )
    ),
    ""
)</f>
        <v/>
      </c>
      <c r="AB3658" s="62" t="str">
        <f t="shared" si="57"/>
        <v/>
      </c>
    </row>
    <row r="3659" spans="20:28" x14ac:dyDescent="0.2">
      <c r="T3659" s="60" t="str">
        <f>IF(P3659&lt;&gt;"",
    IF(OR(O3659="", Q3659="", R3659=""),
        "Fill all the required columns",
        IFERROR(
            IF(OR(
                AND(R3659="Marine Protected", VLOOKUP(O3659, Reference!$A$2:$D$34, 4, FALSE) &lt;= P3659),
                AND(R3659="General Use", VLOOKUP(O3659, Reference!$A$2:$D$34, 3, FALSE) &lt;= P3659)
            ),
                "Exceeded",
                "OK"
            ),
            "No Regulation defined"
        )
    ),
    ""
)</f>
        <v/>
      </c>
      <c r="AB3659" s="62" t="str">
        <f t="shared" si="57"/>
        <v/>
      </c>
    </row>
    <row r="3660" spans="20:28" x14ac:dyDescent="0.2">
      <c r="T3660" s="60" t="str">
        <f>IF(P3660&lt;&gt;"",
    IF(OR(O3660="", Q3660="", R3660=""),
        "Fill all the required columns",
        IFERROR(
            IF(OR(
                AND(R3660="Marine Protected", VLOOKUP(O3660, Reference!$A$2:$D$34, 4, FALSE) &lt;= P3660),
                AND(R3660="General Use", VLOOKUP(O3660, Reference!$A$2:$D$34, 3, FALSE) &lt;= P3660)
            ),
                "Exceeded",
                "OK"
            ),
            "No Regulation defined"
        )
    ),
    ""
)</f>
        <v/>
      </c>
      <c r="AB3660" s="62" t="str">
        <f t="shared" si="57"/>
        <v/>
      </c>
    </row>
    <row r="3661" spans="20:28" x14ac:dyDescent="0.2">
      <c r="T3661" s="60" t="str">
        <f>IF(P3661&lt;&gt;"",
    IF(OR(O3661="", Q3661="", R3661=""),
        "Fill all the required columns",
        IFERROR(
            IF(OR(
                AND(R3661="Marine Protected", VLOOKUP(O3661, Reference!$A$2:$D$34, 4, FALSE) &lt;= P3661),
                AND(R3661="General Use", VLOOKUP(O3661, Reference!$A$2:$D$34, 3, FALSE) &lt;= P3661)
            ),
                "Exceeded",
                "OK"
            ),
            "No Regulation defined"
        )
    ),
    ""
)</f>
        <v/>
      </c>
      <c r="AB3661" s="62" t="str">
        <f t="shared" si="57"/>
        <v/>
      </c>
    </row>
    <row r="3662" spans="20:28" x14ac:dyDescent="0.2">
      <c r="T3662" s="60" t="str">
        <f>IF(P3662&lt;&gt;"",
    IF(OR(O3662="", Q3662="", R3662=""),
        "Fill all the required columns",
        IFERROR(
            IF(OR(
                AND(R3662="Marine Protected", VLOOKUP(O3662, Reference!$A$2:$D$34, 4, FALSE) &lt;= P3662),
                AND(R3662="General Use", VLOOKUP(O3662, Reference!$A$2:$D$34, 3, FALSE) &lt;= P3662)
            ),
                "Exceeded",
                "OK"
            ),
            "No Regulation defined"
        )
    ),
    ""
)</f>
        <v/>
      </c>
      <c r="AB3662" s="62" t="str">
        <f t="shared" si="57"/>
        <v/>
      </c>
    </row>
    <row r="3663" spans="20:28" x14ac:dyDescent="0.2">
      <c r="T3663" s="60" t="str">
        <f>IF(P3663&lt;&gt;"",
    IF(OR(O3663="", Q3663="", R3663=""),
        "Fill all the required columns",
        IFERROR(
            IF(OR(
                AND(R3663="Marine Protected", VLOOKUP(O3663, Reference!$A$2:$D$34, 4, FALSE) &lt;= P3663),
                AND(R3663="General Use", VLOOKUP(O3663, Reference!$A$2:$D$34, 3, FALSE) &lt;= P3663)
            ),
                "Exceeded",
                "OK"
            ),
            "No Regulation defined"
        )
    ),
    ""
)</f>
        <v/>
      </c>
      <c r="AB3663" s="62" t="str">
        <f t="shared" si="57"/>
        <v/>
      </c>
    </row>
    <row r="3664" spans="20:28" x14ac:dyDescent="0.2">
      <c r="T3664" s="60" t="str">
        <f>IF(P3664&lt;&gt;"",
    IF(OR(O3664="", Q3664="", R3664=""),
        "Fill all the required columns",
        IFERROR(
            IF(OR(
                AND(R3664="Marine Protected", VLOOKUP(O3664, Reference!$A$2:$D$34, 4, FALSE) &lt;= P3664),
                AND(R3664="General Use", VLOOKUP(O3664, Reference!$A$2:$D$34, 3, FALSE) &lt;= P3664)
            ),
                "Exceeded",
                "OK"
            ),
            "No Regulation defined"
        )
    ),
    ""
)</f>
        <v/>
      </c>
      <c r="AB3664" s="62" t="str">
        <f t="shared" si="57"/>
        <v/>
      </c>
    </row>
    <row r="3665" spans="20:28" x14ac:dyDescent="0.2">
      <c r="T3665" s="60" t="str">
        <f>IF(P3665&lt;&gt;"",
    IF(OR(O3665="", Q3665="", R3665=""),
        "Fill all the required columns",
        IFERROR(
            IF(OR(
                AND(R3665="Marine Protected", VLOOKUP(O3665, Reference!$A$2:$D$34, 4, FALSE) &lt;= P3665),
                AND(R3665="General Use", VLOOKUP(O3665, Reference!$A$2:$D$34, 3, FALSE) &lt;= P3665)
            ),
                "Exceeded",
                "OK"
            ),
            "No Regulation defined"
        )
    ),
    ""
)</f>
        <v/>
      </c>
      <c r="AB3665" s="62" t="str">
        <f t="shared" si="57"/>
        <v/>
      </c>
    </row>
    <row r="3666" spans="20:28" x14ac:dyDescent="0.2">
      <c r="T3666" s="60" t="str">
        <f>IF(P3666&lt;&gt;"",
    IF(OR(O3666="", Q3666="", R3666=""),
        "Fill all the required columns",
        IFERROR(
            IF(OR(
                AND(R3666="Marine Protected", VLOOKUP(O3666, Reference!$A$2:$D$34, 4, FALSE) &lt;= P3666),
                AND(R3666="General Use", VLOOKUP(O3666, Reference!$A$2:$D$34, 3, FALSE) &lt;= P3666)
            ),
                "Exceeded",
                "OK"
            ),
            "No Regulation defined"
        )
    ),
    ""
)</f>
        <v/>
      </c>
      <c r="AB3666" s="62" t="str">
        <f t="shared" si="57"/>
        <v/>
      </c>
    </row>
    <row r="3667" spans="20:28" x14ac:dyDescent="0.2">
      <c r="T3667" s="60" t="str">
        <f>IF(P3667&lt;&gt;"",
    IF(OR(O3667="", Q3667="", R3667=""),
        "Fill all the required columns",
        IFERROR(
            IF(OR(
                AND(R3667="Marine Protected", VLOOKUP(O3667, Reference!$A$2:$D$34, 4, FALSE) &lt;= P3667),
                AND(R3667="General Use", VLOOKUP(O3667, Reference!$A$2:$D$34, 3, FALSE) &lt;= P3667)
            ),
                "Exceeded",
                "OK"
            ),
            "No Regulation defined"
        )
    ),
    ""
)</f>
        <v/>
      </c>
      <c r="AB3667" s="62" t="str">
        <f t="shared" si="57"/>
        <v/>
      </c>
    </row>
    <row r="3668" spans="20:28" x14ac:dyDescent="0.2">
      <c r="T3668" s="60" t="str">
        <f>IF(P3668&lt;&gt;"",
    IF(OR(O3668="", Q3668="", R3668=""),
        "Fill all the required columns",
        IFERROR(
            IF(OR(
                AND(R3668="Marine Protected", VLOOKUP(O3668, Reference!$A$2:$D$34, 4, FALSE) &lt;= P3668),
                AND(R3668="General Use", VLOOKUP(O3668, Reference!$A$2:$D$34, 3, FALSE) &lt;= P3668)
            ),
                "Exceeded",
                "OK"
            ),
            "No Regulation defined"
        )
    ),
    ""
)</f>
        <v/>
      </c>
      <c r="AB3668" s="62" t="str">
        <f t="shared" si="57"/>
        <v/>
      </c>
    </row>
    <row r="3669" spans="20:28" x14ac:dyDescent="0.2">
      <c r="T3669" s="60" t="str">
        <f>IF(P3669&lt;&gt;"",
    IF(OR(O3669="", Q3669="", R3669=""),
        "Fill all the required columns",
        IFERROR(
            IF(OR(
                AND(R3669="Marine Protected", VLOOKUP(O3669, Reference!$A$2:$D$34, 4, FALSE) &lt;= P3669),
                AND(R3669="General Use", VLOOKUP(O3669, Reference!$A$2:$D$34, 3, FALSE) &lt;= P3669)
            ),
                "Exceeded",
                "OK"
            ),
            "No Regulation defined"
        )
    ),
    ""
)</f>
        <v/>
      </c>
      <c r="AB3669" s="62" t="str">
        <f t="shared" si="57"/>
        <v/>
      </c>
    </row>
    <row r="3670" spans="20:28" x14ac:dyDescent="0.2">
      <c r="T3670" s="60" t="str">
        <f>IF(P3670&lt;&gt;"",
    IF(OR(O3670="", Q3670="", R3670=""),
        "Fill all the required columns",
        IFERROR(
            IF(OR(
                AND(R3670="Marine Protected", VLOOKUP(O3670, Reference!$A$2:$D$34, 4, FALSE) &lt;= P3670),
                AND(R3670="General Use", VLOOKUP(O3670, Reference!$A$2:$D$34, 3, FALSE) &lt;= P3670)
            ),
                "Exceeded",
                "OK"
            ),
            "No Regulation defined"
        )
    ),
    ""
)</f>
        <v/>
      </c>
      <c r="AB3670" s="62" t="str">
        <f t="shared" si="57"/>
        <v/>
      </c>
    </row>
    <row r="3671" spans="20:28" x14ac:dyDescent="0.2">
      <c r="T3671" s="60" t="str">
        <f>IF(P3671&lt;&gt;"",
    IF(OR(O3671="", Q3671="", R3671=""),
        "Fill all the required columns",
        IFERROR(
            IF(OR(
                AND(R3671="Marine Protected", VLOOKUP(O3671, Reference!$A$2:$D$34, 4, FALSE) &lt;= P3671),
                AND(R3671="General Use", VLOOKUP(O3671, Reference!$A$2:$D$34, 3, FALSE) &lt;= P3671)
            ),
                "Exceeded",
                "OK"
            ),
            "No Regulation defined"
        )
    ),
    ""
)</f>
        <v/>
      </c>
      <c r="AB3671" s="62" t="str">
        <f t="shared" si="57"/>
        <v/>
      </c>
    </row>
    <row r="3672" spans="20:28" x14ac:dyDescent="0.2">
      <c r="T3672" s="60" t="str">
        <f>IF(P3672&lt;&gt;"",
    IF(OR(O3672="", Q3672="", R3672=""),
        "Fill all the required columns",
        IFERROR(
            IF(OR(
                AND(R3672="Marine Protected", VLOOKUP(O3672, Reference!$A$2:$D$34, 4, FALSE) &lt;= P3672),
                AND(R3672="General Use", VLOOKUP(O3672, Reference!$A$2:$D$34, 3, FALSE) &lt;= P3672)
            ),
                "Exceeded",
                "OK"
            ),
            "No Regulation defined"
        )
    ),
    ""
)</f>
        <v/>
      </c>
      <c r="AB3672" s="62" t="str">
        <f t="shared" si="57"/>
        <v/>
      </c>
    </row>
    <row r="3673" spans="20:28" x14ac:dyDescent="0.2">
      <c r="T3673" s="60" t="str">
        <f>IF(P3673&lt;&gt;"",
    IF(OR(O3673="", Q3673="", R3673=""),
        "Fill all the required columns",
        IFERROR(
            IF(OR(
                AND(R3673="Marine Protected", VLOOKUP(O3673, Reference!$A$2:$D$34, 4, FALSE) &lt;= P3673),
                AND(R3673="General Use", VLOOKUP(O3673, Reference!$A$2:$D$34, 3, FALSE) &lt;= P3673)
            ),
                "Exceeded",
                "OK"
            ),
            "No Regulation defined"
        )
    ),
    ""
)</f>
        <v/>
      </c>
      <c r="AB3673" s="62" t="str">
        <f t="shared" si="57"/>
        <v/>
      </c>
    </row>
    <row r="3674" spans="20:28" x14ac:dyDescent="0.2">
      <c r="T3674" s="60" t="str">
        <f>IF(P3674&lt;&gt;"",
    IF(OR(O3674="", Q3674="", R3674=""),
        "Fill all the required columns",
        IFERROR(
            IF(OR(
                AND(R3674="Marine Protected", VLOOKUP(O3674, Reference!$A$2:$D$34, 4, FALSE) &lt;= P3674),
                AND(R3674="General Use", VLOOKUP(O3674, Reference!$A$2:$D$34, 3, FALSE) &lt;= P3674)
            ),
                "Exceeded",
                "OK"
            ),
            "No Regulation defined"
        )
    ),
    ""
)</f>
        <v/>
      </c>
      <c r="AB3674" s="62" t="str">
        <f t="shared" si="57"/>
        <v/>
      </c>
    </row>
    <row r="3675" spans="20:28" x14ac:dyDescent="0.2">
      <c r="T3675" s="60" t="str">
        <f>IF(P3675&lt;&gt;"",
    IF(OR(O3675="", Q3675="", R3675=""),
        "Fill all the required columns",
        IFERROR(
            IF(OR(
                AND(R3675="Marine Protected", VLOOKUP(O3675, Reference!$A$2:$D$34, 4, FALSE) &lt;= P3675),
                AND(R3675="General Use", VLOOKUP(O3675, Reference!$A$2:$D$34, 3, FALSE) &lt;= P3675)
            ),
                "Exceeded",
                "OK"
            ),
            "No Regulation defined"
        )
    ),
    ""
)</f>
        <v/>
      </c>
      <c r="AB3675" s="62" t="str">
        <f t="shared" si="57"/>
        <v/>
      </c>
    </row>
    <row r="3676" spans="20:28" x14ac:dyDescent="0.2">
      <c r="T3676" s="60" t="str">
        <f>IF(P3676&lt;&gt;"",
    IF(OR(O3676="", Q3676="", R3676=""),
        "Fill all the required columns",
        IFERROR(
            IF(OR(
                AND(R3676="Marine Protected", VLOOKUP(O3676, Reference!$A$2:$D$34, 4, FALSE) &lt;= P3676),
                AND(R3676="General Use", VLOOKUP(O3676, Reference!$A$2:$D$34, 3, FALSE) &lt;= P3676)
            ),
                "Exceeded",
                "OK"
            ),
            "No Regulation defined"
        )
    ),
    ""
)</f>
        <v/>
      </c>
      <c r="AB3676" s="62" t="str">
        <f t="shared" si="57"/>
        <v/>
      </c>
    </row>
    <row r="3677" spans="20:28" x14ac:dyDescent="0.2">
      <c r="T3677" s="60" t="str">
        <f>IF(P3677&lt;&gt;"",
    IF(OR(O3677="", Q3677="", R3677=""),
        "Fill all the required columns",
        IFERROR(
            IF(OR(
                AND(R3677="Marine Protected", VLOOKUP(O3677, Reference!$A$2:$D$34, 4, FALSE) &lt;= P3677),
                AND(R3677="General Use", VLOOKUP(O3677, Reference!$A$2:$D$34, 3, FALSE) &lt;= P3677)
            ),
                "Exceeded",
                "OK"
            ),
            "No Regulation defined"
        )
    ),
    ""
)</f>
        <v/>
      </c>
      <c r="AB3677" s="62" t="str">
        <f t="shared" si="57"/>
        <v/>
      </c>
    </row>
    <row r="3678" spans="20:28" x14ac:dyDescent="0.2">
      <c r="T3678" s="60" t="str">
        <f>IF(P3678&lt;&gt;"",
    IF(OR(O3678="", Q3678="", R3678=""),
        "Fill all the required columns",
        IFERROR(
            IF(OR(
                AND(R3678="Marine Protected", VLOOKUP(O3678, Reference!$A$2:$D$34, 4, FALSE) &lt;= P3678),
                AND(R3678="General Use", VLOOKUP(O3678, Reference!$A$2:$D$34, 3, FALSE) &lt;= P3678)
            ),
                "Exceeded",
                "OK"
            ),
            "No Regulation defined"
        )
    ),
    ""
)</f>
        <v/>
      </c>
      <c r="AB3678" s="62" t="str">
        <f t="shared" si="57"/>
        <v/>
      </c>
    </row>
    <row r="3679" spans="20:28" x14ac:dyDescent="0.2">
      <c r="T3679" s="60" t="str">
        <f>IF(P3679&lt;&gt;"",
    IF(OR(O3679="", Q3679="", R3679=""),
        "Fill all the required columns",
        IFERROR(
            IF(OR(
                AND(R3679="Marine Protected", VLOOKUP(O3679, Reference!$A$2:$D$34, 4, FALSE) &lt;= P3679),
                AND(R3679="General Use", VLOOKUP(O3679, Reference!$A$2:$D$34, 3, FALSE) &lt;= P3679)
            ),
                "Exceeded",
                "OK"
            ),
            "No Regulation defined"
        )
    ),
    ""
)</f>
        <v/>
      </c>
      <c r="AB3679" s="62" t="str">
        <f t="shared" si="57"/>
        <v/>
      </c>
    </row>
    <row r="3680" spans="20:28" x14ac:dyDescent="0.2">
      <c r="T3680" s="60" t="str">
        <f>IF(P3680&lt;&gt;"",
    IF(OR(O3680="", Q3680="", R3680=""),
        "Fill all the required columns",
        IFERROR(
            IF(OR(
                AND(R3680="Marine Protected", VLOOKUP(O3680, Reference!$A$2:$D$34, 4, FALSE) &lt;= P3680),
                AND(R3680="General Use", VLOOKUP(O3680, Reference!$A$2:$D$34, 3, FALSE) &lt;= P3680)
            ),
                "Exceeded",
                "OK"
            ),
            "No Regulation defined"
        )
    ),
    ""
)</f>
        <v/>
      </c>
      <c r="AB3680" s="62" t="str">
        <f t="shared" si="57"/>
        <v/>
      </c>
    </row>
    <row r="3681" spans="20:28" x14ac:dyDescent="0.2">
      <c r="T3681" s="60" t="str">
        <f>IF(P3681&lt;&gt;"",
    IF(OR(O3681="", Q3681="", R3681=""),
        "Fill all the required columns",
        IFERROR(
            IF(OR(
                AND(R3681="Marine Protected", VLOOKUP(O3681, Reference!$A$2:$D$34, 4, FALSE) &lt;= P3681),
                AND(R3681="General Use", VLOOKUP(O3681, Reference!$A$2:$D$34, 3, FALSE) &lt;= P3681)
            ),
                "Exceeded",
                "OK"
            ),
            "No Regulation defined"
        )
    ),
    ""
)</f>
        <v/>
      </c>
      <c r="AB3681" s="62" t="str">
        <f t="shared" si="57"/>
        <v/>
      </c>
    </row>
    <row r="3682" spans="20:28" x14ac:dyDescent="0.2">
      <c r="T3682" s="60" t="str">
        <f>IF(P3682&lt;&gt;"",
    IF(OR(O3682="", Q3682="", R3682=""),
        "Fill all the required columns",
        IFERROR(
            IF(OR(
                AND(R3682="Marine Protected", VLOOKUP(O3682, Reference!$A$2:$D$34, 4, FALSE) &lt;= P3682),
                AND(R3682="General Use", VLOOKUP(O3682, Reference!$A$2:$D$34, 3, FALSE) &lt;= P3682)
            ),
                "Exceeded",
                "OK"
            ),
            "No Regulation defined"
        )
    ),
    ""
)</f>
        <v/>
      </c>
      <c r="AB3682" s="62" t="str">
        <f t="shared" si="57"/>
        <v/>
      </c>
    </row>
    <row r="3683" spans="20:28" x14ac:dyDescent="0.2">
      <c r="T3683" s="60" t="str">
        <f>IF(P3683&lt;&gt;"",
    IF(OR(O3683="", Q3683="", R3683=""),
        "Fill all the required columns",
        IFERROR(
            IF(OR(
                AND(R3683="Marine Protected", VLOOKUP(O3683, Reference!$A$2:$D$34, 4, FALSE) &lt;= P3683),
                AND(R3683="General Use", VLOOKUP(O3683, Reference!$A$2:$D$34, 3, FALSE) &lt;= P3683)
            ),
                "Exceeded",
                "OK"
            ),
            "No Regulation defined"
        )
    ),
    ""
)</f>
        <v/>
      </c>
      <c r="AB3683" s="62" t="str">
        <f t="shared" si="57"/>
        <v/>
      </c>
    </row>
    <row r="3684" spans="20:28" x14ac:dyDescent="0.2">
      <c r="T3684" s="60" t="str">
        <f>IF(P3684&lt;&gt;"",
    IF(OR(O3684="", Q3684="", R3684=""),
        "Fill all the required columns",
        IFERROR(
            IF(OR(
                AND(R3684="Marine Protected", VLOOKUP(O3684, Reference!$A$2:$D$34, 4, FALSE) &lt;= P3684),
                AND(R3684="General Use", VLOOKUP(O3684, Reference!$A$2:$D$34, 3, FALSE) &lt;= P3684)
            ),
                "Exceeded",
                "OK"
            ),
            "No Regulation defined"
        )
    ),
    ""
)</f>
        <v/>
      </c>
      <c r="AB3684" s="62" t="str">
        <f t="shared" si="57"/>
        <v/>
      </c>
    </row>
    <row r="3685" spans="20:28" x14ac:dyDescent="0.2">
      <c r="T3685" s="60" t="str">
        <f>IF(P3685&lt;&gt;"",
    IF(OR(O3685="", Q3685="", R3685=""),
        "Fill all the required columns",
        IFERROR(
            IF(OR(
                AND(R3685="Marine Protected", VLOOKUP(O3685, Reference!$A$2:$D$34, 4, FALSE) &lt;= P3685),
                AND(R3685="General Use", VLOOKUP(O3685, Reference!$A$2:$D$34, 3, FALSE) &lt;= P3685)
            ),
                "Exceeded",
                "OK"
            ),
            "No Regulation defined"
        )
    ),
    ""
)</f>
        <v/>
      </c>
      <c r="AB3685" s="62" t="str">
        <f t="shared" si="57"/>
        <v/>
      </c>
    </row>
    <row r="3686" spans="20:28" x14ac:dyDescent="0.2">
      <c r="T3686" s="60" t="str">
        <f>IF(P3686&lt;&gt;"",
    IF(OR(O3686="", Q3686="", R3686=""),
        "Fill all the required columns",
        IFERROR(
            IF(OR(
                AND(R3686="Marine Protected", VLOOKUP(O3686, Reference!$A$2:$D$34, 4, FALSE) &lt;= P3686),
                AND(R3686="General Use", VLOOKUP(O3686, Reference!$A$2:$D$34, 3, FALSE) &lt;= P3686)
            ),
                "Exceeded",
                "OK"
            ),
            "No Regulation defined"
        )
    ),
    ""
)</f>
        <v/>
      </c>
      <c r="AB3686" s="62" t="str">
        <f t="shared" si="57"/>
        <v/>
      </c>
    </row>
    <row r="3687" spans="20:28" x14ac:dyDescent="0.2">
      <c r="T3687" s="60" t="str">
        <f>IF(P3687&lt;&gt;"",
    IF(OR(O3687="", Q3687="", R3687=""),
        "Fill all the required columns",
        IFERROR(
            IF(OR(
                AND(R3687="Marine Protected", VLOOKUP(O3687, Reference!$A$2:$D$34, 4, FALSE) &lt;= P3687),
                AND(R3687="General Use", VLOOKUP(O3687, Reference!$A$2:$D$34, 3, FALSE) &lt;= P3687)
            ),
                "Exceeded",
                "OK"
            ),
            "No Regulation defined"
        )
    ),
    ""
)</f>
        <v/>
      </c>
      <c r="AB3687" s="62" t="str">
        <f t="shared" si="57"/>
        <v/>
      </c>
    </row>
    <row r="3688" spans="20:28" x14ac:dyDescent="0.2">
      <c r="T3688" s="60" t="str">
        <f>IF(P3688&lt;&gt;"",
    IF(OR(O3688="", Q3688="", R3688=""),
        "Fill all the required columns",
        IFERROR(
            IF(OR(
                AND(R3688="Marine Protected", VLOOKUP(O3688, Reference!$A$2:$D$34, 4, FALSE) &lt;= P3688),
                AND(R3688="General Use", VLOOKUP(O3688, Reference!$A$2:$D$34, 3, FALSE) &lt;= P3688)
            ),
                "Exceeded",
                "OK"
            ),
            "No Regulation defined"
        )
    ),
    ""
)</f>
        <v/>
      </c>
      <c r="AB3688" s="62" t="str">
        <f t="shared" si="57"/>
        <v/>
      </c>
    </row>
    <row r="3689" spans="20:28" x14ac:dyDescent="0.2">
      <c r="T3689" s="60" t="str">
        <f>IF(P3689&lt;&gt;"",
    IF(OR(O3689="", Q3689="", R3689=""),
        "Fill all the required columns",
        IFERROR(
            IF(OR(
                AND(R3689="Marine Protected", VLOOKUP(O3689, Reference!$A$2:$D$34, 4, FALSE) &lt;= P3689),
                AND(R3689="General Use", VLOOKUP(O3689, Reference!$A$2:$D$34, 3, FALSE) &lt;= P3689)
            ),
                "Exceeded",
                "OK"
            ),
            "No Regulation defined"
        )
    ),
    ""
)</f>
        <v/>
      </c>
      <c r="AB3689" s="62" t="str">
        <f t="shared" si="57"/>
        <v/>
      </c>
    </row>
    <row r="3690" spans="20:28" x14ac:dyDescent="0.2">
      <c r="T3690" s="60" t="str">
        <f>IF(P3690&lt;&gt;"",
    IF(OR(O3690="", Q3690="", R3690=""),
        "Fill all the required columns",
        IFERROR(
            IF(OR(
                AND(R3690="Marine Protected", VLOOKUP(O3690, Reference!$A$2:$D$34, 4, FALSE) &lt;= P3690),
                AND(R3690="General Use", VLOOKUP(O3690, Reference!$A$2:$D$34, 3, FALSE) &lt;= P3690)
            ),
                "Exceeded",
                "OK"
            ),
            "No Regulation defined"
        )
    ),
    ""
)</f>
        <v/>
      </c>
      <c r="AB3690" s="62" t="str">
        <f t="shared" si="57"/>
        <v/>
      </c>
    </row>
    <row r="3691" spans="20:28" x14ac:dyDescent="0.2">
      <c r="T3691" s="60" t="str">
        <f>IF(P3691&lt;&gt;"",
    IF(OR(O3691="", Q3691="", R3691=""),
        "Fill all the required columns",
        IFERROR(
            IF(OR(
                AND(R3691="Marine Protected", VLOOKUP(O3691, Reference!$A$2:$D$34, 4, FALSE) &lt;= P3691),
                AND(R3691="General Use", VLOOKUP(O3691, Reference!$A$2:$D$34, 3, FALSE) &lt;= P3691)
            ),
                "Exceeded",
                "OK"
            ),
            "No Regulation defined"
        )
    ),
    ""
)</f>
        <v/>
      </c>
      <c r="AB3691" s="62" t="str">
        <f t="shared" si="57"/>
        <v/>
      </c>
    </row>
    <row r="3692" spans="20:28" x14ac:dyDescent="0.2">
      <c r="T3692" s="60" t="str">
        <f>IF(P3692&lt;&gt;"",
    IF(OR(O3692="", Q3692="", R3692=""),
        "Fill all the required columns",
        IFERROR(
            IF(OR(
                AND(R3692="Marine Protected", VLOOKUP(O3692, Reference!$A$2:$D$34, 4, FALSE) &lt;= P3692),
                AND(R3692="General Use", VLOOKUP(O3692, Reference!$A$2:$D$34, 3, FALSE) &lt;= P3692)
            ),
                "Exceeded",
                "OK"
            ),
            "No Regulation defined"
        )
    ),
    ""
)</f>
        <v/>
      </c>
      <c r="AB3692" s="62" t="str">
        <f t="shared" si="57"/>
        <v/>
      </c>
    </row>
    <row r="3693" spans="20:28" x14ac:dyDescent="0.2">
      <c r="T3693" s="60" t="str">
        <f>IF(P3693&lt;&gt;"",
    IF(OR(O3693="", Q3693="", R3693=""),
        "Fill all the required columns",
        IFERROR(
            IF(OR(
                AND(R3693="Marine Protected", VLOOKUP(O3693, Reference!$A$2:$D$34, 4, FALSE) &lt;= P3693),
                AND(R3693="General Use", VLOOKUP(O3693, Reference!$A$2:$D$34, 3, FALSE) &lt;= P3693)
            ),
                "Exceeded",
                "OK"
            ),
            "No Regulation defined"
        )
    ),
    ""
)</f>
        <v/>
      </c>
      <c r="AB3693" s="62" t="str">
        <f t="shared" si="57"/>
        <v/>
      </c>
    </row>
    <row r="3694" spans="20:28" x14ac:dyDescent="0.2">
      <c r="T3694" s="60" t="str">
        <f>IF(P3694&lt;&gt;"",
    IF(OR(O3694="", Q3694="", R3694=""),
        "Fill all the required columns",
        IFERROR(
            IF(OR(
                AND(R3694="Marine Protected", VLOOKUP(O3694, Reference!$A$2:$D$34, 4, FALSE) &lt;= P3694),
                AND(R3694="General Use", VLOOKUP(O3694, Reference!$A$2:$D$34, 3, FALSE) &lt;= P3694)
            ),
                "Exceeded",
                "OK"
            ),
            "No Regulation defined"
        )
    ),
    ""
)</f>
        <v/>
      </c>
      <c r="AB3694" s="62" t="str">
        <f t="shared" si="57"/>
        <v/>
      </c>
    </row>
    <row r="3695" spans="20:28" x14ac:dyDescent="0.2">
      <c r="T3695" s="60" t="str">
        <f>IF(P3695&lt;&gt;"",
    IF(OR(O3695="", Q3695="", R3695=""),
        "Fill all the required columns",
        IFERROR(
            IF(OR(
                AND(R3695="Marine Protected", VLOOKUP(O3695, Reference!$A$2:$D$34, 4, FALSE) &lt;= P3695),
                AND(R3695="General Use", VLOOKUP(O3695, Reference!$A$2:$D$34, 3, FALSE) &lt;= P3695)
            ),
                "Exceeded",
                "OK"
            ),
            "No Regulation defined"
        )
    ),
    ""
)</f>
        <v/>
      </c>
      <c r="AB3695" s="62" t="str">
        <f t="shared" si="57"/>
        <v/>
      </c>
    </row>
    <row r="3696" spans="20:28" x14ac:dyDescent="0.2">
      <c r="T3696" s="60" t="str">
        <f>IF(P3696&lt;&gt;"",
    IF(OR(O3696="", Q3696="", R3696=""),
        "Fill all the required columns",
        IFERROR(
            IF(OR(
                AND(R3696="Marine Protected", VLOOKUP(O3696, Reference!$A$2:$D$34, 4, FALSE) &lt;= P3696),
                AND(R3696="General Use", VLOOKUP(O3696, Reference!$A$2:$D$34, 3, FALSE) &lt;= P3696)
            ),
                "Exceeded",
                "OK"
            ),
            "No Regulation defined"
        )
    ),
    ""
)</f>
        <v/>
      </c>
      <c r="AB3696" s="62" t="str">
        <f t="shared" si="57"/>
        <v/>
      </c>
    </row>
    <row r="3697" spans="20:28" x14ac:dyDescent="0.2">
      <c r="T3697" s="60" t="str">
        <f>IF(P3697&lt;&gt;"",
    IF(OR(O3697="", Q3697="", R3697=""),
        "Fill all the required columns",
        IFERROR(
            IF(OR(
                AND(R3697="Marine Protected", VLOOKUP(O3697, Reference!$A$2:$D$34, 4, FALSE) &lt;= P3697),
                AND(R3697="General Use", VLOOKUP(O3697, Reference!$A$2:$D$34, 3, FALSE) &lt;= P3697)
            ),
                "Exceeded",
                "OK"
            ),
            "No Regulation defined"
        )
    ),
    ""
)</f>
        <v/>
      </c>
      <c r="AB3697" s="62" t="str">
        <f t="shared" si="57"/>
        <v/>
      </c>
    </row>
    <row r="3698" spans="20:28" x14ac:dyDescent="0.2">
      <c r="T3698" s="60" t="str">
        <f>IF(P3698&lt;&gt;"",
    IF(OR(O3698="", Q3698="", R3698=""),
        "Fill all the required columns",
        IFERROR(
            IF(OR(
                AND(R3698="Marine Protected", VLOOKUP(O3698, Reference!$A$2:$D$34, 4, FALSE) &lt;= P3698),
                AND(R3698="General Use", VLOOKUP(O3698, Reference!$A$2:$D$34, 3, FALSE) &lt;= P3698)
            ),
                "Exceeded",
                "OK"
            ),
            "No Regulation defined"
        )
    ),
    ""
)</f>
        <v/>
      </c>
      <c r="AB3698" s="62" t="str">
        <f t="shared" si="57"/>
        <v/>
      </c>
    </row>
    <row r="3699" spans="20:28" x14ac:dyDescent="0.2">
      <c r="T3699" s="60" t="str">
        <f>IF(P3699&lt;&gt;"",
    IF(OR(O3699="", Q3699="", R3699=""),
        "Fill all the required columns",
        IFERROR(
            IF(OR(
                AND(R3699="Marine Protected", VLOOKUP(O3699, Reference!$A$2:$D$34, 4, FALSE) &lt;= P3699),
                AND(R3699="General Use", VLOOKUP(O3699, Reference!$A$2:$D$34, 3, FALSE) &lt;= P3699)
            ),
                "Exceeded",
                "OK"
            ),
            "No Regulation defined"
        )
    ),
    ""
)</f>
        <v/>
      </c>
      <c r="AB3699" s="62" t="str">
        <f t="shared" si="57"/>
        <v/>
      </c>
    </row>
    <row r="3700" spans="20:28" x14ac:dyDescent="0.2">
      <c r="T3700" s="60" t="str">
        <f>IF(P3700&lt;&gt;"",
    IF(OR(O3700="", Q3700="", R3700=""),
        "Fill all the required columns",
        IFERROR(
            IF(OR(
                AND(R3700="Marine Protected", VLOOKUP(O3700, Reference!$A$2:$D$34, 4, FALSE) &lt;= P3700),
                AND(R3700="General Use", VLOOKUP(O3700, Reference!$A$2:$D$34, 3, FALSE) &lt;= P3700)
            ),
                "Exceeded",
                "OK"
            ),
            "No Regulation defined"
        )
    ),
    ""
)</f>
        <v/>
      </c>
      <c r="AB3700" s="62" t="str">
        <f t="shared" si="57"/>
        <v/>
      </c>
    </row>
    <row r="3701" spans="20:28" x14ac:dyDescent="0.2">
      <c r="T3701" s="60" t="str">
        <f>IF(P3701&lt;&gt;"",
    IF(OR(O3701="", Q3701="", R3701=""),
        "Fill all the required columns",
        IFERROR(
            IF(OR(
                AND(R3701="Marine Protected", VLOOKUP(O3701, Reference!$A$2:$D$34, 4, FALSE) &lt;= P3701),
                AND(R3701="General Use", VLOOKUP(O3701, Reference!$A$2:$D$34, 3, FALSE) &lt;= P3701)
            ),
                "Exceeded",
                "OK"
            ),
            "No Regulation defined"
        )
    ),
    ""
)</f>
        <v/>
      </c>
      <c r="AB3701" s="62" t="str">
        <f t="shared" si="57"/>
        <v/>
      </c>
    </row>
    <row r="3702" spans="20:28" x14ac:dyDescent="0.2">
      <c r="T3702" s="60" t="str">
        <f>IF(P3702&lt;&gt;"",
    IF(OR(O3702="", Q3702="", R3702=""),
        "Fill all the required columns",
        IFERROR(
            IF(OR(
                AND(R3702="Marine Protected", VLOOKUP(O3702, Reference!$A$2:$D$34, 4, FALSE) &lt;= P3702),
                AND(R3702="General Use", VLOOKUP(O3702, Reference!$A$2:$D$34, 3, FALSE) &lt;= P3702)
            ),
                "Exceeded",
                "OK"
            ),
            "No Regulation defined"
        )
    ),
    ""
)</f>
        <v/>
      </c>
      <c r="AB3702" s="62" t="str">
        <f t="shared" si="57"/>
        <v/>
      </c>
    </row>
    <row r="3703" spans="20:28" x14ac:dyDescent="0.2">
      <c r="T3703" s="60" t="str">
        <f>IF(P3703&lt;&gt;"",
    IF(OR(O3703="", Q3703="", R3703=""),
        "Fill all the required columns",
        IFERROR(
            IF(OR(
                AND(R3703="Marine Protected", VLOOKUP(O3703, Reference!$A$2:$D$34, 4, FALSE) &lt;= P3703),
                AND(R3703="General Use", VLOOKUP(O3703, Reference!$A$2:$D$34, 3, FALSE) &lt;= P3703)
            ),
                "Exceeded",
                "OK"
            ),
            "No Regulation defined"
        )
    ),
    ""
)</f>
        <v/>
      </c>
      <c r="AB3703" s="62" t="str">
        <f t="shared" si="57"/>
        <v/>
      </c>
    </row>
    <row r="3704" spans="20:28" x14ac:dyDescent="0.2">
      <c r="T3704" s="60" t="str">
        <f>IF(P3704&lt;&gt;"",
    IF(OR(O3704="", Q3704="", R3704=""),
        "Fill all the required columns",
        IFERROR(
            IF(OR(
                AND(R3704="Marine Protected", VLOOKUP(O3704, Reference!$A$2:$D$34, 4, FALSE) &lt;= P3704),
                AND(R3704="General Use", VLOOKUP(O3704, Reference!$A$2:$D$34, 3, FALSE) &lt;= P3704)
            ),
                "Exceeded",
                "OK"
            ),
            "No Regulation defined"
        )
    ),
    ""
)</f>
        <v/>
      </c>
      <c r="AB3704" s="62" t="str">
        <f t="shared" si="57"/>
        <v/>
      </c>
    </row>
    <row r="3705" spans="20:28" x14ac:dyDescent="0.2">
      <c r="T3705" s="60" t="str">
        <f>IF(P3705&lt;&gt;"",
    IF(OR(O3705="", Q3705="", R3705=""),
        "Fill all the required columns",
        IFERROR(
            IF(OR(
                AND(R3705="Marine Protected", VLOOKUP(O3705, Reference!$A$2:$D$34, 4, FALSE) &lt;= P3705),
                AND(R3705="General Use", VLOOKUP(O3705, Reference!$A$2:$D$34, 3, FALSE) &lt;= P3705)
            ),
                "Exceeded",
                "OK"
            ),
            "No Regulation defined"
        )
    ),
    ""
)</f>
        <v/>
      </c>
      <c r="AB3705" s="62" t="str">
        <f t="shared" si="57"/>
        <v/>
      </c>
    </row>
    <row r="3706" spans="20:28" x14ac:dyDescent="0.2">
      <c r="T3706" s="60" t="str">
        <f>IF(P3706&lt;&gt;"",
    IF(OR(O3706="", Q3706="", R3706=""),
        "Fill all the required columns",
        IFERROR(
            IF(OR(
                AND(R3706="Marine Protected", VLOOKUP(O3706, Reference!$A$2:$D$34, 4, FALSE) &lt;= P3706),
                AND(R3706="General Use", VLOOKUP(O3706, Reference!$A$2:$D$34, 3, FALSE) &lt;= P3706)
            ),
                "Exceeded",
                "OK"
            ),
            "No Regulation defined"
        )
    ),
    ""
)</f>
        <v/>
      </c>
      <c r="AB3706" s="62" t="str">
        <f t="shared" si="57"/>
        <v/>
      </c>
    </row>
    <row r="3707" spans="20:28" x14ac:dyDescent="0.2">
      <c r="T3707" s="60" t="str">
        <f>IF(P3707&lt;&gt;"",
    IF(OR(O3707="", Q3707="", R3707=""),
        "Fill all the required columns",
        IFERROR(
            IF(OR(
                AND(R3707="Marine Protected", VLOOKUP(O3707, Reference!$A$2:$D$34, 4, FALSE) &lt;= P3707),
                AND(R3707="General Use", VLOOKUP(O3707, Reference!$A$2:$D$34, 3, FALSE) &lt;= P3707)
            ),
                "Exceeded",
                "OK"
            ),
            "No Regulation defined"
        )
    ),
    ""
)</f>
        <v/>
      </c>
      <c r="AB3707" s="62" t="str">
        <f t="shared" si="57"/>
        <v/>
      </c>
    </row>
    <row r="3708" spans="20:28" x14ac:dyDescent="0.2">
      <c r="T3708" s="60" t="str">
        <f>IF(P3708&lt;&gt;"",
    IF(OR(O3708="", Q3708="", R3708=""),
        "Fill all the required columns",
        IFERROR(
            IF(OR(
                AND(R3708="Marine Protected", VLOOKUP(O3708, Reference!$A$2:$D$34, 4, FALSE) &lt;= P3708),
                AND(R3708="General Use", VLOOKUP(O3708, Reference!$A$2:$D$34, 3, FALSE) &lt;= P3708)
            ),
                "Exceeded",
                "OK"
            ),
            "No Regulation defined"
        )
    ),
    ""
)</f>
        <v/>
      </c>
      <c r="AB3708" s="62" t="str">
        <f t="shared" si="57"/>
        <v/>
      </c>
    </row>
    <row r="3709" spans="20:28" x14ac:dyDescent="0.2">
      <c r="T3709" s="60" t="str">
        <f>IF(P3709&lt;&gt;"",
    IF(OR(O3709="", Q3709="", R3709=""),
        "Fill all the required columns",
        IFERROR(
            IF(OR(
                AND(R3709="Marine Protected", VLOOKUP(O3709, Reference!$A$2:$D$34, 4, FALSE) &lt;= P3709),
                AND(R3709="General Use", VLOOKUP(O3709, Reference!$A$2:$D$34, 3, FALSE) &lt;= P3709)
            ),
                "Exceeded",
                "OK"
            ),
            "No Regulation defined"
        )
    ),
    ""
)</f>
        <v/>
      </c>
      <c r="AB3709" s="62" t="str">
        <f t="shared" si="57"/>
        <v/>
      </c>
    </row>
    <row r="3710" spans="20:28" x14ac:dyDescent="0.2">
      <c r="T3710" s="60" t="str">
        <f>IF(P3710&lt;&gt;"",
    IF(OR(O3710="", Q3710="", R3710=""),
        "Fill all the required columns",
        IFERROR(
            IF(OR(
                AND(R3710="Marine Protected", VLOOKUP(O3710, Reference!$A$2:$D$34, 4, FALSE) &lt;= P3710),
                AND(R3710="General Use", VLOOKUP(O3710, Reference!$A$2:$D$34, 3, FALSE) &lt;= P3710)
            ),
                "Exceeded",
                "OK"
            ),
            "No Regulation defined"
        )
    ),
    ""
)</f>
        <v/>
      </c>
      <c r="AB3710" s="62" t="str">
        <f t="shared" si="57"/>
        <v/>
      </c>
    </row>
    <row r="3711" spans="20:28" x14ac:dyDescent="0.2">
      <c r="T3711" s="60" t="str">
        <f>IF(P3711&lt;&gt;"",
    IF(OR(O3711="", Q3711="", R3711=""),
        "Fill all the required columns",
        IFERROR(
            IF(OR(
                AND(R3711="Marine Protected", VLOOKUP(O3711, Reference!$A$2:$D$34, 4, FALSE) &lt;= P3711),
                AND(R3711="General Use", VLOOKUP(O3711, Reference!$A$2:$D$34, 3, FALSE) &lt;= P3711)
            ),
                "Exceeded",
                "OK"
            ),
            "No Regulation defined"
        )
    ),
    ""
)</f>
        <v/>
      </c>
      <c r="AB3711" s="62" t="str">
        <f t="shared" si="57"/>
        <v/>
      </c>
    </row>
    <row r="3712" spans="20:28" x14ac:dyDescent="0.2">
      <c r="T3712" s="60" t="str">
        <f>IF(P3712&lt;&gt;"",
    IF(OR(O3712="", Q3712="", R3712=""),
        "Fill all the required columns",
        IFERROR(
            IF(OR(
                AND(R3712="Marine Protected", VLOOKUP(O3712, Reference!$A$2:$D$34, 4, FALSE) &lt;= P3712),
                AND(R3712="General Use", VLOOKUP(O3712, Reference!$A$2:$D$34, 3, FALSE) &lt;= P3712)
            ),
                "Exceeded",
                "OK"
            ),
            "No Regulation defined"
        )
    ),
    ""
)</f>
        <v/>
      </c>
      <c r="AB3712" s="62" t="str">
        <f t="shared" si="57"/>
        <v/>
      </c>
    </row>
    <row r="3713" spans="20:28" x14ac:dyDescent="0.2">
      <c r="T3713" s="60" t="str">
        <f>IF(P3713&lt;&gt;"",
    IF(OR(O3713="", Q3713="", R3713=""),
        "Fill all the required columns",
        IFERROR(
            IF(OR(
                AND(R3713="Marine Protected", VLOOKUP(O3713, Reference!$A$2:$D$34, 4, FALSE) &lt;= P3713),
                AND(R3713="General Use", VLOOKUP(O3713, Reference!$A$2:$D$34, 3, FALSE) &lt;= P3713)
            ),
                "Exceeded",
                "OK"
            ),
            "No Regulation defined"
        )
    ),
    ""
)</f>
        <v/>
      </c>
      <c r="AB3713" s="62" t="str">
        <f t="shared" si="57"/>
        <v/>
      </c>
    </row>
    <row r="3714" spans="20:28" x14ac:dyDescent="0.2">
      <c r="T3714" s="60" t="str">
        <f>IF(P3714&lt;&gt;"",
    IF(OR(O3714="", Q3714="", R3714=""),
        "Fill all the required columns",
        IFERROR(
            IF(OR(
                AND(R3714="Marine Protected", VLOOKUP(O3714, Reference!$A$2:$D$34, 4, FALSE) &lt;= P3714),
                AND(R3714="General Use", VLOOKUP(O3714, Reference!$A$2:$D$34, 3, FALSE) &lt;= P3714)
            ),
                "Exceeded",
                "OK"
            ),
            "No Regulation defined"
        )
    ),
    ""
)</f>
        <v/>
      </c>
      <c r="AB3714" s="62" t="str">
        <f t="shared" si="57"/>
        <v/>
      </c>
    </row>
    <row r="3715" spans="20:28" x14ac:dyDescent="0.2">
      <c r="T3715" s="60" t="str">
        <f>IF(P3715&lt;&gt;"",
    IF(OR(O3715="", Q3715="", R3715=""),
        "Fill all the required columns",
        IFERROR(
            IF(OR(
                AND(R3715="Marine Protected", VLOOKUP(O3715, Reference!$A$2:$D$34, 4, FALSE) &lt;= P3715),
                AND(R3715="General Use", VLOOKUP(O3715, Reference!$A$2:$D$34, 3, FALSE) &lt;= P3715)
            ),
                "Exceeded",
                "OK"
            ),
            "No Regulation defined"
        )
    ),
    ""
)</f>
        <v/>
      </c>
      <c r="AB3715" s="62" t="str">
        <f t="shared" ref="AB3715:AB3778" si="58">IF(COUNTA(A3715, E3715, F3715, H3715, I3715, O3715, P3715, Q3715, R3715,S3715) = 0, "", IF(COUNTA(A3715, E3715, F3715, H3715, I3715, O3715, P3715, Q3715, R3715,S3715) = 10, "OK", "Incomplete"))</f>
        <v/>
      </c>
    </row>
    <row r="3716" spans="20:28" x14ac:dyDescent="0.2">
      <c r="T3716" s="60" t="str">
        <f>IF(P3716&lt;&gt;"",
    IF(OR(O3716="", Q3716="", R3716=""),
        "Fill all the required columns",
        IFERROR(
            IF(OR(
                AND(R3716="Marine Protected", VLOOKUP(O3716, Reference!$A$2:$D$34, 4, FALSE) &lt;= P3716),
                AND(R3716="General Use", VLOOKUP(O3716, Reference!$A$2:$D$34, 3, FALSE) &lt;= P3716)
            ),
                "Exceeded",
                "OK"
            ),
            "No Regulation defined"
        )
    ),
    ""
)</f>
        <v/>
      </c>
      <c r="AB3716" s="62" t="str">
        <f t="shared" si="58"/>
        <v/>
      </c>
    </row>
    <row r="3717" spans="20:28" x14ac:dyDescent="0.2">
      <c r="T3717" s="60" t="str">
        <f>IF(P3717&lt;&gt;"",
    IF(OR(O3717="", Q3717="", R3717=""),
        "Fill all the required columns",
        IFERROR(
            IF(OR(
                AND(R3717="Marine Protected", VLOOKUP(O3717, Reference!$A$2:$D$34, 4, FALSE) &lt;= P3717),
                AND(R3717="General Use", VLOOKUP(O3717, Reference!$A$2:$D$34, 3, FALSE) &lt;= P3717)
            ),
                "Exceeded",
                "OK"
            ),
            "No Regulation defined"
        )
    ),
    ""
)</f>
        <v/>
      </c>
      <c r="AB3717" s="62" t="str">
        <f t="shared" si="58"/>
        <v/>
      </c>
    </row>
    <row r="3718" spans="20:28" x14ac:dyDescent="0.2">
      <c r="T3718" s="60" t="str">
        <f>IF(P3718&lt;&gt;"",
    IF(OR(O3718="", Q3718="", R3718=""),
        "Fill all the required columns",
        IFERROR(
            IF(OR(
                AND(R3718="Marine Protected", VLOOKUP(O3718, Reference!$A$2:$D$34, 4, FALSE) &lt;= P3718),
                AND(R3718="General Use", VLOOKUP(O3718, Reference!$A$2:$D$34, 3, FALSE) &lt;= P3718)
            ),
                "Exceeded",
                "OK"
            ),
            "No Regulation defined"
        )
    ),
    ""
)</f>
        <v/>
      </c>
      <c r="AB3718" s="62" t="str">
        <f t="shared" si="58"/>
        <v/>
      </c>
    </row>
    <row r="3719" spans="20:28" x14ac:dyDescent="0.2">
      <c r="T3719" s="60" t="str">
        <f>IF(P3719&lt;&gt;"",
    IF(OR(O3719="", Q3719="", R3719=""),
        "Fill all the required columns",
        IFERROR(
            IF(OR(
                AND(R3719="Marine Protected", VLOOKUP(O3719, Reference!$A$2:$D$34, 4, FALSE) &lt;= P3719),
                AND(R3719="General Use", VLOOKUP(O3719, Reference!$A$2:$D$34, 3, FALSE) &lt;= P3719)
            ),
                "Exceeded",
                "OK"
            ),
            "No Regulation defined"
        )
    ),
    ""
)</f>
        <v/>
      </c>
      <c r="AB3719" s="62" t="str">
        <f t="shared" si="58"/>
        <v/>
      </c>
    </row>
    <row r="3720" spans="20:28" x14ac:dyDescent="0.2">
      <c r="T3720" s="60" t="str">
        <f>IF(P3720&lt;&gt;"",
    IF(OR(O3720="", Q3720="", R3720=""),
        "Fill all the required columns",
        IFERROR(
            IF(OR(
                AND(R3720="Marine Protected", VLOOKUP(O3720, Reference!$A$2:$D$34, 4, FALSE) &lt;= P3720),
                AND(R3720="General Use", VLOOKUP(O3720, Reference!$A$2:$D$34, 3, FALSE) &lt;= P3720)
            ),
                "Exceeded",
                "OK"
            ),
            "No Regulation defined"
        )
    ),
    ""
)</f>
        <v/>
      </c>
      <c r="AB3720" s="62" t="str">
        <f t="shared" si="58"/>
        <v/>
      </c>
    </row>
    <row r="3721" spans="20:28" x14ac:dyDescent="0.2">
      <c r="T3721" s="60" t="str">
        <f>IF(P3721&lt;&gt;"",
    IF(OR(O3721="", Q3721="", R3721=""),
        "Fill all the required columns",
        IFERROR(
            IF(OR(
                AND(R3721="Marine Protected", VLOOKUP(O3721, Reference!$A$2:$D$34, 4, FALSE) &lt;= P3721),
                AND(R3721="General Use", VLOOKUP(O3721, Reference!$A$2:$D$34, 3, FALSE) &lt;= P3721)
            ),
                "Exceeded",
                "OK"
            ),
            "No Regulation defined"
        )
    ),
    ""
)</f>
        <v/>
      </c>
      <c r="AB3721" s="62" t="str">
        <f t="shared" si="58"/>
        <v/>
      </c>
    </row>
    <row r="3722" spans="20:28" x14ac:dyDescent="0.2">
      <c r="T3722" s="60" t="str">
        <f>IF(P3722&lt;&gt;"",
    IF(OR(O3722="", Q3722="", R3722=""),
        "Fill all the required columns",
        IFERROR(
            IF(OR(
                AND(R3722="Marine Protected", VLOOKUP(O3722, Reference!$A$2:$D$34, 4, FALSE) &lt;= P3722),
                AND(R3722="General Use", VLOOKUP(O3722, Reference!$A$2:$D$34, 3, FALSE) &lt;= P3722)
            ),
                "Exceeded",
                "OK"
            ),
            "No Regulation defined"
        )
    ),
    ""
)</f>
        <v/>
      </c>
      <c r="AB3722" s="62" t="str">
        <f t="shared" si="58"/>
        <v/>
      </c>
    </row>
    <row r="3723" spans="20:28" x14ac:dyDescent="0.2">
      <c r="T3723" s="60" t="str">
        <f>IF(P3723&lt;&gt;"",
    IF(OR(O3723="", Q3723="", R3723=""),
        "Fill all the required columns",
        IFERROR(
            IF(OR(
                AND(R3723="Marine Protected", VLOOKUP(O3723, Reference!$A$2:$D$34, 4, FALSE) &lt;= P3723),
                AND(R3723="General Use", VLOOKUP(O3723, Reference!$A$2:$D$34, 3, FALSE) &lt;= P3723)
            ),
                "Exceeded",
                "OK"
            ),
            "No Regulation defined"
        )
    ),
    ""
)</f>
        <v/>
      </c>
      <c r="AB3723" s="62" t="str">
        <f t="shared" si="58"/>
        <v/>
      </c>
    </row>
    <row r="3724" spans="20:28" x14ac:dyDescent="0.2">
      <c r="T3724" s="60" t="str">
        <f>IF(P3724&lt;&gt;"",
    IF(OR(O3724="", Q3724="", R3724=""),
        "Fill all the required columns",
        IFERROR(
            IF(OR(
                AND(R3724="Marine Protected", VLOOKUP(O3724, Reference!$A$2:$D$34, 4, FALSE) &lt;= P3724),
                AND(R3724="General Use", VLOOKUP(O3724, Reference!$A$2:$D$34, 3, FALSE) &lt;= P3724)
            ),
                "Exceeded",
                "OK"
            ),
            "No Regulation defined"
        )
    ),
    ""
)</f>
        <v/>
      </c>
      <c r="AB3724" s="62" t="str">
        <f t="shared" si="58"/>
        <v/>
      </c>
    </row>
    <row r="3725" spans="20:28" x14ac:dyDescent="0.2">
      <c r="T3725" s="60" t="str">
        <f>IF(P3725&lt;&gt;"",
    IF(OR(O3725="", Q3725="", R3725=""),
        "Fill all the required columns",
        IFERROR(
            IF(OR(
                AND(R3725="Marine Protected", VLOOKUP(O3725, Reference!$A$2:$D$34, 4, FALSE) &lt;= P3725),
                AND(R3725="General Use", VLOOKUP(O3725, Reference!$A$2:$D$34, 3, FALSE) &lt;= P3725)
            ),
                "Exceeded",
                "OK"
            ),
            "No Regulation defined"
        )
    ),
    ""
)</f>
        <v/>
      </c>
      <c r="AB3725" s="62" t="str">
        <f t="shared" si="58"/>
        <v/>
      </c>
    </row>
    <row r="3726" spans="20:28" x14ac:dyDescent="0.2">
      <c r="T3726" s="60" t="str">
        <f>IF(P3726&lt;&gt;"",
    IF(OR(O3726="", Q3726="", R3726=""),
        "Fill all the required columns",
        IFERROR(
            IF(OR(
                AND(R3726="Marine Protected", VLOOKUP(O3726, Reference!$A$2:$D$34, 4, FALSE) &lt;= P3726),
                AND(R3726="General Use", VLOOKUP(O3726, Reference!$A$2:$D$34, 3, FALSE) &lt;= P3726)
            ),
                "Exceeded",
                "OK"
            ),
            "No Regulation defined"
        )
    ),
    ""
)</f>
        <v/>
      </c>
      <c r="AB3726" s="62" t="str">
        <f t="shared" si="58"/>
        <v/>
      </c>
    </row>
    <row r="3727" spans="20:28" x14ac:dyDescent="0.2">
      <c r="T3727" s="60" t="str">
        <f>IF(P3727&lt;&gt;"",
    IF(OR(O3727="", Q3727="", R3727=""),
        "Fill all the required columns",
        IFERROR(
            IF(OR(
                AND(R3727="Marine Protected", VLOOKUP(O3727, Reference!$A$2:$D$34, 4, FALSE) &lt;= P3727),
                AND(R3727="General Use", VLOOKUP(O3727, Reference!$A$2:$D$34, 3, FALSE) &lt;= P3727)
            ),
                "Exceeded",
                "OK"
            ),
            "No Regulation defined"
        )
    ),
    ""
)</f>
        <v/>
      </c>
      <c r="AB3727" s="62" t="str">
        <f t="shared" si="58"/>
        <v/>
      </c>
    </row>
    <row r="3728" spans="20:28" x14ac:dyDescent="0.2">
      <c r="T3728" s="60" t="str">
        <f>IF(P3728&lt;&gt;"",
    IF(OR(O3728="", Q3728="", R3728=""),
        "Fill all the required columns",
        IFERROR(
            IF(OR(
                AND(R3728="Marine Protected", VLOOKUP(O3728, Reference!$A$2:$D$34, 4, FALSE) &lt;= P3728),
                AND(R3728="General Use", VLOOKUP(O3728, Reference!$A$2:$D$34, 3, FALSE) &lt;= P3728)
            ),
                "Exceeded",
                "OK"
            ),
            "No Regulation defined"
        )
    ),
    ""
)</f>
        <v/>
      </c>
      <c r="AB3728" s="62" t="str">
        <f t="shared" si="58"/>
        <v/>
      </c>
    </row>
    <row r="3729" spans="20:28" x14ac:dyDescent="0.2">
      <c r="T3729" s="60" t="str">
        <f>IF(P3729&lt;&gt;"",
    IF(OR(O3729="", Q3729="", R3729=""),
        "Fill all the required columns",
        IFERROR(
            IF(OR(
                AND(R3729="Marine Protected", VLOOKUP(O3729, Reference!$A$2:$D$34, 4, FALSE) &lt;= P3729),
                AND(R3729="General Use", VLOOKUP(O3729, Reference!$A$2:$D$34, 3, FALSE) &lt;= P3729)
            ),
                "Exceeded",
                "OK"
            ),
            "No Regulation defined"
        )
    ),
    ""
)</f>
        <v/>
      </c>
      <c r="AB3729" s="62" t="str">
        <f t="shared" si="58"/>
        <v/>
      </c>
    </row>
    <row r="3730" spans="20:28" x14ac:dyDescent="0.2">
      <c r="T3730" s="60" t="str">
        <f>IF(P3730&lt;&gt;"",
    IF(OR(O3730="", Q3730="", R3730=""),
        "Fill all the required columns",
        IFERROR(
            IF(OR(
                AND(R3730="Marine Protected", VLOOKUP(O3730, Reference!$A$2:$D$34, 4, FALSE) &lt;= P3730),
                AND(R3730="General Use", VLOOKUP(O3730, Reference!$A$2:$D$34, 3, FALSE) &lt;= P3730)
            ),
                "Exceeded",
                "OK"
            ),
            "No Regulation defined"
        )
    ),
    ""
)</f>
        <v/>
      </c>
      <c r="AB3730" s="62" t="str">
        <f t="shared" si="58"/>
        <v/>
      </c>
    </row>
    <row r="3731" spans="20:28" x14ac:dyDescent="0.2">
      <c r="T3731" s="60" t="str">
        <f>IF(P3731&lt;&gt;"",
    IF(OR(O3731="", Q3731="", R3731=""),
        "Fill all the required columns",
        IFERROR(
            IF(OR(
                AND(R3731="Marine Protected", VLOOKUP(O3731, Reference!$A$2:$D$34, 4, FALSE) &lt;= P3731),
                AND(R3731="General Use", VLOOKUP(O3731, Reference!$A$2:$D$34, 3, FALSE) &lt;= P3731)
            ),
                "Exceeded",
                "OK"
            ),
            "No Regulation defined"
        )
    ),
    ""
)</f>
        <v/>
      </c>
      <c r="AB3731" s="62" t="str">
        <f t="shared" si="58"/>
        <v/>
      </c>
    </row>
    <row r="3732" spans="20:28" x14ac:dyDescent="0.2">
      <c r="T3732" s="60" t="str">
        <f>IF(P3732&lt;&gt;"",
    IF(OR(O3732="", Q3732="", R3732=""),
        "Fill all the required columns",
        IFERROR(
            IF(OR(
                AND(R3732="Marine Protected", VLOOKUP(O3732, Reference!$A$2:$D$34, 4, FALSE) &lt;= P3732),
                AND(R3732="General Use", VLOOKUP(O3732, Reference!$A$2:$D$34, 3, FALSE) &lt;= P3732)
            ),
                "Exceeded",
                "OK"
            ),
            "No Regulation defined"
        )
    ),
    ""
)</f>
        <v/>
      </c>
      <c r="AB3732" s="62" t="str">
        <f t="shared" si="58"/>
        <v/>
      </c>
    </row>
    <row r="3733" spans="20:28" x14ac:dyDescent="0.2">
      <c r="T3733" s="60" t="str">
        <f>IF(P3733&lt;&gt;"",
    IF(OR(O3733="", Q3733="", R3733=""),
        "Fill all the required columns",
        IFERROR(
            IF(OR(
                AND(R3733="Marine Protected", VLOOKUP(O3733, Reference!$A$2:$D$34, 4, FALSE) &lt;= P3733),
                AND(R3733="General Use", VLOOKUP(O3733, Reference!$A$2:$D$34, 3, FALSE) &lt;= P3733)
            ),
                "Exceeded",
                "OK"
            ),
            "No Regulation defined"
        )
    ),
    ""
)</f>
        <v/>
      </c>
      <c r="AB3733" s="62" t="str">
        <f t="shared" si="58"/>
        <v/>
      </c>
    </row>
    <row r="3734" spans="20:28" x14ac:dyDescent="0.2">
      <c r="T3734" s="60" t="str">
        <f>IF(P3734&lt;&gt;"",
    IF(OR(O3734="", Q3734="", R3734=""),
        "Fill all the required columns",
        IFERROR(
            IF(OR(
                AND(R3734="Marine Protected", VLOOKUP(O3734, Reference!$A$2:$D$34, 4, FALSE) &lt;= P3734),
                AND(R3734="General Use", VLOOKUP(O3734, Reference!$A$2:$D$34, 3, FALSE) &lt;= P3734)
            ),
                "Exceeded",
                "OK"
            ),
            "No Regulation defined"
        )
    ),
    ""
)</f>
        <v/>
      </c>
      <c r="AB3734" s="62" t="str">
        <f t="shared" si="58"/>
        <v/>
      </c>
    </row>
    <row r="3735" spans="20:28" x14ac:dyDescent="0.2">
      <c r="T3735" s="60" t="str">
        <f>IF(P3735&lt;&gt;"",
    IF(OR(O3735="", Q3735="", R3735=""),
        "Fill all the required columns",
        IFERROR(
            IF(OR(
                AND(R3735="Marine Protected", VLOOKUP(O3735, Reference!$A$2:$D$34, 4, FALSE) &lt;= P3735),
                AND(R3735="General Use", VLOOKUP(O3735, Reference!$A$2:$D$34, 3, FALSE) &lt;= P3735)
            ),
                "Exceeded",
                "OK"
            ),
            "No Regulation defined"
        )
    ),
    ""
)</f>
        <v/>
      </c>
      <c r="AB3735" s="62" t="str">
        <f t="shared" si="58"/>
        <v/>
      </c>
    </row>
    <row r="3736" spans="20:28" x14ac:dyDescent="0.2">
      <c r="T3736" s="60" t="str">
        <f>IF(P3736&lt;&gt;"",
    IF(OR(O3736="", Q3736="", R3736=""),
        "Fill all the required columns",
        IFERROR(
            IF(OR(
                AND(R3736="Marine Protected", VLOOKUP(O3736, Reference!$A$2:$D$34, 4, FALSE) &lt;= P3736),
                AND(R3736="General Use", VLOOKUP(O3736, Reference!$A$2:$D$34, 3, FALSE) &lt;= P3736)
            ),
                "Exceeded",
                "OK"
            ),
            "No Regulation defined"
        )
    ),
    ""
)</f>
        <v/>
      </c>
      <c r="AB3736" s="62" t="str">
        <f t="shared" si="58"/>
        <v/>
      </c>
    </row>
    <row r="3737" spans="20:28" x14ac:dyDescent="0.2">
      <c r="T3737" s="60" t="str">
        <f>IF(P3737&lt;&gt;"",
    IF(OR(O3737="", Q3737="", R3737=""),
        "Fill all the required columns",
        IFERROR(
            IF(OR(
                AND(R3737="Marine Protected", VLOOKUP(O3737, Reference!$A$2:$D$34, 4, FALSE) &lt;= P3737),
                AND(R3737="General Use", VLOOKUP(O3737, Reference!$A$2:$D$34, 3, FALSE) &lt;= P3737)
            ),
                "Exceeded",
                "OK"
            ),
            "No Regulation defined"
        )
    ),
    ""
)</f>
        <v/>
      </c>
      <c r="AB3737" s="62" t="str">
        <f t="shared" si="58"/>
        <v/>
      </c>
    </row>
    <row r="3738" spans="20:28" x14ac:dyDescent="0.2">
      <c r="T3738" s="60" t="str">
        <f>IF(P3738&lt;&gt;"",
    IF(OR(O3738="", Q3738="", R3738=""),
        "Fill all the required columns",
        IFERROR(
            IF(OR(
                AND(R3738="Marine Protected", VLOOKUP(O3738, Reference!$A$2:$D$34, 4, FALSE) &lt;= P3738),
                AND(R3738="General Use", VLOOKUP(O3738, Reference!$A$2:$D$34, 3, FALSE) &lt;= P3738)
            ),
                "Exceeded",
                "OK"
            ),
            "No Regulation defined"
        )
    ),
    ""
)</f>
        <v/>
      </c>
      <c r="AB3738" s="62" t="str">
        <f t="shared" si="58"/>
        <v/>
      </c>
    </row>
    <row r="3739" spans="20:28" x14ac:dyDescent="0.2">
      <c r="T3739" s="60" t="str">
        <f>IF(P3739&lt;&gt;"",
    IF(OR(O3739="", Q3739="", R3739=""),
        "Fill all the required columns",
        IFERROR(
            IF(OR(
                AND(R3739="Marine Protected", VLOOKUP(O3739, Reference!$A$2:$D$34, 4, FALSE) &lt;= P3739),
                AND(R3739="General Use", VLOOKUP(O3739, Reference!$A$2:$D$34, 3, FALSE) &lt;= P3739)
            ),
                "Exceeded",
                "OK"
            ),
            "No Regulation defined"
        )
    ),
    ""
)</f>
        <v/>
      </c>
      <c r="AB3739" s="62" t="str">
        <f t="shared" si="58"/>
        <v/>
      </c>
    </row>
    <row r="3740" spans="20:28" x14ac:dyDescent="0.2">
      <c r="T3740" s="60" t="str">
        <f>IF(P3740&lt;&gt;"",
    IF(OR(O3740="", Q3740="", R3740=""),
        "Fill all the required columns",
        IFERROR(
            IF(OR(
                AND(R3740="Marine Protected", VLOOKUP(O3740, Reference!$A$2:$D$34, 4, FALSE) &lt;= P3740),
                AND(R3740="General Use", VLOOKUP(O3740, Reference!$A$2:$D$34, 3, FALSE) &lt;= P3740)
            ),
                "Exceeded",
                "OK"
            ),
            "No Regulation defined"
        )
    ),
    ""
)</f>
        <v/>
      </c>
      <c r="AB3740" s="62" t="str">
        <f t="shared" si="58"/>
        <v/>
      </c>
    </row>
    <row r="3741" spans="20:28" x14ac:dyDescent="0.2">
      <c r="T3741" s="60" t="str">
        <f>IF(P3741&lt;&gt;"",
    IF(OR(O3741="", Q3741="", R3741=""),
        "Fill all the required columns",
        IFERROR(
            IF(OR(
                AND(R3741="Marine Protected", VLOOKUP(O3741, Reference!$A$2:$D$34, 4, FALSE) &lt;= P3741),
                AND(R3741="General Use", VLOOKUP(O3741, Reference!$A$2:$D$34, 3, FALSE) &lt;= P3741)
            ),
                "Exceeded",
                "OK"
            ),
            "No Regulation defined"
        )
    ),
    ""
)</f>
        <v/>
      </c>
      <c r="AB3741" s="62" t="str">
        <f t="shared" si="58"/>
        <v/>
      </c>
    </row>
    <row r="3742" spans="20:28" x14ac:dyDescent="0.2">
      <c r="T3742" s="60" t="str">
        <f>IF(P3742&lt;&gt;"",
    IF(OR(O3742="", Q3742="", R3742=""),
        "Fill all the required columns",
        IFERROR(
            IF(OR(
                AND(R3742="Marine Protected", VLOOKUP(O3742, Reference!$A$2:$D$34, 4, FALSE) &lt;= P3742),
                AND(R3742="General Use", VLOOKUP(O3742, Reference!$A$2:$D$34, 3, FALSE) &lt;= P3742)
            ),
                "Exceeded",
                "OK"
            ),
            "No Regulation defined"
        )
    ),
    ""
)</f>
        <v/>
      </c>
      <c r="AB3742" s="62" t="str">
        <f t="shared" si="58"/>
        <v/>
      </c>
    </row>
    <row r="3743" spans="20:28" x14ac:dyDescent="0.2">
      <c r="T3743" s="60" t="str">
        <f>IF(P3743&lt;&gt;"",
    IF(OR(O3743="", Q3743="", R3743=""),
        "Fill all the required columns",
        IFERROR(
            IF(OR(
                AND(R3743="Marine Protected", VLOOKUP(O3743, Reference!$A$2:$D$34, 4, FALSE) &lt;= P3743),
                AND(R3743="General Use", VLOOKUP(O3743, Reference!$A$2:$D$34, 3, FALSE) &lt;= P3743)
            ),
                "Exceeded",
                "OK"
            ),
            "No Regulation defined"
        )
    ),
    ""
)</f>
        <v/>
      </c>
      <c r="AB3743" s="62" t="str">
        <f t="shared" si="58"/>
        <v/>
      </c>
    </row>
    <row r="3744" spans="20:28" x14ac:dyDescent="0.2">
      <c r="T3744" s="60" t="str">
        <f>IF(P3744&lt;&gt;"",
    IF(OR(O3744="", Q3744="", R3744=""),
        "Fill all the required columns",
        IFERROR(
            IF(OR(
                AND(R3744="Marine Protected", VLOOKUP(O3744, Reference!$A$2:$D$34, 4, FALSE) &lt;= P3744),
                AND(R3744="General Use", VLOOKUP(O3744, Reference!$A$2:$D$34, 3, FALSE) &lt;= P3744)
            ),
                "Exceeded",
                "OK"
            ),
            "No Regulation defined"
        )
    ),
    ""
)</f>
        <v/>
      </c>
      <c r="AB3744" s="62" t="str">
        <f t="shared" si="58"/>
        <v/>
      </c>
    </row>
    <row r="3745" spans="20:28" x14ac:dyDescent="0.2">
      <c r="T3745" s="60" t="str">
        <f>IF(P3745&lt;&gt;"",
    IF(OR(O3745="", Q3745="", R3745=""),
        "Fill all the required columns",
        IFERROR(
            IF(OR(
                AND(R3745="Marine Protected", VLOOKUP(O3745, Reference!$A$2:$D$34, 4, FALSE) &lt;= P3745),
                AND(R3745="General Use", VLOOKUP(O3745, Reference!$A$2:$D$34, 3, FALSE) &lt;= P3745)
            ),
                "Exceeded",
                "OK"
            ),
            "No Regulation defined"
        )
    ),
    ""
)</f>
        <v/>
      </c>
      <c r="AB3745" s="62" t="str">
        <f t="shared" si="58"/>
        <v/>
      </c>
    </row>
    <row r="3746" spans="20:28" x14ac:dyDescent="0.2">
      <c r="T3746" s="60" t="str">
        <f>IF(P3746&lt;&gt;"",
    IF(OR(O3746="", Q3746="", R3746=""),
        "Fill all the required columns",
        IFERROR(
            IF(OR(
                AND(R3746="Marine Protected", VLOOKUP(O3746, Reference!$A$2:$D$34, 4, FALSE) &lt;= P3746),
                AND(R3746="General Use", VLOOKUP(O3746, Reference!$A$2:$D$34, 3, FALSE) &lt;= P3746)
            ),
                "Exceeded",
                "OK"
            ),
            "No Regulation defined"
        )
    ),
    ""
)</f>
        <v/>
      </c>
      <c r="AB3746" s="62" t="str">
        <f t="shared" si="58"/>
        <v/>
      </c>
    </row>
    <row r="3747" spans="20:28" x14ac:dyDescent="0.2">
      <c r="T3747" s="60" t="str">
        <f>IF(P3747&lt;&gt;"",
    IF(OR(O3747="", Q3747="", R3747=""),
        "Fill all the required columns",
        IFERROR(
            IF(OR(
                AND(R3747="Marine Protected", VLOOKUP(O3747, Reference!$A$2:$D$34, 4, FALSE) &lt;= P3747),
                AND(R3747="General Use", VLOOKUP(O3747, Reference!$A$2:$D$34, 3, FALSE) &lt;= P3747)
            ),
                "Exceeded",
                "OK"
            ),
            "No Regulation defined"
        )
    ),
    ""
)</f>
        <v/>
      </c>
      <c r="AB3747" s="62" t="str">
        <f t="shared" si="58"/>
        <v/>
      </c>
    </row>
    <row r="3748" spans="20:28" x14ac:dyDescent="0.2">
      <c r="T3748" s="60" t="str">
        <f>IF(P3748&lt;&gt;"",
    IF(OR(O3748="", Q3748="", R3748=""),
        "Fill all the required columns",
        IFERROR(
            IF(OR(
                AND(R3748="Marine Protected", VLOOKUP(O3748, Reference!$A$2:$D$34, 4, FALSE) &lt;= P3748),
                AND(R3748="General Use", VLOOKUP(O3748, Reference!$A$2:$D$34, 3, FALSE) &lt;= P3748)
            ),
                "Exceeded",
                "OK"
            ),
            "No Regulation defined"
        )
    ),
    ""
)</f>
        <v/>
      </c>
      <c r="AB3748" s="62" t="str">
        <f t="shared" si="58"/>
        <v/>
      </c>
    </row>
    <row r="3749" spans="20:28" x14ac:dyDescent="0.2">
      <c r="T3749" s="60" t="str">
        <f>IF(P3749&lt;&gt;"",
    IF(OR(O3749="", Q3749="", R3749=""),
        "Fill all the required columns",
        IFERROR(
            IF(OR(
                AND(R3749="Marine Protected", VLOOKUP(O3749, Reference!$A$2:$D$34, 4, FALSE) &lt;= P3749),
                AND(R3749="General Use", VLOOKUP(O3749, Reference!$A$2:$D$34, 3, FALSE) &lt;= P3749)
            ),
                "Exceeded",
                "OK"
            ),
            "No Regulation defined"
        )
    ),
    ""
)</f>
        <v/>
      </c>
      <c r="AB3749" s="62" t="str">
        <f t="shared" si="58"/>
        <v/>
      </c>
    </row>
    <row r="3750" spans="20:28" x14ac:dyDescent="0.2">
      <c r="T3750" s="60" t="str">
        <f>IF(P3750&lt;&gt;"",
    IF(OR(O3750="", Q3750="", R3750=""),
        "Fill all the required columns",
        IFERROR(
            IF(OR(
                AND(R3750="Marine Protected", VLOOKUP(O3750, Reference!$A$2:$D$34, 4, FALSE) &lt;= P3750),
                AND(R3750="General Use", VLOOKUP(O3750, Reference!$A$2:$D$34, 3, FALSE) &lt;= P3750)
            ),
                "Exceeded",
                "OK"
            ),
            "No Regulation defined"
        )
    ),
    ""
)</f>
        <v/>
      </c>
      <c r="AB3750" s="62" t="str">
        <f t="shared" si="58"/>
        <v/>
      </c>
    </row>
    <row r="3751" spans="20:28" x14ac:dyDescent="0.2">
      <c r="T3751" s="60" t="str">
        <f>IF(P3751&lt;&gt;"",
    IF(OR(O3751="", Q3751="", R3751=""),
        "Fill all the required columns",
        IFERROR(
            IF(OR(
                AND(R3751="Marine Protected", VLOOKUP(O3751, Reference!$A$2:$D$34, 4, FALSE) &lt;= P3751),
                AND(R3751="General Use", VLOOKUP(O3751, Reference!$A$2:$D$34, 3, FALSE) &lt;= P3751)
            ),
                "Exceeded",
                "OK"
            ),
            "No Regulation defined"
        )
    ),
    ""
)</f>
        <v/>
      </c>
      <c r="AB3751" s="62" t="str">
        <f t="shared" si="58"/>
        <v/>
      </c>
    </row>
    <row r="3752" spans="20:28" x14ac:dyDescent="0.2">
      <c r="T3752" s="60" t="str">
        <f>IF(P3752&lt;&gt;"",
    IF(OR(O3752="", Q3752="", R3752=""),
        "Fill all the required columns",
        IFERROR(
            IF(OR(
                AND(R3752="Marine Protected", VLOOKUP(O3752, Reference!$A$2:$D$34, 4, FALSE) &lt;= P3752),
                AND(R3752="General Use", VLOOKUP(O3752, Reference!$A$2:$D$34, 3, FALSE) &lt;= P3752)
            ),
                "Exceeded",
                "OK"
            ),
            "No Regulation defined"
        )
    ),
    ""
)</f>
        <v/>
      </c>
      <c r="AB3752" s="62" t="str">
        <f t="shared" si="58"/>
        <v/>
      </c>
    </row>
    <row r="3753" spans="20:28" x14ac:dyDescent="0.2">
      <c r="T3753" s="60" t="str">
        <f>IF(P3753&lt;&gt;"",
    IF(OR(O3753="", Q3753="", R3753=""),
        "Fill all the required columns",
        IFERROR(
            IF(OR(
                AND(R3753="Marine Protected", VLOOKUP(O3753, Reference!$A$2:$D$34, 4, FALSE) &lt;= P3753),
                AND(R3753="General Use", VLOOKUP(O3753, Reference!$A$2:$D$34, 3, FALSE) &lt;= P3753)
            ),
                "Exceeded",
                "OK"
            ),
            "No Regulation defined"
        )
    ),
    ""
)</f>
        <v/>
      </c>
      <c r="AB3753" s="62" t="str">
        <f t="shared" si="58"/>
        <v/>
      </c>
    </row>
    <row r="3754" spans="20:28" x14ac:dyDescent="0.2">
      <c r="T3754" s="60" t="str">
        <f>IF(P3754&lt;&gt;"",
    IF(OR(O3754="", Q3754="", R3754=""),
        "Fill all the required columns",
        IFERROR(
            IF(OR(
                AND(R3754="Marine Protected", VLOOKUP(O3754, Reference!$A$2:$D$34, 4, FALSE) &lt;= P3754),
                AND(R3754="General Use", VLOOKUP(O3754, Reference!$A$2:$D$34, 3, FALSE) &lt;= P3754)
            ),
                "Exceeded",
                "OK"
            ),
            "No Regulation defined"
        )
    ),
    ""
)</f>
        <v/>
      </c>
      <c r="AB3754" s="62" t="str">
        <f t="shared" si="58"/>
        <v/>
      </c>
    </row>
    <row r="3755" spans="20:28" x14ac:dyDescent="0.2">
      <c r="T3755" s="60" t="str">
        <f>IF(P3755&lt;&gt;"",
    IF(OR(O3755="", Q3755="", R3755=""),
        "Fill all the required columns",
        IFERROR(
            IF(OR(
                AND(R3755="Marine Protected", VLOOKUP(O3755, Reference!$A$2:$D$34, 4, FALSE) &lt;= P3755),
                AND(R3755="General Use", VLOOKUP(O3755, Reference!$A$2:$D$34, 3, FALSE) &lt;= P3755)
            ),
                "Exceeded",
                "OK"
            ),
            "No Regulation defined"
        )
    ),
    ""
)</f>
        <v/>
      </c>
      <c r="AB3755" s="62" t="str">
        <f t="shared" si="58"/>
        <v/>
      </c>
    </row>
    <row r="3756" spans="20:28" x14ac:dyDescent="0.2">
      <c r="T3756" s="60" t="str">
        <f>IF(P3756&lt;&gt;"",
    IF(OR(O3756="", Q3756="", R3756=""),
        "Fill all the required columns",
        IFERROR(
            IF(OR(
                AND(R3756="Marine Protected", VLOOKUP(O3756, Reference!$A$2:$D$34, 4, FALSE) &lt;= P3756),
                AND(R3756="General Use", VLOOKUP(O3756, Reference!$A$2:$D$34, 3, FALSE) &lt;= P3756)
            ),
                "Exceeded",
                "OK"
            ),
            "No Regulation defined"
        )
    ),
    ""
)</f>
        <v/>
      </c>
      <c r="AB3756" s="62" t="str">
        <f t="shared" si="58"/>
        <v/>
      </c>
    </row>
    <row r="3757" spans="20:28" x14ac:dyDescent="0.2">
      <c r="T3757" s="60" t="str">
        <f>IF(P3757&lt;&gt;"",
    IF(OR(O3757="", Q3757="", R3757=""),
        "Fill all the required columns",
        IFERROR(
            IF(OR(
                AND(R3757="Marine Protected", VLOOKUP(O3757, Reference!$A$2:$D$34, 4, FALSE) &lt;= P3757),
                AND(R3757="General Use", VLOOKUP(O3757, Reference!$A$2:$D$34, 3, FALSE) &lt;= P3757)
            ),
                "Exceeded",
                "OK"
            ),
            "No Regulation defined"
        )
    ),
    ""
)</f>
        <v/>
      </c>
      <c r="AB3757" s="62" t="str">
        <f t="shared" si="58"/>
        <v/>
      </c>
    </row>
    <row r="3758" spans="20:28" x14ac:dyDescent="0.2">
      <c r="T3758" s="60" t="str">
        <f>IF(P3758&lt;&gt;"",
    IF(OR(O3758="", Q3758="", R3758=""),
        "Fill all the required columns",
        IFERROR(
            IF(OR(
                AND(R3758="Marine Protected", VLOOKUP(O3758, Reference!$A$2:$D$34, 4, FALSE) &lt;= P3758),
                AND(R3758="General Use", VLOOKUP(O3758, Reference!$A$2:$D$34, 3, FALSE) &lt;= P3758)
            ),
                "Exceeded",
                "OK"
            ),
            "No Regulation defined"
        )
    ),
    ""
)</f>
        <v/>
      </c>
      <c r="AB3758" s="62" t="str">
        <f t="shared" si="58"/>
        <v/>
      </c>
    </row>
    <row r="3759" spans="20:28" x14ac:dyDescent="0.2">
      <c r="T3759" s="60" t="str">
        <f>IF(P3759&lt;&gt;"",
    IF(OR(O3759="", Q3759="", R3759=""),
        "Fill all the required columns",
        IFERROR(
            IF(OR(
                AND(R3759="Marine Protected", VLOOKUP(O3759, Reference!$A$2:$D$34, 4, FALSE) &lt;= P3759),
                AND(R3759="General Use", VLOOKUP(O3759, Reference!$A$2:$D$34, 3, FALSE) &lt;= P3759)
            ),
                "Exceeded",
                "OK"
            ),
            "No Regulation defined"
        )
    ),
    ""
)</f>
        <v/>
      </c>
      <c r="AB3759" s="62" t="str">
        <f t="shared" si="58"/>
        <v/>
      </c>
    </row>
    <row r="3760" spans="20:28" x14ac:dyDescent="0.2">
      <c r="T3760" s="60" t="str">
        <f>IF(P3760&lt;&gt;"",
    IF(OR(O3760="", Q3760="", R3760=""),
        "Fill all the required columns",
        IFERROR(
            IF(OR(
                AND(R3760="Marine Protected", VLOOKUP(O3760, Reference!$A$2:$D$34, 4, FALSE) &lt;= P3760),
                AND(R3760="General Use", VLOOKUP(O3760, Reference!$A$2:$D$34, 3, FALSE) &lt;= P3760)
            ),
                "Exceeded",
                "OK"
            ),
            "No Regulation defined"
        )
    ),
    ""
)</f>
        <v/>
      </c>
      <c r="AB3760" s="62" t="str">
        <f t="shared" si="58"/>
        <v/>
      </c>
    </row>
    <row r="3761" spans="20:28" x14ac:dyDescent="0.2">
      <c r="T3761" s="60" t="str">
        <f>IF(P3761&lt;&gt;"",
    IF(OR(O3761="", Q3761="", R3761=""),
        "Fill all the required columns",
        IFERROR(
            IF(OR(
                AND(R3761="Marine Protected", VLOOKUP(O3761, Reference!$A$2:$D$34, 4, FALSE) &lt;= P3761),
                AND(R3761="General Use", VLOOKUP(O3761, Reference!$A$2:$D$34, 3, FALSE) &lt;= P3761)
            ),
                "Exceeded",
                "OK"
            ),
            "No Regulation defined"
        )
    ),
    ""
)</f>
        <v/>
      </c>
      <c r="AB3761" s="62" t="str">
        <f t="shared" si="58"/>
        <v/>
      </c>
    </row>
    <row r="3762" spans="20:28" x14ac:dyDescent="0.2">
      <c r="T3762" s="60" t="str">
        <f>IF(P3762&lt;&gt;"",
    IF(OR(O3762="", Q3762="", R3762=""),
        "Fill all the required columns",
        IFERROR(
            IF(OR(
                AND(R3762="Marine Protected", VLOOKUP(O3762, Reference!$A$2:$D$34, 4, FALSE) &lt;= P3762),
                AND(R3762="General Use", VLOOKUP(O3762, Reference!$A$2:$D$34, 3, FALSE) &lt;= P3762)
            ),
                "Exceeded",
                "OK"
            ),
            "No Regulation defined"
        )
    ),
    ""
)</f>
        <v/>
      </c>
      <c r="AB3762" s="62" t="str">
        <f t="shared" si="58"/>
        <v/>
      </c>
    </row>
    <row r="3763" spans="20:28" x14ac:dyDescent="0.2">
      <c r="T3763" s="60" t="str">
        <f>IF(P3763&lt;&gt;"",
    IF(OR(O3763="", Q3763="", R3763=""),
        "Fill all the required columns",
        IFERROR(
            IF(OR(
                AND(R3763="Marine Protected", VLOOKUP(O3763, Reference!$A$2:$D$34, 4, FALSE) &lt;= P3763),
                AND(R3763="General Use", VLOOKUP(O3763, Reference!$A$2:$D$34, 3, FALSE) &lt;= P3763)
            ),
                "Exceeded",
                "OK"
            ),
            "No Regulation defined"
        )
    ),
    ""
)</f>
        <v/>
      </c>
      <c r="AB3763" s="62" t="str">
        <f t="shared" si="58"/>
        <v/>
      </c>
    </row>
    <row r="3764" spans="20:28" x14ac:dyDescent="0.2">
      <c r="T3764" s="60" t="str">
        <f>IF(P3764&lt;&gt;"",
    IF(OR(O3764="", Q3764="", R3764=""),
        "Fill all the required columns",
        IFERROR(
            IF(OR(
                AND(R3764="Marine Protected", VLOOKUP(O3764, Reference!$A$2:$D$34, 4, FALSE) &lt;= P3764),
                AND(R3764="General Use", VLOOKUP(O3764, Reference!$A$2:$D$34, 3, FALSE) &lt;= P3764)
            ),
                "Exceeded",
                "OK"
            ),
            "No Regulation defined"
        )
    ),
    ""
)</f>
        <v/>
      </c>
      <c r="AB3764" s="62" t="str">
        <f t="shared" si="58"/>
        <v/>
      </c>
    </row>
    <row r="3765" spans="20:28" x14ac:dyDescent="0.2">
      <c r="T3765" s="60" t="str">
        <f>IF(P3765&lt;&gt;"",
    IF(OR(O3765="", Q3765="", R3765=""),
        "Fill all the required columns",
        IFERROR(
            IF(OR(
                AND(R3765="Marine Protected", VLOOKUP(O3765, Reference!$A$2:$D$34, 4, FALSE) &lt;= P3765),
                AND(R3765="General Use", VLOOKUP(O3765, Reference!$A$2:$D$34, 3, FALSE) &lt;= P3765)
            ),
                "Exceeded",
                "OK"
            ),
            "No Regulation defined"
        )
    ),
    ""
)</f>
        <v/>
      </c>
      <c r="AB3765" s="62" t="str">
        <f t="shared" si="58"/>
        <v/>
      </c>
    </row>
    <row r="3766" spans="20:28" x14ac:dyDescent="0.2">
      <c r="T3766" s="60" t="str">
        <f>IF(P3766&lt;&gt;"",
    IF(OR(O3766="", Q3766="", R3766=""),
        "Fill all the required columns",
        IFERROR(
            IF(OR(
                AND(R3766="Marine Protected", VLOOKUP(O3766, Reference!$A$2:$D$34, 4, FALSE) &lt;= P3766),
                AND(R3766="General Use", VLOOKUP(O3766, Reference!$A$2:$D$34, 3, FALSE) &lt;= P3766)
            ),
                "Exceeded",
                "OK"
            ),
            "No Regulation defined"
        )
    ),
    ""
)</f>
        <v/>
      </c>
      <c r="AB3766" s="62" t="str">
        <f t="shared" si="58"/>
        <v/>
      </c>
    </row>
    <row r="3767" spans="20:28" x14ac:dyDescent="0.2">
      <c r="T3767" s="60" t="str">
        <f>IF(P3767&lt;&gt;"",
    IF(OR(O3767="", Q3767="", R3767=""),
        "Fill all the required columns",
        IFERROR(
            IF(OR(
                AND(R3767="Marine Protected", VLOOKUP(O3767, Reference!$A$2:$D$34, 4, FALSE) &lt;= P3767),
                AND(R3767="General Use", VLOOKUP(O3767, Reference!$A$2:$D$34, 3, FALSE) &lt;= P3767)
            ),
                "Exceeded",
                "OK"
            ),
            "No Regulation defined"
        )
    ),
    ""
)</f>
        <v/>
      </c>
      <c r="AB3767" s="62" t="str">
        <f t="shared" si="58"/>
        <v/>
      </c>
    </row>
    <row r="3768" spans="20:28" x14ac:dyDescent="0.2">
      <c r="T3768" s="60" t="str">
        <f>IF(P3768&lt;&gt;"",
    IF(OR(O3768="", Q3768="", R3768=""),
        "Fill all the required columns",
        IFERROR(
            IF(OR(
                AND(R3768="Marine Protected", VLOOKUP(O3768, Reference!$A$2:$D$34, 4, FALSE) &lt;= P3768),
                AND(R3768="General Use", VLOOKUP(O3768, Reference!$A$2:$D$34, 3, FALSE) &lt;= P3768)
            ),
                "Exceeded",
                "OK"
            ),
            "No Regulation defined"
        )
    ),
    ""
)</f>
        <v/>
      </c>
      <c r="AB3768" s="62" t="str">
        <f t="shared" si="58"/>
        <v/>
      </c>
    </row>
    <row r="3769" spans="20:28" x14ac:dyDescent="0.2">
      <c r="T3769" s="60" t="str">
        <f>IF(P3769&lt;&gt;"",
    IF(OR(O3769="", Q3769="", R3769=""),
        "Fill all the required columns",
        IFERROR(
            IF(OR(
                AND(R3769="Marine Protected", VLOOKUP(O3769, Reference!$A$2:$D$34, 4, FALSE) &lt;= P3769),
                AND(R3769="General Use", VLOOKUP(O3769, Reference!$A$2:$D$34, 3, FALSE) &lt;= P3769)
            ),
                "Exceeded",
                "OK"
            ),
            "No Regulation defined"
        )
    ),
    ""
)</f>
        <v/>
      </c>
      <c r="AB3769" s="62" t="str">
        <f t="shared" si="58"/>
        <v/>
      </c>
    </row>
    <row r="3770" spans="20:28" x14ac:dyDescent="0.2">
      <c r="T3770" s="60" t="str">
        <f>IF(P3770&lt;&gt;"",
    IF(OR(O3770="", Q3770="", R3770=""),
        "Fill all the required columns",
        IFERROR(
            IF(OR(
                AND(R3770="Marine Protected", VLOOKUP(O3770, Reference!$A$2:$D$34, 4, FALSE) &lt;= P3770),
                AND(R3770="General Use", VLOOKUP(O3770, Reference!$A$2:$D$34, 3, FALSE) &lt;= P3770)
            ),
                "Exceeded",
                "OK"
            ),
            "No Regulation defined"
        )
    ),
    ""
)</f>
        <v/>
      </c>
      <c r="AB3770" s="62" t="str">
        <f t="shared" si="58"/>
        <v/>
      </c>
    </row>
    <row r="3771" spans="20:28" x14ac:dyDescent="0.2">
      <c r="T3771" s="60" t="str">
        <f>IF(P3771&lt;&gt;"",
    IF(OR(O3771="", Q3771="", R3771=""),
        "Fill all the required columns",
        IFERROR(
            IF(OR(
                AND(R3771="Marine Protected", VLOOKUP(O3771, Reference!$A$2:$D$34, 4, FALSE) &lt;= P3771),
                AND(R3771="General Use", VLOOKUP(O3771, Reference!$A$2:$D$34, 3, FALSE) &lt;= P3771)
            ),
                "Exceeded",
                "OK"
            ),
            "No Regulation defined"
        )
    ),
    ""
)</f>
        <v/>
      </c>
      <c r="AB3771" s="62" t="str">
        <f t="shared" si="58"/>
        <v/>
      </c>
    </row>
    <row r="3772" spans="20:28" x14ac:dyDescent="0.2">
      <c r="T3772" s="60" t="str">
        <f>IF(P3772&lt;&gt;"",
    IF(OR(O3772="", Q3772="", R3772=""),
        "Fill all the required columns",
        IFERROR(
            IF(OR(
                AND(R3772="Marine Protected", VLOOKUP(O3772, Reference!$A$2:$D$34, 4, FALSE) &lt;= P3772),
                AND(R3772="General Use", VLOOKUP(O3772, Reference!$A$2:$D$34, 3, FALSE) &lt;= P3772)
            ),
                "Exceeded",
                "OK"
            ),
            "No Regulation defined"
        )
    ),
    ""
)</f>
        <v/>
      </c>
      <c r="AB3772" s="62" t="str">
        <f t="shared" si="58"/>
        <v/>
      </c>
    </row>
    <row r="3773" spans="20:28" x14ac:dyDescent="0.2">
      <c r="T3773" s="60" t="str">
        <f>IF(P3773&lt;&gt;"",
    IF(OR(O3773="", Q3773="", R3773=""),
        "Fill all the required columns",
        IFERROR(
            IF(OR(
                AND(R3773="Marine Protected", VLOOKUP(O3773, Reference!$A$2:$D$34, 4, FALSE) &lt;= P3773),
                AND(R3773="General Use", VLOOKUP(O3773, Reference!$A$2:$D$34, 3, FALSE) &lt;= P3773)
            ),
                "Exceeded",
                "OK"
            ),
            "No Regulation defined"
        )
    ),
    ""
)</f>
        <v/>
      </c>
      <c r="AB3773" s="62" t="str">
        <f t="shared" si="58"/>
        <v/>
      </c>
    </row>
    <row r="3774" spans="20:28" x14ac:dyDescent="0.2">
      <c r="T3774" s="60" t="str">
        <f>IF(P3774&lt;&gt;"",
    IF(OR(O3774="", Q3774="", R3774=""),
        "Fill all the required columns",
        IFERROR(
            IF(OR(
                AND(R3774="Marine Protected", VLOOKUP(O3774, Reference!$A$2:$D$34, 4, FALSE) &lt;= P3774),
                AND(R3774="General Use", VLOOKUP(O3774, Reference!$A$2:$D$34, 3, FALSE) &lt;= P3774)
            ),
                "Exceeded",
                "OK"
            ),
            "No Regulation defined"
        )
    ),
    ""
)</f>
        <v/>
      </c>
      <c r="AB3774" s="62" t="str">
        <f t="shared" si="58"/>
        <v/>
      </c>
    </row>
    <row r="3775" spans="20:28" x14ac:dyDescent="0.2">
      <c r="T3775" s="60" t="str">
        <f>IF(P3775&lt;&gt;"",
    IF(OR(O3775="", Q3775="", R3775=""),
        "Fill all the required columns",
        IFERROR(
            IF(OR(
                AND(R3775="Marine Protected", VLOOKUP(O3775, Reference!$A$2:$D$34, 4, FALSE) &lt;= P3775),
                AND(R3775="General Use", VLOOKUP(O3775, Reference!$A$2:$D$34, 3, FALSE) &lt;= P3775)
            ),
                "Exceeded",
                "OK"
            ),
            "No Regulation defined"
        )
    ),
    ""
)</f>
        <v/>
      </c>
      <c r="AB3775" s="62" t="str">
        <f t="shared" si="58"/>
        <v/>
      </c>
    </row>
    <row r="3776" spans="20:28" x14ac:dyDescent="0.2">
      <c r="T3776" s="60" t="str">
        <f>IF(P3776&lt;&gt;"",
    IF(OR(O3776="", Q3776="", R3776=""),
        "Fill all the required columns",
        IFERROR(
            IF(OR(
                AND(R3776="Marine Protected", VLOOKUP(O3776, Reference!$A$2:$D$34, 4, FALSE) &lt;= P3776),
                AND(R3776="General Use", VLOOKUP(O3776, Reference!$A$2:$D$34, 3, FALSE) &lt;= P3776)
            ),
                "Exceeded",
                "OK"
            ),
            "No Regulation defined"
        )
    ),
    ""
)</f>
        <v/>
      </c>
      <c r="AB3776" s="62" t="str">
        <f t="shared" si="58"/>
        <v/>
      </c>
    </row>
    <row r="3777" spans="20:28" x14ac:dyDescent="0.2">
      <c r="T3777" s="60" t="str">
        <f>IF(P3777&lt;&gt;"",
    IF(OR(O3777="", Q3777="", R3777=""),
        "Fill all the required columns",
        IFERROR(
            IF(OR(
                AND(R3777="Marine Protected", VLOOKUP(O3777, Reference!$A$2:$D$34, 4, FALSE) &lt;= P3777),
                AND(R3777="General Use", VLOOKUP(O3777, Reference!$A$2:$D$34, 3, FALSE) &lt;= P3777)
            ),
                "Exceeded",
                "OK"
            ),
            "No Regulation defined"
        )
    ),
    ""
)</f>
        <v/>
      </c>
      <c r="AB3777" s="62" t="str">
        <f t="shared" si="58"/>
        <v/>
      </c>
    </row>
    <row r="3778" spans="20:28" x14ac:dyDescent="0.2">
      <c r="T3778" s="60" t="str">
        <f>IF(P3778&lt;&gt;"",
    IF(OR(O3778="", Q3778="", R3778=""),
        "Fill all the required columns",
        IFERROR(
            IF(OR(
                AND(R3778="Marine Protected", VLOOKUP(O3778, Reference!$A$2:$D$34, 4, FALSE) &lt;= P3778),
                AND(R3778="General Use", VLOOKUP(O3778, Reference!$A$2:$D$34, 3, FALSE) &lt;= P3778)
            ),
                "Exceeded",
                "OK"
            ),
            "No Regulation defined"
        )
    ),
    ""
)</f>
        <v/>
      </c>
      <c r="AB3778" s="62" t="str">
        <f t="shared" si="58"/>
        <v/>
      </c>
    </row>
    <row r="3779" spans="20:28" x14ac:dyDescent="0.2">
      <c r="T3779" s="60" t="str">
        <f>IF(P3779&lt;&gt;"",
    IF(OR(O3779="", Q3779="", R3779=""),
        "Fill all the required columns",
        IFERROR(
            IF(OR(
                AND(R3779="Marine Protected", VLOOKUP(O3779, Reference!$A$2:$D$34, 4, FALSE) &lt;= P3779),
                AND(R3779="General Use", VLOOKUP(O3779, Reference!$A$2:$D$34, 3, FALSE) &lt;= P3779)
            ),
                "Exceeded",
                "OK"
            ),
            "No Regulation defined"
        )
    ),
    ""
)</f>
        <v/>
      </c>
      <c r="AB3779" s="62" t="str">
        <f t="shared" ref="AB3779:AB3842" si="59">IF(COUNTA(A3779, E3779, F3779, H3779, I3779, O3779, P3779, Q3779, R3779,S3779) = 0, "", IF(COUNTA(A3779, E3779, F3779, H3779, I3779, O3779, P3779, Q3779, R3779,S3779) = 10, "OK", "Incomplete"))</f>
        <v/>
      </c>
    </row>
    <row r="3780" spans="20:28" x14ac:dyDescent="0.2">
      <c r="T3780" s="60" t="str">
        <f>IF(P3780&lt;&gt;"",
    IF(OR(O3780="", Q3780="", R3780=""),
        "Fill all the required columns",
        IFERROR(
            IF(OR(
                AND(R3780="Marine Protected", VLOOKUP(O3780, Reference!$A$2:$D$34, 4, FALSE) &lt;= P3780),
                AND(R3780="General Use", VLOOKUP(O3780, Reference!$A$2:$D$34, 3, FALSE) &lt;= P3780)
            ),
                "Exceeded",
                "OK"
            ),
            "No Regulation defined"
        )
    ),
    ""
)</f>
        <v/>
      </c>
      <c r="AB3780" s="62" t="str">
        <f t="shared" si="59"/>
        <v/>
      </c>
    </row>
    <row r="3781" spans="20:28" x14ac:dyDescent="0.2">
      <c r="T3781" s="60" t="str">
        <f>IF(P3781&lt;&gt;"",
    IF(OR(O3781="", Q3781="", R3781=""),
        "Fill all the required columns",
        IFERROR(
            IF(OR(
                AND(R3781="Marine Protected", VLOOKUP(O3781, Reference!$A$2:$D$34, 4, FALSE) &lt;= P3781),
                AND(R3781="General Use", VLOOKUP(O3781, Reference!$A$2:$D$34, 3, FALSE) &lt;= P3781)
            ),
                "Exceeded",
                "OK"
            ),
            "No Regulation defined"
        )
    ),
    ""
)</f>
        <v/>
      </c>
      <c r="AB3781" s="62" t="str">
        <f t="shared" si="59"/>
        <v/>
      </c>
    </row>
    <row r="3782" spans="20:28" x14ac:dyDescent="0.2">
      <c r="T3782" s="60" t="str">
        <f>IF(P3782&lt;&gt;"",
    IF(OR(O3782="", Q3782="", R3782=""),
        "Fill all the required columns",
        IFERROR(
            IF(OR(
                AND(R3782="Marine Protected", VLOOKUP(O3782, Reference!$A$2:$D$34, 4, FALSE) &lt;= P3782),
                AND(R3782="General Use", VLOOKUP(O3782, Reference!$A$2:$D$34, 3, FALSE) &lt;= P3782)
            ),
                "Exceeded",
                "OK"
            ),
            "No Regulation defined"
        )
    ),
    ""
)</f>
        <v/>
      </c>
      <c r="AB3782" s="62" t="str">
        <f t="shared" si="59"/>
        <v/>
      </c>
    </row>
    <row r="3783" spans="20:28" x14ac:dyDescent="0.2">
      <c r="T3783" s="60" t="str">
        <f>IF(P3783&lt;&gt;"",
    IF(OR(O3783="", Q3783="", R3783=""),
        "Fill all the required columns",
        IFERROR(
            IF(OR(
                AND(R3783="Marine Protected", VLOOKUP(O3783, Reference!$A$2:$D$34, 4, FALSE) &lt;= P3783),
                AND(R3783="General Use", VLOOKUP(O3783, Reference!$A$2:$D$34, 3, FALSE) &lt;= P3783)
            ),
                "Exceeded",
                "OK"
            ),
            "No Regulation defined"
        )
    ),
    ""
)</f>
        <v/>
      </c>
      <c r="AB3783" s="62" t="str">
        <f t="shared" si="59"/>
        <v/>
      </c>
    </row>
    <row r="3784" spans="20:28" x14ac:dyDescent="0.2">
      <c r="T3784" s="60" t="str">
        <f>IF(P3784&lt;&gt;"",
    IF(OR(O3784="", Q3784="", R3784=""),
        "Fill all the required columns",
        IFERROR(
            IF(OR(
                AND(R3784="Marine Protected", VLOOKUP(O3784, Reference!$A$2:$D$34, 4, FALSE) &lt;= P3784),
                AND(R3784="General Use", VLOOKUP(O3784, Reference!$A$2:$D$34, 3, FALSE) &lt;= P3784)
            ),
                "Exceeded",
                "OK"
            ),
            "No Regulation defined"
        )
    ),
    ""
)</f>
        <v/>
      </c>
      <c r="AB3784" s="62" t="str">
        <f t="shared" si="59"/>
        <v/>
      </c>
    </row>
    <row r="3785" spans="20:28" x14ac:dyDescent="0.2">
      <c r="T3785" s="60" t="str">
        <f>IF(P3785&lt;&gt;"",
    IF(OR(O3785="", Q3785="", R3785=""),
        "Fill all the required columns",
        IFERROR(
            IF(OR(
                AND(R3785="Marine Protected", VLOOKUP(O3785, Reference!$A$2:$D$34, 4, FALSE) &lt;= P3785),
                AND(R3785="General Use", VLOOKUP(O3785, Reference!$A$2:$D$34, 3, FALSE) &lt;= P3785)
            ),
                "Exceeded",
                "OK"
            ),
            "No Regulation defined"
        )
    ),
    ""
)</f>
        <v/>
      </c>
      <c r="AB3785" s="62" t="str">
        <f t="shared" si="59"/>
        <v/>
      </c>
    </row>
    <row r="3786" spans="20:28" x14ac:dyDescent="0.2">
      <c r="T3786" s="60" t="str">
        <f>IF(P3786&lt;&gt;"",
    IF(OR(O3786="", Q3786="", R3786=""),
        "Fill all the required columns",
        IFERROR(
            IF(OR(
                AND(R3786="Marine Protected", VLOOKUP(O3786, Reference!$A$2:$D$34, 4, FALSE) &lt;= P3786),
                AND(R3786="General Use", VLOOKUP(O3786, Reference!$A$2:$D$34, 3, FALSE) &lt;= P3786)
            ),
                "Exceeded",
                "OK"
            ),
            "No Regulation defined"
        )
    ),
    ""
)</f>
        <v/>
      </c>
      <c r="AB3786" s="62" t="str">
        <f t="shared" si="59"/>
        <v/>
      </c>
    </row>
    <row r="3787" spans="20:28" x14ac:dyDescent="0.2">
      <c r="T3787" s="60" t="str">
        <f>IF(P3787&lt;&gt;"",
    IF(OR(O3787="", Q3787="", R3787=""),
        "Fill all the required columns",
        IFERROR(
            IF(OR(
                AND(R3787="Marine Protected", VLOOKUP(O3787, Reference!$A$2:$D$34, 4, FALSE) &lt;= P3787),
                AND(R3787="General Use", VLOOKUP(O3787, Reference!$A$2:$D$34, 3, FALSE) &lt;= P3787)
            ),
                "Exceeded",
                "OK"
            ),
            "No Regulation defined"
        )
    ),
    ""
)</f>
        <v/>
      </c>
      <c r="AB3787" s="62" t="str">
        <f t="shared" si="59"/>
        <v/>
      </c>
    </row>
    <row r="3788" spans="20:28" x14ac:dyDescent="0.2">
      <c r="T3788" s="60" t="str">
        <f>IF(P3788&lt;&gt;"",
    IF(OR(O3788="", Q3788="", R3788=""),
        "Fill all the required columns",
        IFERROR(
            IF(OR(
                AND(R3788="Marine Protected", VLOOKUP(O3788, Reference!$A$2:$D$34, 4, FALSE) &lt;= P3788),
                AND(R3788="General Use", VLOOKUP(O3788, Reference!$A$2:$D$34, 3, FALSE) &lt;= P3788)
            ),
                "Exceeded",
                "OK"
            ),
            "No Regulation defined"
        )
    ),
    ""
)</f>
        <v/>
      </c>
      <c r="AB3788" s="62" t="str">
        <f t="shared" si="59"/>
        <v/>
      </c>
    </row>
    <row r="3789" spans="20:28" x14ac:dyDescent="0.2">
      <c r="T3789" s="60" t="str">
        <f>IF(P3789&lt;&gt;"",
    IF(OR(O3789="", Q3789="", R3789=""),
        "Fill all the required columns",
        IFERROR(
            IF(OR(
                AND(R3789="Marine Protected", VLOOKUP(O3789, Reference!$A$2:$D$34, 4, FALSE) &lt;= P3789),
                AND(R3789="General Use", VLOOKUP(O3789, Reference!$A$2:$D$34, 3, FALSE) &lt;= P3789)
            ),
                "Exceeded",
                "OK"
            ),
            "No Regulation defined"
        )
    ),
    ""
)</f>
        <v/>
      </c>
      <c r="AB3789" s="62" t="str">
        <f t="shared" si="59"/>
        <v/>
      </c>
    </row>
    <row r="3790" spans="20:28" x14ac:dyDescent="0.2">
      <c r="T3790" s="60" t="str">
        <f>IF(P3790&lt;&gt;"",
    IF(OR(O3790="", Q3790="", R3790=""),
        "Fill all the required columns",
        IFERROR(
            IF(OR(
                AND(R3790="Marine Protected", VLOOKUP(O3790, Reference!$A$2:$D$34, 4, FALSE) &lt;= P3790),
                AND(R3790="General Use", VLOOKUP(O3790, Reference!$A$2:$D$34, 3, FALSE) &lt;= P3790)
            ),
                "Exceeded",
                "OK"
            ),
            "No Regulation defined"
        )
    ),
    ""
)</f>
        <v/>
      </c>
      <c r="AB3790" s="62" t="str">
        <f t="shared" si="59"/>
        <v/>
      </c>
    </row>
    <row r="3791" spans="20:28" x14ac:dyDescent="0.2">
      <c r="T3791" s="60" t="str">
        <f>IF(P3791&lt;&gt;"",
    IF(OR(O3791="", Q3791="", R3791=""),
        "Fill all the required columns",
        IFERROR(
            IF(OR(
                AND(R3791="Marine Protected", VLOOKUP(O3791, Reference!$A$2:$D$34, 4, FALSE) &lt;= P3791),
                AND(R3791="General Use", VLOOKUP(O3791, Reference!$A$2:$D$34, 3, FALSE) &lt;= P3791)
            ),
                "Exceeded",
                "OK"
            ),
            "No Regulation defined"
        )
    ),
    ""
)</f>
        <v/>
      </c>
      <c r="AB3791" s="62" t="str">
        <f t="shared" si="59"/>
        <v/>
      </c>
    </row>
    <row r="3792" spans="20:28" x14ac:dyDescent="0.2">
      <c r="T3792" s="60" t="str">
        <f>IF(P3792&lt;&gt;"",
    IF(OR(O3792="", Q3792="", R3792=""),
        "Fill all the required columns",
        IFERROR(
            IF(OR(
                AND(R3792="Marine Protected", VLOOKUP(O3792, Reference!$A$2:$D$34, 4, FALSE) &lt;= P3792),
                AND(R3792="General Use", VLOOKUP(O3792, Reference!$A$2:$D$34, 3, FALSE) &lt;= P3792)
            ),
                "Exceeded",
                "OK"
            ),
            "No Regulation defined"
        )
    ),
    ""
)</f>
        <v/>
      </c>
      <c r="AB3792" s="62" t="str">
        <f t="shared" si="59"/>
        <v/>
      </c>
    </row>
    <row r="3793" spans="20:28" x14ac:dyDescent="0.2">
      <c r="T3793" s="60" t="str">
        <f>IF(P3793&lt;&gt;"",
    IF(OR(O3793="", Q3793="", R3793=""),
        "Fill all the required columns",
        IFERROR(
            IF(OR(
                AND(R3793="Marine Protected", VLOOKUP(O3793, Reference!$A$2:$D$34, 4, FALSE) &lt;= P3793),
                AND(R3793="General Use", VLOOKUP(O3793, Reference!$A$2:$D$34, 3, FALSE) &lt;= P3793)
            ),
                "Exceeded",
                "OK"
            ),
            "No Regulation defined"
        )
    ),
    ""
)</f>
        <v/>
      </c>
      <c r="AB3793" s="62" t="str">
        <f t="shared" si="59"/>
        <v/>
      </c>
    </row>
    <row r="3794" spans="20:28" x14ac:dyDescent="0.2">
      <c r="T3794" s="60" t="str">
        <f>IF(P3794&lt;&gt;"",
    IF(OR(O3794="", Q3794="", R3794=""),
        "Fill all the required columns",
        IFERROR(
            IF(OR(
                AND(R3794="Marine Protected", VLOOKUP(O3794, Reference!$A$2:$D$34, 4, FALSE) &lt;= P3794),
                AND(R3794="General Use", VLOOKUP(O3794, Reference!$A$2:$D$34, 3, FALSE) &lt;= P3794)
            ),
                "Exceeded",
                "OK"
            ),
            "No Regulation defined"
        )
    ),
    ""
)</f>
        <v/>
      </c>
      <c r="AB3794" s="62" t="str">
        <f t="shared" si="59"/>
        <v/>
      </c>
    </row>
    <row r="3795" spans="20:28" x14ac:dyDescent="0.2">
      <c r="T3795" s="60" t="str">
        <f>IF(P3795&lt;&gt;"",
    IF(OR(O3795="", Q3795="", R3795=""),
        "Fill all the required columns",
        IFERROR(
            IF(OR(
                AND(R3795="Marine Protected", VLOOKUP(O3795, Reference!$A$2:$D$34, 4, FALSE) &lt;= P3795),
                AND(R3795="General Use", VLOOKUP(O3795, Reference!$A$2:$D$34, 3, FALSE) &lt;= P3795)
            ),
                "Exceeded",
                "OK"
            ),
            "No Regulation defined"
        )
    ),
    ""
)</f>
        <v/>
      </c>
      <c r="AB3795" s="62" t="str">
        <f t="shared" si="59"/>
        <v/>
      </c>
    </row>
    <row r="3796" spans="20:28" x14ac:dyDescent="0.2">
      <c r="T3796" s="60" t="str">
        <f>IF(P3796&lt;&gt;"",
    IF(OR(O3796="", Q3796="", R3796=""),
        "Fill all the required columns",
        IFERROR(
            IF(OR(
                AND(R3796="Marine Protected", VLOOKUP(O3796, Reference!$A$2:$D$34, 4, FALSE) &lt;= P3796),
                AND(R3796="General Use", VLOOKUP(O3796, Reference!$A$2:$D$34, 3, FALSE) &lt;= P3796)
            ),
                "Exceeded",
                "OK"
            ),
            "No Regulation defined"
        )
    ),
    ""
)</f>
        <v/>
      </c>
      <c r="AB3796" s="62" t="str">
        <f t="shared" si="59"/>
        <v/>
      </c>
    </row>
    <row r="3797" spans="20:28" x14ac:dyDescent="0.2">
      <c r="T3797" s="60" t="str">
        <f>IF(P3797&lt;&gt;"",
    IF(OR(O3797="", Q3797="", R3797=""),
        "Fill all the required columns",
        IFERROR(
            IF(OR(
                AND(R3797="Marine Protected", VLOOKUP(O3797, Reference!$A$2:$D$34, 4, FALSE) &lt;= P3797),
                AND(R3797="General Use", VLOOKUP(O3797, Reference!$A$2:$D$34, 3, FALSE) &lt;= P3797)
            ),
                "Exceeded",
                "OK"
            ),
            "No Regulation defined"
        )
    ),
    ""
)</f>
        <v/>
      </c>
      <c r="AB3797" s="62" t="str">
        <f t="shared" si="59"/>
        <v/>
      </c>
    </row>
    <row r="3798" spans="20:28" x14ac:dyDescent="0.2">
      <c r="T3798" s="60" t="str">
        <f>IF(P3798&lt;&gt;"",
    IF(OR(O3798="", Q3798="", R3798=""),
        "Fill all the required columns",
        IFERROR(
            IF(OR(
                AND(R3798="Marine Protected", VLOOKUP(O3798, Reference!$A$2:$D$34, 4, FALSE) &lt;= P3798),
                AND(R3798="General Use", VLOOKUP(O3798, Reference!$A$2:$D$34, 3, FALSE) &lt;= P3798)
            ),
                "Exceeded",
                "OK"
            ),
            "No Regulation defined"
        )
    ),
    ""
)</f>
        <v/>
      </c>
      <c r="AB3798" s="62" t="str">
        <f t="shared" si="59"/>
        <v/>
      </c>
    </row>
    <row r="3799" spans="20:28" x14ac:dyDescent="0.2">
      <c r="T3799" s="60" t="str">
        <f>IF(P3799&lt;&gt;"",
    IF(OR(O3799="", Q3799="", R3799=""),
        "Fill all the required columns",
        IFERROR(
            IF(OR(
                AND(R3799="Marine Protected", VLOOKUP(O3799, Reference!$A$2:$D$34, 4, FALSE) &lt;= P3799),
                AND(R3799="General Use", VLOOKUP(O3799, Reference!$A$2:$D$34, 3, FALSE) &lt;= P3799)
            ),
                "Exceeded",
                "OK"
            ),
            "No Regulation defined"
        )
    ),
    ""
)</f>
        <v/>
      </c>
      <c r="AB3799" s="62" t="str">
        <f t="shared" si="59"/>
        <v/>
      </c>
    </row>
    <row r="3800" spans="20:28" x14ac:dyDescent="0.2">
      <c r="T3800" s="60" t="str">
        <f>IF(P3800&lt;&gt;"",
    IF(OR(O3800="", Q3800="", R3800=""),
        "Fill all the required columns",
        IFERROR(
            IF(OR(
                AND(R3800="Marine Protected", VLOOKUP(O3800, Reference!$A$2:$D$34, 4, FALSE) &lt;= P3800),
                AND(R3800="General Use", VLOOKUP(O3800, Reference!$A$2:$D$34, 3, FALSE) &lt;= P3800)
            ),
                "Exceeded",
                "OK"
            ),
            "No Regulation defined"
        )
    ),
    ""
)</f>
        <v/>
      </c>
      <c r="AB3800" s="62" t="str">
        <f t="shared" si="59"/>
        <v/>
      </c>
    </row>
    <row r="3801" spans="20:28" x14ac:dyDescent="0.2">
      <c r="T3801" s="60" t="str">
        <f>IF(P3801&lt;&gt;"",
    IF(OR(O3801="", Q3801="", R3801=""),
        "Fill all the required columns",
        IFERROR(
            IF(OR(
                AND(R3801="Marine Protected", VLOOKUP(O3801, Reference!$A$2:$D$34, 4, FALSE) &lt;= P3801),
                AND(R3801="General Use", VLOOKUP(O3801, Reference!$A$2:$D$34, 3, FALSE) &lt;= P3801)
            ),
                "Exceeded",
                "OK"
            ),
            "No Regulation defined"
        )
    ),
    ""
)</f>
        <v/>
      </c>
      <c r="AB3801" s="62" t="str">
        <f t="shared" si="59"/>
        <v/>
      </c>
    </row>
    <row r="3802" spans="20:28" x14ac:dyDescent="0.2">
      <c r="T3802" s="60" t="str">
        <f>IF(P3802&lt;&gt;"",
    IF(OR(O3802="", Q3802="", R3802=""),
        "Fill all the required columns",
        IFERROR(
            IF(OR(
                AND(R3802="Marine Protected", VLOOKUP(O3802, Reference!$A$2:$D$34, 4, FALSE) &lt;= P3802),
                AND(R3802="General Use", VLOOKUP(O3802, Reference!$A$2:$D$34, 3, FALSE) &lt;= P3802)
            ),
                "Exceeded",
                "OK"
            ),
            "No Regulation defined"
        )
    ),
    ""
)</f>
        <v/>
      </c>
      <c r="AB3802" s="62" t="str">
        <f t="shared" si="59"/>
        <v/>
      </c>
    </row>
    <row r="3803" spans="20:28" x14ac:dyDescent="0.2">
      <c r="T3803" s="60" t="str">
        <f>IF(P3803&lt;&gt;"",
    IF(OR(O3803="", Q3803="", R3803=""),
        "Fill all the required columns",
        IFERROR(
            IF(OR(
                AND(R3803="Marine Protected", VLOOKUP(O3803, Reference!$A$2:$D$34, 4, FALSE) &lt;= P3803),
                AND(R3803="General Use", VLOOKUP(O3803, Reference!$A$2:$D$34, 3, FALSE) &lt;= P3803)
            ),
                "Exceeded",
                "OK"
            ),
            "No Regulation defined"
        )
    ),
    ""
)</f>
        <v/>
      </c>
      <c r="AB3803" s="62" t="str">
        <f t="shared" si="59"/>
        <v/>
      </c>
    </row>
    <row r="3804" spans="20:28" x14ac:dyDescent="0.2">
      <c r="T3804" s="60" t="str">
        <f>IF(P3804&lt;&gt;"",
    IF(OR(O3804="", Q3804="", R3804=""),
        "Fill all the required columns",
        IFERROR(
            IF(OR(
                AND(R3804="Marine Protected", VLOOKUP(O3804, Reference!$A$2:$D$34, 4, FALSE) &lt;= P3804),
                AND(R3804="General Use", VLOOKUP(O3804, Reference!$A$2:$D$34, 3, FALSE) &lt;= P3804)
            ),
                "Exceeded",
                "OK"
            ),
            "No Regulation defined"
        )
    ),
    ""
)</f>
        <v/>
      </c>
      <c r="AB3804" s="62" t="str">
        <f t="shared" si="59"/>
        <v/>
      </c>
    </row>
    <row r="3805" spans="20:28" x14ac:dyDescent="0.2">
      <c r="T3805" s="60" t="str">
        <f>IF(P3805&lt;&gt;"",
    IF(OR(O3805="", Q3805="", R3805=""),
        "Fill all the required columns",
        IFERROR(
            IF(OR(
                AND(R3805="Marine Protected", VLOOKUP(O3805, Reference!$A$2:$D$34, 4, FALSE) &lt;= P3805),
                AND(R3805="General Use", VLOOKUP(O3805, Reference!$A$2:$D$34, 3, FALSE) &lt;= P3805)
            ),
                "Exceeded",
                "OK"
            ),
            "No Regulation defined"
        )
    ),
    ""
)</f>
        <v/>
      </c>
      <c r="AB3805" s="62" t="str">
        <f t="shared" si="59"/>
        <v/>
      </c>
    </row>
    <row r="3806" spans="20:28" x14ac:dyDescent="0.2">
      <c r="T3806" s="60" t="str">
        <f>IF(P3806&lt;&gt;"",
    IF(OR(O3806="", Q3806="", R3806=""),
        "Fill all the required columns",
        IFERROR(
            IF(OR(
                AND(R3806="Marine Protected", VLOOKUP(O3806, Reference!$A$2:$D$34, 4, FALSE) &lt;= P3806),
                AND(R3806="General Use", VLOOKUP(O3806, Reference!$A$2:$D$34, 3, FALSE) &lt;= P3806)
            ),
                "Exceeded",
                "OK"
            ),
            "No Regulation defined"
        )
    ),
    ""
)</f>
        <v/>
      </c>
      <c r="AB3806" s="62" t="str">
        <f t="shared" si="59"/>
        <v/>
      </c>
    </row>
    <row r="3807" spans="20:28" x14ac:dyDescent="0.2">
      <c r="T3807" s="60" t="str">
        <f>IF(P3807&lt;&gt;"",
    IF(OR(O3807="", Q3807="", R3807=""),
        "Fill all the required columns",
        IFERROR(
            IF(OR(
                AND(R3807="Marine Protected", VLOOKUP(O3807, Reference!$A$2:$D$34, 4, FALSE) &lt;= P3807),
                AND(R3807="General Use", VLOOKUP(O3807, Reference!$A$2:$D$34, 3, FALSE) &lt;= P3807)
            ),
                "Exceeded",
                "OK"
            ),
            "No Regulation defined"
        )
    ),
    ""
)</f>
        <v/>
      </c>
      <c r="AB3807" s="62" t="str">
        <f t="shared" si="59"/>
        <v/>
      </c>
    </row>
    <row r="3808" spans="20:28" x14ac:dyDescent="0.2">
      <c r="T3808" s="60" t="str">
        <f>IF(P3808&lt;&gt;"",
    IF(OR(O3808="", Q3808="", R3808=""),
        "Fill all the required columns",
        IFERROR(
            IF(OR(
                AND(R3808="Marine Protected", VLOOKUP(O3808, Reference!$A$2:$D$34, 4, FALSE) &lt;= P3808),
                AND(R3808="General Use", VLOOKUP(O3808, Reference!$A$2:$D$34, 3, FALSE) &lt;= P3808)
            ),
                "Exceeded",
                "OK"
            ),
            "No Regulation defined"
        )
    ),
    ""
)</f>
        <v/>
      </c>
      <c r="AB3808" s="62" t="str">
        <f t="shared" si="59"/>
        <v/>
      </c>
    </row>
    <row r="3809" spans="20:28" x14ac:dyDescent="0.2">
      <c r="T3809" s="60" t="str">
        <f>IF(P3809&lt;&gt;"",
    IF(OR(O3809="", Q3809="", R3809=""),
        "Fill all the required columns",
        IFERROR(
            IF(OR(
                AND(R3809="Marine Protected", VLOOKUP(O3809, Reference!$A$2:$D$34, 4, FALSE) &lt;= P3809),
                AND(R3809="General Use", VLOOKUP(O3809, Reference!$A$2:$D$34, 3, FALSE) &lt;= P3809)
            ),
                "Exceeded",
                "OK"
            ),
            "No Regulation defined"
        )
    ),
    ""
)</f>
        <v/>
      </c>
      <c r="AB3809" s="62" t="str">
        <f t="shared" si="59"/>
        <v/>
      </c>
    </row>
    <row r="3810" spans="20:28" x14ac:dyDescent="0.2">
      <c r="T3810" s="60" t="str">
        <f>IF(P3810&lt;&gt;"",
    IF(OR(O3810="", Q3810="", R3810=""),
        "Fill all the required columns",
        IFERROR(
            IF(OR(
                AND(R3810="Marine Protected", VLOOKUP(O3810, Reference!$A$2:$D$34, 4, FALSE) &lt;= P3810),
                AND(R3810="General Use", VLOOKUP(O3810, Reference!$A$2:$D$34, 3, FALSE) &lt;= P3810)
            ),
                "Exceeded",
                "OK"
            ),
            "No Regulation defined"
        )
    ),
    ""
)</f>
        <v/>
      </c>
      <c r="AB3810" s="62" t="str">
        <f t="shared" si="59"/>
        <v/>
      </c>
    </row>
    <row r="3811" spans="20:28" x14ac:dyDescent="0.2">
      <c r="T3811" s="60" t="str">
        <f>IF(P3811&lt;&gt;"",
    IF(OR(O3811="", Q3811="", R3811=""),
        "Fill all the required columns",
        IFERROR(
            IF(OR(
                AND(R3811="Marine Protected", VLOOKUP(O3811, Reference!$A$2:$D$34, 4, FALSE) &lt;= P3811),
                AND(R3811="General Use", VLOOKUP(O3811, Reference!$A$2:$D$34, 3, FALSE) &lt;= P3811)
            ),
                "Exceeded",
                "OK"
            ),
            "No Regulation defined"
        )
    ),
    ""
)</f>
        <v/>
      </c>
      <c r="AB3811" s="62" t="str">
        <f t="shared" si="59"/>
        <v/>
      </c>
    </row>
    <row r="3812" spans="20:28" x14ac:dyDescent="0.2">
      <c r="T3812" s="60" t="str">
        <f>IF(P3812&lt;&gt;"",
    IF(OR(O3812="", Q3812="", R3812=""),
        "Fill all the required columns",
        IFERROR(
            IF(OR(
                AND(R3812="Marine Protected", VLOOKUP(O3812, Reference!$A$2:$D$34, 4, FALSE) &lt;= P3812),
                AND(R3812="General Use", VLOOKUP(O3812, Reference!$A$2:$D$34, 3, FALSE) &lt;= P3812)
            ),
                "Exceeded",
                "OK"
            ),
            "No Regulation defined"
        )
    ),
    ""
)</f>
        <v/>
      </c>
      <c r="AB3812" s="62" t="str">
        <f t="shared" si="59"/>
        <v/>
      </c>
    </row>
    <row r="3813" spans="20:28" x14ac:dyDescent="0.2">
      <c r="T3813" s="60" t="str">
        <f>IF(P3813&lt;&gt;"",
    IF(OR(O3813="", Q3813="", R3813=""),
        "Fill all the required columns",
        IFERROR(
            IF(OR(
                AND(R3813="Marine Protected", VLOOKUP(O3813, Reference!$A$2:$D$34, 4, FALSE) &lt;= P3813),
                AND(R3813="General Use", VLOOKUP(O3813, Reference!$A$2:$D$34, 3, FALSE) &lt;= P3813)
            ),
                "Exceeded",
                "OK"
            ),
            "No Regulation defined"
        )
    ),
    ""
)</f>
        <v/>
      </c>
      <c r="AB3813" s="62" t="str">
        <f t="shared" si="59"/>
        <v/>
      </c>
    </row>
    <row r="3814" spans="20:28" x14ac:dyDescent="0.2">
      <c r="T3814" s="60" t="str">
        <f>IF(P3814&lt;&gt;"",
    IF(OR(O3814="", Q3814="", R3814=""),
        "Fill all the required columns",
        IFERROR(
            IF(OR(
                AND(R3814="Marine Protected", VLOOKUP(O3814, Reference!$A$2:$D$34, 4, FALSE) &lt;= P3814),
                AND(R3814="General Use", VLOOKUP(O3814, Reference!$A$2:$D$34, 3, FALSE) &lt;= P3814)
            ),
                "Exceeded",
                "OK"
            ),
            "No Regulation defined"
        )
    ),
    ""
)</f>
        <v/>
      </c>
      <c r="AB3814" s="62" t="str">
        <f t="shared" si="59"/>
        <v/>
      </c>
    </row>
    <row r="3815" spans="20:28" x14ac:dyDescent="0.2">
      <c r="T3815" s="60" t="str">
        <f>IF(P3815&lt;&gt;"",
    IF(OR(O3815="", Q3815="", R3815=""),
        "Fill all the required columns",
        IFERROR(
            IF(OR(
                AND(R3815="Marine Protected", VLOOKUP(O3815, Reference!$A$2:$D$34, 4, FALSE) &lt;= P3815),
                AND(R3815="General Use", VLOOKUP(O3815, Reference!$A$2:$D$34, 3, FALSE) &lt;= P3815)
            ),
                "Exceeded",
                "OK"
            ),
            "No Regulation defined"
        )
    ),
    ""
)</f>
        <v/>
      </c>
      <c r="AB3815" s="62" t="str">
        <f t="shared" si="59"/>
        <v/>
      </c>
    </row>
    <row r="3816" spans="20:28" x14ac:dyDescent="0.2">
      <c r="T3816" s="60" t="str">
        <f>IF(P3816&lt;&gt;"",
    IF(OR(O3816="", Q3816="", R3816=""),
        "Fill all the required columns",
        IFERROR(
            IF(OR(
                AND(R3816="Marine Protected", VLOOKUP(O3816, Reference!$A$2:$D$34, 4, FALSE) &lt;= P3816),
                AND(R3816="General Use", VLOOKUP(O3816, Reference!$A$2:$D$34, 3, FALSE) &lt;= P3816)
            ),
                "Exceeded",
                "OK"
            ),
            "No Regulation defined"
        )
    ),
    ""
)</f>
        <v/>
      </c>
      <c r="AB3816" s="62" t="str">
        <f t="shared" si="59"/>
        <v/>
      </c>
    </row>
    <row r="3817" spans="20:28" x14ac:dyDescent="0.2">
      <c r="T3817" s="60" t="str">
        <f>IF(P3817&lt;&gt;"",
    IF(OR(O3817="", Q3817="", R3817=""),
        "Fill all the required columns",
        IFERROR(
            IF(OR(
                AND(R3817="Marine Protected", VLOOKUP(O3817, Reference!$A$2:$D$34, 4, FALSE) &lt;= P3817),
                AND(R3817="General Use", VLOOKUP(O3817, Reference!$A$2:$D$34, 3, FALSE) &lt;= P3817)
            ),
                "Exceeded",
                "OK"
            ),
            "No Regulation defined"
        )
    ),
    ""
)</f>
        <v/>
      </c>
      <c r="AB3817" s="62" t="str">
        <f t="shared" si="59"/>
        <v/>
      </c>
    </row>
    <row r="3818" spans="20:28" x14ac:dyDescent="0.2">
      <c r="T3818" s="60" t="str">
        <f>IF(P3818&lt;&gt;"",
    IF(OR(O3818="", Q3818="", R3818=""),
        "Fill all the required columns",
        IFERROR(
            IF(OR(
                AND(R3818="Marine Protected", VLOOKUP(O3818, Reference!$A$2:$D$34, 4, FALSE) &lt;= P3818),
                AND(R3818="General Use", VLOOKUP(O3818, Reference!$A$2:$D$34, 3, FALSE) &lt;= P3818)
            ),
                "Exceeded",
                "OK"
            ),
            "No Regulation defined"
        )
    ),
    ""
)</f>
        <v/>
      </c>
      <c r="AB3818" s="62" t="str">
        <f t="shared" si="59"/>
        <v/>
      </c>
    </row>
    <row r="3819" spans="20:28" x14ac:dyDescent="0.2">
      <c r="T3819" s="60" t="str">
        <f>IF(P3819&lt;&gt;"",
    IF(OR(O3819="", Q3819="", R3819=""),
        "Fill all the required columns",
        IFERROR(
            IF(OR(
                AND(R3819="Marine Protected", VLOOKUP(O3819, Reference!$A$2:$D$34, 4, FALSE) &lt;= P3819),
                AND(R3819="General Use", VLOOKUP(O3819, Reference!$A$2:$D$34, 3, FALSE) &lt;= P3819)
            ),
                "Exceeded",
                "OK"
            ),
            "No Regulation defined"
        )
    ),
    ""
)</f>
        <v/>
      </c>
      <c r="AB3819" s="62" t="str">
        <f t="shared" si="59"/>
        <v/>
      </c>
    </row>
    <row r="3820" spans="20:28" x14ac:dyDescent="0.2">
      <c r="T3820" s="60" t="str">
        <f>IF(P3820&lt;&gt;"",
    IF(OR(O3820="", Q3820="", R3820=""),
        "Fill all the required columns",
        IFERROR(
            IF(OR(
                AND(R3820="Marine Protected", VLOOKUP(O3820, Reference!$A$2:$D$34, 4, FALSE) &lt;= P3820),
                AND(R3820="General Use", VLOOKUP(O3820, Reference!$A$2:$D$34, 3, FALSE) &lt;= P3820)
            ),
                "Exceeded",
                "OK"
            ),
            "No Regulation defined"
        )
    ),
    ""
)</f>
        <v/>
      </c>
      <c r="AB3820" s="62" t="str">
        <f t="shared" si="59"/>
        <v/>
      </c>
    </row>
    <row r="3821" spans="20:28" x14ac:dyDescent="0.2">
      <c r="T3821" s="60" t="str">
        <f>IF(P3821&lt;&gt;"",
    IF(OR(O3821="", Q3821="", R3821=""),
        "Fill all the required columns",
        IFERROR(
            IF(OR(
                AND(R3821="Marine Protected", VLOOKUP(O3821, Reference!$A$2:$D$34, 4, FALSE) &lt;= P3821),
                AND(R3821="General Use", VLOOKUP(O3821, Reference!$A$2:$D$34, 3, FALSE) &lt;= P3821)
            ),
                "Exceeded",
                "OK"
            ),
            "No Regulation defined"
        )
    ),
    ""
)</f>
        <v/>
      </c>
      <c r="AB3821" s="62" t="str">
        <f t="shared" si="59"/>
        <v/>
      </c>
    </row>
    <row r="3822" spans="20:28" x14ac:dyDescent="0.2">
      <c r="T3822" s="60" t="str">
        <f>IF(P3822&lt;&gt;"",
    IF(OR(O3822="", Q3822="", R3822=""),
        "Fill all the required columns",
        IFERROR(
            IF(OR(
                AND(R3822="Marine Protected", VLOOKUP(O3822, Reference!$A$2:$D$34, 4, FALSE) &lt;= P3822),
                AND(R3822="General Use", VLOOKUP(O3822, Reference!$A$2:$D$34, 3, FALSE) &lt;= P3822)
            ),
                "Exceeded",
                "OK"
            ),
            "No Regulation defined"
        )
    ),
    ""
)</f>
        <v/>
      </c>
      <c r="AB3822" s="62" t="str">
        <f t="shared" si="59"/>
        <v/>
      </c>
    </row>
    <row r="3823" spans="20:28" x14ac:dyDescent="0.2">
      <c r="T3823" s="60" t="str">
        <f>IF(P3823&lt;&gt;"",
    IF(OR(O3823="", Q3823="", R3823=""),
        "Fill all the required columns",
        IFERROR(
            IF(OR(
                AND(R3823="Marine Protected", VLOOKUP(O3823, Reference!$A$2:$D$34, 4, FALSE) &lt;= P3823),
                AND(R3823="General Use", VLOOKUP(O3823, Reference!$A$2:$D$34, 3, FALSE) &lt;= P3823)
            ),
                "Exceeded",
                "OK"
            ),
            "No Regulation defined"
        )
    ),
    ""
)</f>
        <v/>
      </c>
      <c r="AB3823" s="62" t="str">
        <f t="shared" si="59"/>
        <v/>
      </c>
    </row>
    <row r="3824" spans="20:28" x14ac:dyDescent="0.2">
      <c r="T3824" s="60" t="str">
        <f>IF(P3824&lt;&gt;"",
    IF(OR(O3824="", Q3824="", R3824=""),
        "Fill all the required columns",
        IFERROR(
            IF(OR(
                AND(R3824="Marine Protected", VLOOKUP(O3824, Reference!$A$2:$D$34, 4, FALSE) &lt;= P3824),
                AND(R3824="General Use", VLOOKUP(O3824, Reference!$A$2:$D$34, 3, FALSE) &lt;= P3824)
            ),
                "Exceeded",
                "OK"
            ),
            "No Regulation defined"
        )
    ),
    ""
)</f>
        <v/>
      </c>
      <c r="AB3824" s="62" t="str">
        <f t="shared" si="59"/>
        <v/>
      </c>
    </row>
    <row r="3825" spans="20:28" x14ac:dyDescent="0.2">
      <c r="T3825" s="60" t="str">
        <f>IF(P3825&lt;&gt;"",
    IF(OR(O3825="", Q3825="", R3825=""),
        "Fill all the required columns",
        IFERROR(
            IF(OR(
                AND(R3825="Marine Protected", VLOOKUP(O3825, Reference!$A$2:$D$34, 4, FALSE) &lt;= P3825),
                AND(R3825="General Use", VLOOKUP(O3825, Reference!$A$2:$D$34, 3, FALSE) &lt;= P3825)
            ),
                "Exceeded",
                "OK"
            ),
            "No Regulation defined"
        )
    ),
    ""
)</f>
        <v/>
      </c>
      <c r="AB3825" s="62" t="str">
        <f t="shared" si="59"/>
        <v/>
      </c>
    </row>
    <row r="3826" spans="20:28" x14ac:dyDescent="0.2">
      <c r="T3826" s="60" t="str">
        <f>IF(P3826&lt;&gt;"",
    IF(OR(O3826="", Q3826="", R3826=""),
        "Fill all the required columns",
        IFERROR(
            IF(OR(
                AND(R3826="Marine Protected", VLOOKUP(O3826, Reference!$A$2:$D$34, 4, FALSE) &lt;= P3826),
                AND(R3826="General Use", VLOOKUP(O3826, Reference!$A$2:$D$34, 3, FALSE) &lt;= P3826)
            ),
                "Exceeded",
                "OK"
            ),
            "No Regulation defined"
        )
    ),
    ""
)</f>
        <v/>
      </c>
      <c r="AB3826" s="62" t="str">
        <f t="shared" si="59"/>
        <v/>
      </c>
    </row>
    <row r="3827" spans="20:28" x14ac:dyDescent="0.2">
      <c r="T3827" s="60" t="str">
        <f>IF(P3827&lt;&gt;"",
    IF(OR(O3827="", Q3827="", R3827=""),
        "Fill all the required columns",
        IFERROR(
            IF(OR(
                AND(R3827="Marine Protected", VLOOKUP(O3827, Reference!$A$2:$D$34, 4, FALSE) &lt;= P3827),
                AND(R3827="General Use", VLOOKUP(O3827, Reference!$A$2:$D$34, 3, FALSE) &lt;= P3827)
            ),
                "Exceeded",
                "OK"
            ),
            "No Regulation defined"
        )
    ),
    ""
)</f>
        <v/>
      </c>
      <c r="AB3827" s="62" t="str">
        <f t="shared" si="59"/>
        <v/>
      </c>
    </row>
    <row r="3828" spans="20:28" x14ac:dyDescent="0.2">
      <c r="T3828" s="60" t="str">
        <f>IF(P3828&lt;&gt;"",
    IF(OR(O3828="", Q3828="", R3828=""),
        "Fill all the required columns",
        IFERROR(
            IF(OR(
                AND(R3828="Marine Protected", VLOOKUP(O3828, Reference!$A$2:$D$34, 4, FALSE) &lt;= P3828),
                AND(R3828="General Use", VLOOKUP(O3828, Reference!$A$2:$D$34, 3, FALSE) &lt;= P3828)
            ),
                "Exceeded",
                "OK"
            ),
            "No Regulation defined"
        )
    ),
    ""
)</f>
        <v/>
      </c>
      <c r="AB3828" s="62" t="str">
        <f t="shared" si="59"/>
        <v/>
      </c>
    </row>
    <row r="3829" spans="20:28" x14ac:dyDescent="0.2">
      <c r="T3829" s="60" t="str">
        <f>IF(P3829&lt;&gt;"",
    IF(OR(O3829="", Q3829="", R3829=""),
        "Fill all the required columns",
        IFERROR(
            IF(OR(
                AND(R3829="Marine Protected", VLOOKUP(O3829, Reference!$A$2:$D$34, 4, FALSE) &lt;= P3829),
                AND(R3829="General Use", VLOOKUP(O3829, Reference!$A$2:$D$34, 3, FALSE) &lt;= P3829)
            ),
                "Exceeded",
                "OK"
            ),
            "No Regulation defined"
        )
    ),
    ""
)</f>
        <v/>
      </c>
      <c r="AB3829" s="62" t="str">
        <f t="shared" si="59"/>
        <v/>
      </c>
    </row>
    <row r="3830" spans="20:28" x14ac:dyDescent="0.2">
      <c r="T3830" s="60" t="str">
        <f>IF(P3830&lt;&gt;"",
    IF(OR(O3830="", Q3830="", R3830=""),
        "Fill all the required columns",
        IFERROR(
            IF(OR(
                AND(R3830="Marine Protected", VLOOKUP(O3830, Reference!$A$2:$D$34, 4, FALSE) &lt;= P3830),
                AND(R3830="General Use", VLOOKUP(O3830, Reference!$A$2:$D$34, 3, FALSE) &lt;= P3830)
            ),
                "Exceeded",
                "OK"
            ),
            "No Regulation defined"
        )
    ),
    ""
)</f>
        <v/>
      </c>
      <c r="AB3830" s="62" t="str">
        <f t="shared" si="59"/>
        <v/>
      </c>
    </row>
    <row r="3831" spans="20:28" x14ac:dyDescent="0.2">
      <c r="T3831" s="60" t="str">
        <f>IF(P3831&lt;&gt;"",
    IF(OR(O3831="", Q3831="", R3831=""),
        "Fill all the required columns",
        IFERROR(
            IF(OR(
                AND(R3831="Marine Protected", VLOOKUP(O3831, Reference!$A$2:$D$34, 4, FALSE) &lt;= P3831),
                AND(R3831="General Use", VLOOKUP(O3831, Reference!$A$2:$D$34, 3, FALSE) &lt;= P3831)
            ),
                "Exceeded",
                "OK"
            ),
            "No Regulation defined"
        )
    ),
    ""
)</f>
        <v/>
      </c>
      <c r="AB3831" s="62" t="str">
        <f t="shared" si="59"/>
        <v/>
      </c>
    </row>
    <row r="3832" spans="20:28" x14ac:dyDescent="0.2">
      <c r="T3832" s="60" t="str">
        <f>IF(P3832&lt;&gt;"",
    IF(OR(O3832="", Q3832="", R3832=""),
        "Fill all the required columns",
        IFERROR(
            IF(OR(
                AND(R3832="Marine Protected", VLOOKUP(O3832, Reference!$A$2:$D$34, 4, FALSE) &lt;= P3832),
                AND(R3832="General Use", VLOOKUP(O3832, Reference!$A$2:$D$34, 3, FALSE) &lt;= P3832)
            ),
                "Exceeded",
                "OK"
            ),
            "No Regulation defined"
        )
    ),
    ""
)</f>
        <v/>
      </c>
      <c r="AB3832" s="62" t="str">
        <f t="shared" si="59"/>
        <v/>
      </c>
    </row>
    <row r="3833" spans="20:28" x14ac:dyDescent="0.2">
      <c r="T3833" s="60" t="str">
        <f>IF(P3833&lt;&gt;"",
    IF(OR(O3833="", Q3833="", R3833=""),
        "Fill all the required columns",
        IFERROR(
            IF(OR(
                AND(R3833="Marine Protected", VLOOKUP(O3833, Reference!$A$2:$D$34, 4, FALSE) &lt;= P3833),
                AND(R3833="General Use", VLOOKUP(O3833, Reference!$A$2:$D$34, 3, FALSE) &lt;= P3833)
            ),
                "Exceeded",
                "OK"
            ),
            "No Regulation defined"
        )
    ),
    ""
)</f>
        <v/>
      </c>
      <c r="AB3833" s="62" t="str">
        <f t="shared" si="59"/>
        <v/>
      </c>
    </row>
    <row r="3834" spans="20:28" x14ac:dyDescent="0.2">
      <c r="T3834" s="60" t="str">
        <f>IF(P3834&lt;&gt;"",
    IF(OR(O3834="", Q3834="", R3834=""),
        "Fill all the required columns",
        IFERROR(
            IF(OR(
                AND(R3834="Marine Protected", VLOOKUP(O3834, Reference!$A$2:$D$34, 4, FALSE) &lt;= P3834),
                AND(R3834="General Use", VLOOKUP(O3834, Reference!$A$2:$D$34, 3, FALSE) &lt;= P3834)
            ),
                "Exceeded",
                "OK"
            ),
            "No Regulation defined"
        )
    ),
    ""
)</f>
        <v/>
      </c>
      <c r="AB3834" s="62" t="str">
        <f t="shared" si="59"/>
        <v/>
      </c>
    </row>
    <row r="3835" spans="20:28" x14ac:dyDescent="0.2">
      <c r="T3835" s="60" t="str">
        <f>IF(P3835&lt;&gt;"",
    IF(OR(O3835="", Q3835="", R3835=""),
        "Fill all the required columns",
        IFERROR(
            IF(OR(
                AND(R3835="Marine Protected", VLOOKUP(O3835, Reference!$A$2:$D$34, 4, FALSE) &lt;= P3835),
                AND(R3835="General Use", VLOOKUP(O3835, Reference!$A$2:$D$34, 3, FALSE) &lt;= P3835)
            ),
                "Exceeded",
                "OK"
            ),
            "No Regulation defined"
        )
    ),
    ""
)</f>
        <v/>
      </c>
      <c r="AB3835" s="62" t="str">
        <f t="shared" si="59"/>
        <v/>
      </c>
    </row>
    <row r="3836" spans="20:28" x14ac:dyDescent="0.2">
      <c r="T3836" s="60" t="str">
        <f>IF(P3836&lt;&gt;"",
    IF(OR(O3836="", Q3836="", R3836=""),
        "Fill all the required columns",
        IFERROR(
            IF(OR(
                AND(R3836="Marine Protected", VLOOKUP(O3836, Reference!$A$2:$D$34, 4, FALSE) &lt;= P3836),
                AND(R3836="General Use", VLOOKUP(O3836, Reference!$A$2:$D$34, 3, FALSE) &lt;= P3836)
            ),
                "Exceeded",
                "OK"
            ),
            "No Regulation defined"
        )
    ),
    ""
)</f>
        <v/>
      </c>
      <c r="AB3836" s="62" t="str">
        <f t="shared" si="59"/>
        <v/>
      </c>
    </row>
    <row r="3837" spans="20:28" x14ac:dyDescent="0.2">
      <c r="T3837" s="60" t="str">
        <f>IF(P3837&lt;&gt;"",
    IF(OR(O3837="", Q3837="", R3837=""),
        "Fill all the required columns",
        IFERROR(
            IF(OR(
                AND(R3837="Marine Protected", VLOOKUP(O3837, Reference!$A$2:$D$34, 4, FALSE) &lt;= P3837),
                AND(R3837="General Use", VLOOKUP(O3837, Reference!$A$2:$D$34, 3, FALSE) &lt;= P3837)
            ),
                "Exceeded",
                "OK"
            ),
            "No Regulation defined"
        )
    ),
    ""
)</f>
        <v/>
      </c>
      <c r="AB3837" s="62" t="str">
        <f t="shared" si="59"/>
        <v/>
      </c>
    </row>
    <row r="3838" spans="20:28" x14ac:dyDescent="0.2">
      <c r="T3838" s="60" t="str">
        <f>IF(P3838&lt;&gt;"",
    IF(OR(O3838="", Q3838="", R3838=""),
        "Fill all the required columns",
        IFERROR(
            IF(OR(
                AND(R3838="Marine Protected", VLOOKUP(O3838, Reference!$A$2:$D$34, 4, FALSE) &lt;= P3838),
                AND(R3838="General Use", VLOOKUP(O3838, Reference!$A$2:$D$34, 3, FALSE) &lt;= P3838)
            ),
                "Exceeded",
                "OK"
            ),
            "No Regulation defined"
        )
    ),
    ""
)</f>
        <v/>
      </c>
      <c r="AB3838" s="62" t="str">
        <f t="shared" si="59"/>
        <v/>
      </c>
    </row>
    <row r="3839" spans="20:28" x14ac:dyDescent="0.2">
      <c r="T3839" s="60" t="str">
        <f>IF(P3839&lt;&gt;"",
    IF(OR(O3839="", Q3839="", R3839=""),
        "Fill all the required columns",
        IFERROR(
            IF(OR(
                AND(R3839="Marine Protected", VLOOKUP(O3839, Reference!$A$2:$D$34, 4, FALSE) &lt;= P3839),
                AND(R3839="General Use", VLOOKUP(O3839, Reference!$A$2:$D$34, 3, FALSE) &lt;= P3839)
            ),
                "Exceeded",
                "OK"
            ),
            "No Regulation defined"
        )
    ),
    ""
)</f>
        <v/>
      </c>
      <c r="AB3839" s="62" t="str">
        <f t="shared" si="59"/>
        <v/>
      </c>
    </row>
    <row r="3840" spans="20:28" x14ac:dyDescent="0.2">
      <c r="T3840" s="60" t="str">
        <f>IF(P3840&lt;&gt;"",
    IF(OR(O3840="", Q3840="", R3840=""),
        "Fill all the required columns",
        IFERROR(
            IF(OR(
                AND(R3840="Marine Protected", VLOOKUP(O3840, Reference!$A$2:$D$34, 4, FALSE) &lt;= P3840),
                AND(R3840="General Use", VLOOKUP(O3840, Reference!$A$2:$D$34, 3, FALSE) &lt;= P3840)
            ),
                "Exceeded",
                "OK"
            ),
            "No Regulation defined"
        )
    ),
    ""
)</f>
        <v/>
      </c>
      <c r="AB3840" s="62" t="str">
        <f t="shared" si="59"/>
        <v/>
      </c>
    </row>
    <row r="3841" spans="20:28" x14ac:dyDescent="0.2">
      <c r="T3841" s="60" t="str">
        <f>IF(P3841&lt;&gt;"",
    IF(OR(O3841="", Q3841="", R3841=""),
        "Fill all the required columns",
        IFERROR(
            IF(OR(
                AND(R3841="Marine Protected", VLOOKUP(O3841, Reference!$A$2:$D$34, 4, FALSE) &lt;= P3841),
                AND(R3841="General Use", VLOOKUP(O3841, Reference!$A$2:$D$34, 3, FALSE) &lt;= P3841)
            ),
                "Exceeded",
                "OK"
            ),
            "No Regulation defined"
        )
    ),
    ""
)</f>
        <v/>
      </c>
      <c r="AB3841" s="62" t="str">
        <f t="shared" si="59"/>
        <v/>
      </c>
    </row>
    <row r="3842" spans="20:28" x14ac:dyDescent="0.2">
      <c r="T3842" s="60" t="str">
        <f>IF(P3842&lt;&gt;"",
    IF(OR(O3842="", Q3842="", R3842=""),
        "Fill all the required columns",
        IFERROR(
            IF(OR(
                AND(R3842="Marine Protected", VLOOKUP(O3842, Reference!$A$2:$D$34, 4, FALSE) &lt;= P3842),
                AND(R3842="General Use", VLOOKUP(O3842, Reference!$A$2:$D$34, 3, FALSE) &lt;= P3842)
            ),
                "Exceeded",
                "OK"
            ),
            "No Regulation defined"
        )
    ),
    ""
)</f>
        <v/>
      </c>
      <c r="AB3842" s="62" t="str">
        <f t="shared" si="59"/>
        <v/>
      </c>
    </row>
    <row r="3843" spans="20:28" x14ac:dyDescent="0.2">
      <c r="T3843" s="60" t="str">
        <f>IF(P3843&lt;&gt;"",
    IF(OR(O3843="", Q3843="", R3843=""),
        "Fill all the required columns",
        IFERROR(
            IF(OR(
                AND(R3843="Marine Protected", VLOOKUP(O3843, Reference!$A$2:$D$34, 4, FALSE) &lt;= P3843),
                AND(R3843="General Use", VLOOKUP(O3843, Reference!$A$2:$D$34, 3, FALSE) &lt;= P3843)
            ),
                "Exceeded",
                "OK"
            ),
            "No Regulation defined"
        )
    ),
    ""
)</f>
        <v/>
      </c>
      <c r="AB3843" s="62" t="str">
        <f t="shared" ref="AB3843:AB3906" si="60">IF(COUNTA(A3843, E3843, F3843, H3843, I3843, O3843, P3843, Q3843, R3843,S3843) = 0, "", IF(COUNTA(A3843, E3843, F3843, H3843, I3843, O3843, P3843, Q3843, R3843,S3843) = 10, "OK", "Incomplete"))</f>
        <v/>
      </c>
    </row>
    <row r="3844" spans="20:28" x14ac:dyDescent="0.2">
      <c r="T3844" s="60" t="str">
        <f>IF(P3844&lt;&gt;"",
    IF(OR(O3844="", Q3844="", R3844=""),
        "Fill all the required columns",
        IFERROR(
            IF(OR(
                AND(R3844="Marine Protected", VLOOKUP(O3844, Reference!$A$2:$D$34, 4, FALSE) &lt;= P3844),
                AND(R3844="General Use", VLOOKUP(O3844, Reference!$A$2:$D$34, 3, FALSE) &lt;= P3844)
            ),
                "Exceeded",
                "OK"
            ),
            "No Regulation defined"
        )
    ),
    ""
)</f>
        <v/>
      </c>
      <c r="AB3844" s="62" t="str">
        <f t="shared" si="60"/>
        <v/>
      </c>
    </row>
    <row r="3845" spans="20:28" x14ac:dyDescent="0.2">
      <c r="T3845" s="60" t="str">
        <f>IF(P3845&lt;&gt;"",
    IF(OR(O3845="", Q3845="", R3845=""),
        "Fill all the required columns",
        IFERROR(
            IF(OR(
                AND(R3845="Marine Protected", VLOOKUP(O3845, Reference!$A$2:$D$34, 4, FALSE) &lt;= P3845),
                AND(R3845="General Use", VLOOKUP(O3845, Reference!$A$2:$D$34, 3, FALSE) &lt;= P3845)
            ),
                "Exceeded",
                "OK"
            ),
            "No Regulation defined"
        )
    ),
    ""
)</f>
        <v/>
      </c>
      <c r="AB3845" s="62" t="str">
        <f t="shared" si="60"/>
        <v/>
      </c>
    </row>
    <row r="3846" spans="20:28" x14ac:dyDescent="0.2">
      <c r="T3846" s="60" t="str">
        <f>IF(P3846&lt;&gt;"",
    IF(OR(O3846="", Q3846="", R3846=""),
        "Fill all the required columns",
        IFERROR(
            IF(OR(
                AND(R3846="Marine Protected", VLOOKUP(O3846, Reference!$A$2:$D$34, 4, FALSE) &lt;= P3846),
                AND(R3846="General Use", VLOOKUP(O3846, Reference!$A$2:$D$34, 3, FALSE) &lt;= P3846)
            ),
                "Exceeded",
                "OK"
            ),
            "No Regulation defined"
        )
    ),
    ""
)</f>
        <v/>
      </c>
      <c r="AB3846" s="62" t="str">
        <f t="shared" si="60"/>
        <v/>
      </c>
    </row>
    <row r="3847" spans="20:28" x14ac:dyDescent="0.2">
      <c r="T3847" s="60" t="str">
        <f>IF(P3847&lt;&gt;"",
    IF(OR(O3847="", Q3847="", R3847=""),
        "Fill all the required columns",
        IFERROR(
            IF(OR(
                AND(R3847="Marine Protected", VLOOKUP(O3847, Reference!$A$2:$D$34, 4, FALSE) &lt;= P3847),
                AND(R3847="General Use", VLOOKUP(O3847, Reference!$A$2:$D$34, 3, FALSE) &lt;= P3847)
            ),
                "Exceeded",
                "OK"
            ),
            "No Regulation defined"
        )
    ),
    ""
)</f>
        <v/>
      </c>
      <c r="AB3847" s="62" t="str">
        <f t="shared" si="60"/>
        <v/>
      </c>
    </row>
    <row r="3848" spans="20:28" x14ac:dyDescent="0.2">
      <c r="T3848" s="60" t="str">
        <f>IF(P3848&lt;&gt;"",
    IF(OR(O3848="", Q3848="", R3848=""),
        "Fill all the required columns",
        IFERROR(
            IF(OR(
                AND(R3848="Marine Protected", VLOOKUP(O3848, Reference!$A$2:$D$34, 4, FALSE) &lt;= P3848),
                AND(R3848="General Use", VLOOKUP(O3848, Reference!$A$2:$D$34, 3, FALSE) &lt;= P3848)
            ),
                "Exceeded",
                "OK"
            ),
            "No Regulation defined"
        )
    ),
    ""
)</f>
        <v/>
      </c>
      <c r="AB3848" s="62" t="str">
        <f t="shared" si="60"/>
        <v/>
      </c>
    </row>
    <row r="3849" spans="20:28" x14ac:dyDescent="0.2">
      <c r="T3849" s="60" t="str">
        <f>IF(P3849&lt;&gt;"",
    IF(OR(O3849="", Q3849="", R3849=""),
        "Fill all the required columns",
        IFERROR(
            IF(OR(
                AND(R3849="Marine Protected", VLOOKUP(O3849, Reference!$A$2:$D$34, 4, FALSE) &lt;= P3849),
                AND(R3849="General Use", VLOOKUP(O3849, Reference!$A$2:$D$34, 3, FALSE) &lt;= P3849)
            ),
                "Exceeded",
                "OK"
            ),
            "No Regulation defined"
        )
    ),
    ""
)</f>
        <v/>
      </c>
      <c r="AB3849" s="62" t="str">
        <f t="shared" si="60"/>
        <v/>
      </c>
    </row>
    <row r="3850" spans="20:28" x14ac:dyDescent="0.2">
      <c r="T3850" s="60" t="str">
        <f>IF(P3850&lt;&gt;"",
    IF(OR(O3850="", Q3850="", R3850=""),
        "Fill all the required columns",
        IFERROR(
            IF(OR(
                AND(R3850="Marine Protected", VLOOKUP(O3850, Reference!$A$2:$D$34, 4, FALSE) &lt;= P3850),
                AND(R3850="General Use", VLOOKUP(O3850, Reference!$A$2:$D$34, 3, FALSE) &lt;= P3850)
            ),
                "Exceeded",
                "OK"
            ),
            "No Regulation defined"
        )
    ),
    ""
)</f>
        <v/>
      </c>
      <c r="AB3850" s="62" t="str">
        <f t="shared" si="60"/>
        <v/>
      </c>
    </row>
    <row r="3851" spans="20:28" x14ac:dyDescent="0.2">
      <c r="T3851" s="60" t="str">
        <f>IF(P3851&lt;&gt;"",
    IF(OR(O3851="", Q3851="", R3851=""),
        "Fill all the required columns",
        IFERROR(
            IF(OR(
                AND(R3851="Marine Protected", VLOOKUP(O3851, Reference!$A$2:$D$34, 4, FALSE) &lt;= P3851),
                AND(R3851="General Use", VLOOKUP(O3851, Reference!$A$2:$D$34, 3, FALSE) &lt;= P3851)
            ),
                "Exceeded",
                "OK"
            ),
            "No Regulation defined"
        )
    ),
    ""
)</f>
        <v/>
      </c>
      <c r="AB3851" s="62" t="str">
        <f t="shared" si="60"/>
        <v/>
      </c>
    </row>
    <row r="3852" spans="20:28" x14ac:dyDescent="0.2">
      <c r="T3852" s="60" t="str">
        <f>IF(P3852&lt;&gt;"",
    IF(OR(O3852="", Q3852="", R3852=""),
        "Fill all the required columns",
        IFERROR(
            IF(OR(
                AND(R3852="Marine Protected", VLOOKUP(O3852, Reference!$A$2:$D$34, 4, FALSE) &lt;= P3852),
                AND(R3852="General Use", VLOOKUP(O3852, Reference!$A$2:$D$34, 3, FALSE) &lt;= P3852)
            ),
                "Exceeded",
                "OK"
            ),
            "No Regulation defined"
        )
    ),
    ""
)</f>
        <v/>
      </c>
      <c r="AB3852" s="62" t="str">
        <f t="shared" si="60"/>
        <v/>
      </c>
    </row>
    <row r="3853" spans="20:28" x14ac:dyDescent="0.2">
      <c r="T3853" s="60" t="str">
        <f>IF(P3853&lt;&gt;"",
    IF(OR(O3853="", Q3853="", R3853=""),
        "Fill all the required columns",
        IFERROR(
            IF(OR(
                AND(R3853="Marine Protected", VLOOKUP(O3853, Reference!$A$2:$D$34, 4, FALSE) &lt;= P3853),
                AND(R3853="General Use", VLOOKUP(O3853, Reference!$A$2:$D$34, 3, FALSE) &lt;= P3853)
            ),
                "Exceeded",
                "OK"
            ),
            "No Regulation defined"
        )
    ),
    ""
)</f>
        <v/>
      </c>
      <c r="AB3853" s="62" t="str">
        <f t="shared" si="60"/>
        <v/>
      </c>
    </row>
    <row r="3854" spans="20:28" x14ac:dyDescent="0.2">
      <c r="T3854" s="60" t="str">
        <f>IF(P3854&lt;&gt;"",
    IF(OR(O3854="", Q3854="", R3854=""),
        "Fill all the required columns",
        IFERROR(
            IF(OR(
                AND(R3854="Marine Protected", VLOOKUP(O3854, Reference!$A$2:$D$34, 4, FALSE) &lt;= P3854),
                AND(R3854="General Use", VLOOKUP(O3854, Reference!$A$2:$D$34, 3, FALSE) &lt;= P3854)
            ),
                "Exceeded",
                "OK"
            ),
            "No Regulation defined"
        )
    ),
    ""
)</f>
        <v/>
      </c>
      <c r="AB3854" s="62" t="str">
        <f t="shared" si="60"/>
        <v/>
      </c>
    </row>
    <row r="3855" spans="20:28" x14ac:dyDescent="0.2">
      <c r="T3855" s="60" t="str">
        <f>IF(P3855&lt;&gt;"",
    IF(OR(O3855="", Q3855="", R3855=""),
        "Fill all the required columns",
        IFERROR(
            IF(OR(
                AND(R3855="Marine Protected", VLOOKUP(O3855, Reference!$A$2:$D$34, 4, FALSE) &lt;= P3855),
                AND(R3855="General Use", VLOOKUP(O3855, Reference!$A$2:$D$34, 3, FALSE) &lt;= P3855)
            ),
                "Exceeded",
                "OK"
            ),
            "No Regulation defined"
        )
    ),
    ""
)</f>
        <v/>
      </c>
      <c r="AB3855" s="62" t="str">
        <f t="shared" si="60"/>
        <v/>
      </c>
    </row>
    <row r="3856" spans="20:28" x14ac:dyDescent="0.2">
      <c r="T3856" s="60" t="str">
        <f>IF(P3856&lt;&gt;"",
    IF(OR(O3856="", Q3856="", R3856=""),
        "Fill all the required columns",
        IFERROR(
            IF(OR(
                AND(R3856="Marine Protected", VLOOKUP(O3856, Reference!$A$2:$D$34, 4, FALSE) &lt;= P3856),
                AND(R3856="General Use", VLOOKUP(O3856, Reference!$A$2:$D$34, 3, FALSE) &lt;= P3856)
            ),
                "Exceeded",
                "OK"
            ),
            "No Regulation defined"
        )
    ),
    ""
)</f>
        <v/>
      </c>
      <c r="AB3856" s="62" t="str">
        <f t="shared" si="60"/>
        <v/>
      </c>
    </row>
    <row r="3857" spans="20:28" x14ac:dyDescent="0.2">
      <c r="T3857" s="60" t="str">
        <f>IF(P3857&lt;&gt;"",
    IF(OR(O3857="", Q3857="", R3857=""),
        "Fill all the required columns",
        IFERROR(
            IF(OR(
                AND(R3857="Marine Protected", VLOOKUP(O3857, Reference!$A$2:$D$34, 4, FALSE) &lt;= P3857),
                AND(R3857="General Use", VLOOKUP(O3857, Reference!$A$2:$D$34, 3, FALSE) &lt;= P3857)
            ),
                "Exceeded",
                "OK"
            ),
            "No Regulation defined"
        )
    ),
    ""
)</f>
        <v/>
      </c>
      <c r="AB3857" s="62" t="str">
        <f t="shared" si="60"/>
        <v/>
      </c>
    </row>
    <row r="3858" spans="20:28" x14ac:dyDescent="0.2">
      <c r="T3858" s="60" t="str">
        <f>IF(P3858&lt;&gt;"",
    IF(OR(O3858="", Q3858="", R3858=""),
        "Fill all the required columns",
        IFERROR(
            IF(OR(
                AND(R3858="Marine Protected", VLOOKUP(O3858, Reference!$A$2:$D$34, 4, FALSE) &lt;= P3858),
                AND(R3858="General Use", VLOOKUP(O3858, Reference!$A$2:$D$34, 3, FALSE) &lt;= P3858)
            ),
                "Exceeded",
                "OK"
            ),
            "No Regulation defined"
        )
    ),
    ""
)</f>
        <v/>
      </c>
      <c r="AB3858" s="62" t="str">
        <f t="shared" si="60"/>
        <v/>
      </c>
    </row>
    <row r="3859" spans="20:28" x14ac:dyDescent="0.2">
      <c r="T3859" s="60" t="str">
        <f>IF(P3859&lt;&gt;"",
    IF(OR(O3859="", Q3859="", R3859=""),
        "Fill all the required columns",
        IFERROR(
            IF(OR(
                AND(R3859="Marine Protected", VLOOKUP(O3859, Reference!$A$2:$D$34, 4, FALSE) &lt;= P3859),
                AND(R3859="General Use", VLOOKUP(O3859, Reference!$A$2:$D$34, 3, FALSE) &lt;= P3859)
            ),
                "Exceeded",
                "OK"
            ),
            "No Regulation defined"
        )
    ),
    ""
)</f>
        <v/>
      </c>
      <c r="AB3859" s="62" t="str">
        <f t="shared" si="60"/>
        <v/>
      </c>
    </row>
    <row r="3860" spans="20:28" x14ac:dyDescent="0.2">
      <c r="T3860" s="60" t="str">
        <f>IF(P3860&lt;&gt;"",
    IF(OR(O3860="", Q3860="", R3860=""),
        "Fill all the required columns",
        IFERROR(
            IF(OR(
                AND(R3860="Marine Protected", VLOOKUP(O3860, Reference!$A$2:$D$34, 4, FALSE) &lt;= P3860),
                AND(R3860="General Use", VLOOKUP(O3860, Reference!$A$2:$D$34, 3, FALSE) &lt;= P3860)
            ),
                "Exceeded",
                "OK"
            ),
            "No Regulation defined"
        )
    ),
    ""
)</f>
        <v/>
      </c>
      <c r="AB3860" s="62" t="str">
        <f t="shared" si="60"/>
        <v/>
      </c>
    </row>
    <row r="3861" spans="20:28" x14ac:dyDescent="0.2">
      <c r="T3861" s="60" t="str">
        <f>IF(P3861&lt;&gt;"",
    IF(OR(O3861="", Q3861="", R3861=""),
        "Fill all the required columns",
        IFERROR(
            IF(OR(
                AND(R3861="Marine Protected", VLOOKUP(O3861, Reference!$A$2:$D$34, 4, FALSE) &lt;= P3861),
                AND(R3861="General Use", VLOOKUP(O3861, Reference!$A$2:$D$34, 3, FALSE) &lt;= P3861)
            ),
                "Exceeded",
                "OK"
            ),
            "No Regulation defined"
        )
    ),
    ""
)</f>
        <v/>
      </c>
      <c r="AB3861" s="62" t="str">
        <f t="shared" si="60"/>
        <v/>
      </c>
    </row>
    <row r="3862" spans="20:28" x14ac:dyDescent="0.2">
      <c r="T3862" s="60" t="str">
        <f>IF(P3862&lt;&gt;"",
    IF(OR(O3862="", Q3862="", R3862=""),
        "Fill all the required columns",
        IFERROR(
            IF(OR(
                AND(R3862="Marine Protected", VLOOKUP(O3862, Reference!$A$2:$D$34, 4, FALSE) &lt;= P3862),
                AND(R3862="General Use", VLOOKUP(O3862, Reference!$A$2:$D$34, 3, FALSE) &lt;= P3862)
            ),
                "Exceeded",
                "OK"
            ),
            "No Regulation defined"
        )
    ),
    ""
)</f>
        <v/>
      </c>
      <c r="AB3862" s="62" t="str">
        <f t="shared" si="60"/>
        <v/>
      </c>
    </row>
    <row r="3863" spans="20:28" x14ac:dyDescent="0.2">
      <c r="T3863" s="60" t="str">
        <f>IF(P3863&lt;&gt;"",
    IF(OR(O3863="", Q3863="", R3863=""),
        "Fill all the required columns",
        IFERROR(
            IF(OR(
                AND(R3863="Marine Protected", VLOOKUP(O3863, Reference!$A$2:$D$34, 4, FALSE) &lt;= P3863),
                AND(R3863="General Use", VLOOKUP(O3863, Reference!$A$2:$D$34, 3, FALSE) &lt;= P3863)
            ),
                "Exceeded",
                "OK"
            ),
            "No Regulation defined"
        )
    ),
    ""
)</f>
        <v/>
      </c>
      <c r="AB3863" s="62" t="str">
        <f t="shared" si="60"/>
        <v/>
      </c>
    </row>
    <row r="3864" spans="20:28" x14ac:dyDescent="0.2">
      <c r="T3864" s="60" t="str">
        <f>IF(P3864&lt;&gt;"",
    IF(OR(O3864="", Q3864="", R3864=""),
        "Fill all the required columns",
        IFERROR(
            IF(OR(
                AND(R3864="Marine Protected", VLOOKUP(O3864, Reference!$A$2:$D$34, 4, FALSE) &lt;= P3864),
                AND(R3864="General Use", VLOOKUP(O3864, Reference!$A$2:$D$34, 3, FALSE) &lt;= P3864)
            ),
                "Exceeded",
                "OK"
            ),
            "No Regulation defined"
        )
    ),
    ""
)</f>
        <v/>
      </c>
      <c r="AB3864" s="62" t="str">
        <f t="shared" si="60"/>
        <v/>
      </c>
    </row>
    <row r="3865" spans="20:28" x14ac:dyDescent="0.2">
      <c r="T3865" s="60" t="str">
        <f>IF(P3865&lt;&gt;"",
    IF(OR(O3865="", Q3865="", R3865=""),
        "Fill all the required columns",
        IFERROR(
            IF(OR(
                AND(R3865="Marine Protected", VLOOKUP(O3865, Reference!$A$2:$D$34, 4, FALSE) &lt;= P3865),
                AND(R3865="General Use", VLOOKUP(O3865, Reference!$A$2:$D$34, 3, FALSE) &lt;= P3865)
            ),
                "Exceeded",
                "OK"
            ),
            "No Regulation defined"
        )
    ),
    ""
)</f>
        <v/>
      </c>
      <c r="AB3865" s="62" t="str">
        <f t="shared" si="60"/>
        <v/>
      </c>
    </row>
    <row r="3866" spans="20:28" x14ac:dyDescent="0.2">
      <c r="T3866" s="60" t="str">
        <f>IF(P3866&lt;&gt;"",
    IF(OR(O3866="", Q3866="", R3866=""),
        "Fill all the required columns",
        IFERROR(
            IF(OR(
                AND(R3866="Marine Protected", VLOOKUP(O3866, Reference!$A$2:$D$34, 4, FALSE) &lt;= P3866),
                AND(R3866="General Use", VLOOKUP(O3866, Reference!$A$2:$D$34, 3, FALSE) &lt;= P3866)
            ),
                "Exceeded",
                "OK"
            ),
            "No Regulation defined"
        )
    ),
    ""
)</f>
        <v/>
      </c>
      <c r="AB3866" s="62" t="str">
        <f t="shared" si="60"/>
        <v/>
      </c>
    </row>
    <row r="3867" spans="20:28" x14ac:dyDescent="0.2">
      <c r="T3867" s="60" t="str">
        <f>IF(P3867&lt;&gt;"",
    IF(OR(O3867="", Q3867="", R3867=""),
        "Fill all the required columns",
        IFERROR(
            IF(OR(
                AND(R3867="Marine Protected", VLOOKUP(O3867, Reference!$A$2:$D$34, 4, FALSE) &lt;= P3867),
                AND(R3867="General Use", VLOOKUP(O3867, Reference!$A$2:$D$34, 3, FALSE) &lt;= P3867)
            ),
                "Exceeded",
                "OK"
            ),
            "No Regulation defined"
        )
    ),
    ""
)</f>
        <v/>
      </c>
      <c r="AB3867" s="62" t="str">
        <f t="shared" si="60"/>
        <v/>
      </c>
    </row>
    <row r="3868" spans="20:28" x14ac:dyDescent="0.2">
      <c r="T3868" s="60" t="str">
        <f>IF(P3868&lt;&gt;"",
    IF(OR(O3868="", Q3868="", R3868=""),
        "Fill all the required columns",
        IFERROR(
            IF(OR(
                AND(R3868="Marine Protected", VLOOKUP(O3868, Reference!$A$2:$D$34, 4, FALSE) &lt;= P3868),
                AND(R3868="General Use", VLOOKUP(O3868, Reference!$A$2:$D$34, 3, FALSE) &lt;= P3868)
            ),
                "Exceeded",
                "OK"
            ),
            "No Regulation defined"
        )
    ),
    ""
)</f>
        <v/>
      </c>
      <c r="AB3868" s="62" t="str">
        <f t="shared" si="60"/>
        <v/>
      </c>
    </row>
    <row r="3869" spans="20:28" x14ac:dyDescent="0.2">
      <c r="T3869" s="60" t="str">
        <f>IF(P3869&lt;&gt;"",
    IF(OR(O3869="", Q3869="", R3869=""),
        "Fill all the required columns",
        IFERROR(
            IF(OR(
                AND(R3869="Marine Protected", VLOOKUP(O3869, Reference!$A$2:$D$34, 4, FALSE) &lt;= P3869),
                AND(R3869="General Use", VLOOKUP(O3869, Reference!$A$2:$D$34, 3, FALSE) &lt;= P3869)
            ),
                "Exceeded",
                "OK"
            ),
            "No Regulation defined"
        )
    ),
    ""
)</f>
        <v/>
      </c>
      <c r="AB3869" s="62" t="str">
        <f t="shared" si="60"/>
        <v/>
      </c>
    </row>
    <row r="3870" spans="20:28" x14ac:dyDescent="0.2">
      <c r="T3870" s="60" t="str">
        <f>IF(P3870&lt;&gt;"",
    IF(OR(O3870="", Q3870="", R3870=""),
        "Fill all the required columns",
        IFERROR(
            IF(OR(
                AND(R3870="Marine Protected", VLOOKUP(O3870, Reference!$A$2:$D$34, 4, FALSE) &lt;= P3870),
                AND(R3870="General Use", VLOOKUP(O3870, Reference!$A$2:$D$34, 3, FALSE) &lt;= P3870)
            ),
                "Exceeded",
                "OK"
            ),
            "No Regulation defined"
        )
    ),
    ""
)</f>
        <v/>
      </c>
      <c r="AB3870" s="62" t="str">
        <f t="shared" si="60"/>
        <v/>
      </c>
    </row>
    <row r="3871" spans="20:28" x14ac:dyDescent="0.2">
      <c r="T3871" s="60" t="str">
        <f>IF(P3871&lt;&gt;"",
    IF(OR(O3871="", Q3871="", R3871=""),
        "Fill all the required columns",
        IFERROR(
            IF(OR(
                AND(R3871="Marine Protected", VLOOKUP(O3871, Reference!$A$2:$D$34, 4, FALSE) &lt;= P3871),
                AND(R3871="General Use", VLOOKUP(O3871, Reference!$A$2:$D$34, 3, FALSE) &lt;= P3871)
            ),
                "Exceeded",
                "OK"
            ),
            "No Regulation defined"
        )
    ),
    ""
)</f>
        <v/>
      </c>
      <c r="AB3871" s="62" t="str">
        <f t="shared" si="60"/>
        <v/>
      </c>
    </row>
    <row r="3872" spans="20:28" x14ac:dyDescent="0.2">
      <c r="T3872" s="60" t="str">
        <f>IF(P3872&lt;&gt;"",
    IF(OR(O3872="", Q3872="", R3872=""),
        "Fill all the required columns",
        IFERROR(
            IF(OR(
                AND(R3872="Marine Protected", VLOOKUP(O3872, Reference!$A$2:$D$34, 4, FALSE) &lt;= P3872),
                AND(R3872="General Use", VLOOKUP(O3872, Reference!$A$2:$D$34, 3, FALSE) &lt;= P3872)
            ),
                "Exceeded",
                "OK"
            ),
            "No Regulation defined"
        )
    ),
    ""
)</f>
        <v/>
      </c>
      <c r="AB3872" s="62" t="str">
        <f t="shared" si="60"/>
        <v/>
      </c>
    </row>
    <row r="3873" spans="20:28" x14ac:dyDescent="0.2">
      <c r="T3873" s="60" t="str">
        <f>IF(P3873&lt;&gt;"",
    IF(OR(O3873="", Q3873="", R3873=""),
        "Fill all the required columns",
        IFERROR(
            IF(OR(
                AND(R3873="Marine Protected", VLOOKUP(O3873, Reference!$A$2:$D$34, 4, FALSE) &lt;= P3873),
                AND(R3873="General Use", VLOOKUP(O3873, Reference!$A$2:$D$34, 3, FALSE) &lt;= P3873)
            ),
                "Exceeded",
                "OK"
            ),
            "No Regulation defined"
        )
    ),
    ""
)</f>
        <v/>
      </c>
      <c r="AB3873" s="62" t="str">
        <f t="shared" si="60"/>
        <v/>
      </c>
    </row>
    <row r="3874" spans="20:28" x14ac:dyDescent="0.2">
      <c r="T3874" s="60" t="str">
        <f>IF(P3874&lt;&gt;"",
    IF(OR(O3874="", Q3874="", R3874=""),
        "Fill all the required columns",
        IFERROR(
            IF(OR(
                AND(R3874="Marine Protected", VLOOKUP(O3874, Reference!$A$2:$D$34, 4, FALSE) &lt;= P3874),
                AND(R3874="General Use", VLOOKUP(O3874, Reference!$A$2:$D$34, 3, FALSE) &lt;= P3874)
            ),
                "Exceeded",
                "OK"
            ),
            "No Regulation defined"
        )
    ),
    ""
)</f>
        <v/>
      </c>
      <c r="AB3874" s="62" t="str">
        <f t="shared" si="60"/>
        <v/>
      </c>
    </row>
    <row r="3875" spans="20:28" x14ac:dyDescent="0.2">
      <c r="T3875" s="60" t="str">
        <f>IF(P3875&lt;&gt;"",
    IF(OR(O3875="", Q3875="", R3875=""),
        "Fill all the required columns",
        IFERROR(
            IF(OR(
                AND(R3875="Marine Protected", VLOOKUP(O3875, Reference!$A$2:$D$34, 4, FALSE) &lt;= P3875),
                AND(R3875="General Use", VLOOKUP(O3875, Reference!$A$2:$D$34, 3, FALSE) &lt;= P3875)
            ),
                "Exceeded",
                "OK"
            ),
            "No Regulation defined"
        )
    ),
    ""
)</f>
        <v/>
      </c>
      <c r="AB3875" s="62" t="str">
        <f t="shared" si="60"/>
        <v/>
      </c>
    </row>
    <row r="3876" spans="20:28" x14ac:dyDescent="0.2">
      <c r="T3876" s="60" t="str">
        <f>IF(P3876&lt;&gt;"",
    IF(OR(O3876="", Q3876="", R3876=""),
        "Fill all the required columns",
        IFERROR(
            IF(OR(
                AND(R3876="Marine Protected", VLOOKUP(O3876, Reference!$A$2:$D$34, 4, FALSE) &lt;= P3876),
                AND(R3876="General Use", VLOOKUP(O3876, Reference!$A$2:$D$34, 3, FALSE) &lt;= P3876)
            ),
                "Exceeded",
                "OK"
            ),
            "No Regulation defined"
        )
    ),
    ""
)</f>
        <v/>
      </c>
      <c r="AB3876" s="62" t="str">
        <f t="shared" si="60"/>
        <v/>
      </c>
    </row>
    <row r="3877" spans="20:28" x14ac:dyDescent="0.2">
      <c r="T3877" s="60" t="str">
        <f>IF(P3877&lt;&gt;"",
    IF(OR(O3877="", Q3877="", R3877=""),
        "Fill all the required columns",
        IFERROR(
            IF(OR(
                AND(R3877="Marine Protected", VLOOKUP(O3877, Reference!$A$2:$D$34, 4, FALSE) &lt;= P3877),
                AND(R3877="General Use", VLOOKUP(O3877, Reference!$A$2:$D$34, 3, FALSE) &lt;= P3877)
            ),
                "Exceeded",
                "OK"
            ),
            "No Regulation defined"
        )
    ),
    ""
)</f>
        <v/>
      </c>
      <c r="AB3877" s="62" t="str">
        <f t="shared" si="60"/>
        <v/>
      </c>
    </row>
    <row r="3878" spans="20:28" x14ac:dyDescent="0.2">
      <c r="T3878" s="60" t="str">
        <f>IF(P3878&lt;&gt;"",
    IF(OR(O3878="", Q3878="", R3878=""),
        "Fill all the required columns",
        IFERROR(
            IF(OR(
                AND(R3878="Marine Protected", VLOOKUP(O3878, Reference!$A$2:$D$34, 4, FALSE) &lt;= P3878),
                AND(R3878="General Use", VLOOKUP(O3878, Reference!$A$2:$D$34, 3, FALSE) &lt;= P3878)
            ),
                "Exceeded",
                "OK"
            ),
            "No Regulation defined"
        )
    ),
    ""
)</f>
        <v/>
      </c>
      <c r="AB3878" s="62" t="str">
        <f t="shared" si="60"/>
        <v/>
      </c>
    </row>
    <row r="3879" spans="20:28" x14ac:dyDescent="0.2">
      <c r="T3879" s="60" t="str">
        <f>IF(P3879&lt;&gt;"",
    IF(OR(O3879="", Q3879="", R3879=""),
        "Fill all the required columns",
        IFERROR(
            IF(OR(
                AND(R3879="Marine Protected", VLOOKUP(O3879, Reference!$A$2:$D$34, 4, FALSE) &lt;= P3879),
                AND(R3879="General Use", VLOOKUP(O3879, Reference!$A$2:$D$34, 3, FALSE) &lt;= P3879)
            ),
                "Exceeded",
                "OK"
            ),
            "No Regulation defined"
        )
    ),
    ""
)</f>
        <v/>
      </c>
      <c r="AB3879" s="62" t="str">
        <f t="shared" si="60"/>
        <v/>
      </c>
    </row>
    <row r="3880" spans="20:28" x14ac:dyDescent="0.2">
      <c r="T3880" s="60" t="str">
        <f>IF(P3880&lt;&gt;"",
    IF(OR(O3880="", Q3880="", R3880=""),
        "Fill all the required columns",
        IFERROR(
            IF(OR(
                AND(R3880="Marine Protected", VLOOKUP(O3880, Reference!$A$2:$D$34, 4, FALSE) &lt;= P3880),
                AND(R3880="General Use", VLOOKUP(O3880, Reference!$A$2:$D$34, 3, FALSE) &lt;= P3880)
            ),
                "Exceeded",
                "OK"
            ),
            "No Regulation defined"
        )
    ),
    ""
)</f>
        <v/>
      </c>
      <c r="AB3880" s="62" t="str">
        <f t="shared" si="60"/>
        <v/>
      </c>
    </row>
    <row r="3881" spans="20:28" x14ac:dyDescent="0.2">
      <c r="T3881" s="60" t="str">
        <f>IF(P3881&lt;&gt;"",
    IF(OR(O3881="", Q3881="", R3881=""),
        "Fill all the required columns",
        IFERROR(
            IF(OR(
                AND(R3881="Marine Protected", VLOOKUP(O3881, Reference!$A$2:$D$34, 4, FALSE) &lt;= P3881),
                AND(R3881="General Use", VLOOKUP(O3881, Reference!$A$2:$D$34, 3, FALSE) &lt;= P3881)
            ),
                "Exceeded",
                "OK"
            ),
            "No Regulation defined"
        )
    ),
    ""
)</f>
        <v/>
      </c>
      <c r="AB3881" s="62" t="str">
        <f t="shared" si="60"/>
        <v/>
      </c>
    </row>
    <row r="3882" spans="20:28" x14ac:dyDescent="0.2">
      <c r="T3882" s="60" t="str">
        <f>IF(P3882&lt;&gt;"",
    IF(OR(O3882="", Q3882="", R3882=""),
        "Fill all the required columns",
        IFERROR(
            IF(OR(
                AND(R3882="Marine Protected", VLOOKUP(O3882, Reference!$A$2:$D$34, 4, FALSE) &lt;= P3882),
                AND(R3882="General Use", VLOOKUP(O3882, Reference!$A$2:$D$34, 3, FALSE) &lt;= P3882)
            ),
                "Exceeded",
                "OK"
            ),
            "No Regulation defined"
        )
    ),
    ""
)</f>
        <v/>
      </c>
      <c r="AB3882" s="62" t="str">
        <f t="shared" si="60"/>
        <v/>
      </c>
    </row>
    <row r="3883" spans="20:28" x14ac:dyDescent="0.2">
      <c r="T3883" s="60" t="str">
        <f>IF(P3883&lt;&gt;"",
    IF(OR(O3883="", Q3883="", R3883=""),
        "Fill all the required columns",
        IFERROR(
            IF(OR(
                AND(R3883="Marine Protected", VLOOKUP(O3883, Reference!$A$2:$D$34, 4, FALSE) &lt;= P3883),
                AND(R3883="General Use", VLOOKUP(O3883, Reference!$A$2:$D$34, 3, FALSE) &lt;= P3883)
            ),
                "Exceeded",
                "OK"
            ),
            "No Regulation defined"
        )
    ),
    ""
)</f>
        <v/>
      </c>
      <c r="AB3883" s="62" t="str">
        <f t="shared" si="60"/>
        <v/>
      </c>
    </row>
    <row r="3884" spans="20:28" x14ac:dyDescent="0.2">
      <c r="T3884" s="60" t="str">
        <f>IF(P3884&lt;&gt;"",
    IF(OR(O3884="", Q3884="", R3884=""),
        "Fill all the required columns",
        IFERROR(
            IF(OR(
                AND(R3884="Marine Protected", VLOOKUP(O3884, Reference!$A$2:$D$34, 4, FALSE) &lt;= P3884),
                AND(R3884="General Use", VLOOKUP(O3884, Reference!$A$2:$D$34, 3, FALSE) &lt;= P3884)
            ),
                "Exceeded",
                "OK"
            ),
            "No Regulation defined"
        )
    ),
    ""
)</f>
        <v/>
      </c>
      <c r="AB3884" s="62" t="str">
        <f t="shared" si="60"/>
        <v/>
      </c>
    </row>
    <row r="3885" spans="20:28" x14ac:dyDescent="0.2">
      <c r="T3885" s="60" t="str">
        <f>IF(P3885&lt;&gt;"",
    IF(OR(O3885="", Q3885="", R3885=""),
        "Fill all the required columns",
        IFERROR(
            IF(OR(
                AND(R3885="Marine Protected", VLOOKUP(O3885, Reference!$A$2:$D$34, 4, FALSE) &lt;= P3885),
                AND(R3885="General Use", VLOOKUP(O3885, Reference!$A$2:$D$34, 3, FALSE) &lt;= P3885)
            ),
                "Exceeded",
                "OK"
            ),
            "No Regulation defined"
        )
    ),
    ""
)</f>
        <v/>
      </c>
      <c r="AB3885" s="62" t="str">
        <f t="shared" si="60"/>
        <v/>
      </c>
    </row>
    <row r="3886" spans="20:28" x14ac:dyDescent="0.2">
      <c r="T3886" s="60" t="str">
        <f>IF(P3886&lt;&gt;"",
    IF(OR(O3886="", Q3886="", R3886=""),
        "Fill all the required columns",
        IFERROR(
            IF(OR(
                AND(R3886="Marine Protected", VLOOKUP(O3886, Reference!$A$2:$D$34, 4, FALSE) &lt;= P3886),
                AND(R3886="General Use", VLOOKUP(O3886, Reference!$A$2:$D$34, 3, FALSE) &lt;= P3886)
            ),
                "Exceeded",
                "OK"
            ),
            "No Regulation defined"
        )
    ),
    ""
)</f>
        <v/>
      </c>
      <c r="AB3886" s="62" t="str">
        <f t="shared" si="60"/>
        <v/>
      </c>
    </row>
    <row r="3887" spans="20:28" x14ac:dyDescent="0.2">
      <c r="T3887" s="60" t="str">
        <f>IF(P3887&lt;&gt;"",
    IF(OR(O3887="", Q3887="", R3887=""),
        "Fill all the required columns",
        IFERROR(
            IF(OR(
                AND(R3887="Marine Protected", VLOOKUP(O3887, Reference!$A$2:$D$34, 4, FALSE) &lt;= P3887),
                AND(R3887="General Use", VLOOKUP(O3887, Reference!$A$2:$D$34, 3, FALSE) &lt;= P3887)
            ),
                "Exceeded",
                "OK"
            ),
            "No Regulation defined"
        )
    ),
    ""
)</f>
        <v/>
      </c>
      <c r="AB3887" s="62" t="str">
        <f t="shared" si="60"/>
        <v/>
      </c>
    </row>
    <row r="3888" spans="20:28" x14ac:dyDescent="0.2">
      <c r="T3888" s="60" t="str">
        <f>IF(P3888&lt;&gt;"",
    IF(OR(O3888="", Q3888="", R3888=""),
        "Fill all the required columns",
        IFERROR(
            IF(OR(
                AND(R3888="Marine Protected", VLOOKUP(O3888, Reference!$A$2:$D$34, 4, FALSE) &lt;= P3888),
                AND(R3888="General Use", VLOOKUP(O3888, Reference!$A$2:$D$34, 3, FALSE) &lt;= P3888)
            ),
                "Exceeded",
                "OK"
            ),
            "No Regulation defined"
        )
    ),
    ""
)</f>
        <v/>
      </c>
      <c r="AB3888" s="62" t="str">
        <f t="shared" si="60"/>
        <v/>
      </c>
    </row>
    <row r="3889" spans="20:28" x14ac:dyDescent="0.2">
      <c r="T3889" s="60" t="str">
        <f>IF(P3889&lt;&gt;"",
    IF(OR(O3889="", Q3889="", R3889=""),
        "Fill all the required columns",
        IFERROR(
            IF(OR(
                AND(R3889="Marine Protected", VLOOKUP(O3889, Reference!$A$2:$D$34, 4, FALSE) &lt;= P3889),
                AND(R3889="General Use", VLOOKUP(O3889, Reference!$A$2:$D$34, 3, FALSE) &lt;= P3889)
            ),
                "Exceeded",
                "OK"
            ),
            "No Regulation defined"
        )
    ),
    ""
)</f>
        <v/>
      </c>
      <c r="AB3889" s="62" t="str">
        <f t="shared" si="60"/>
        <v/>
      </c>
    </row>
    <row r="3890" spans="20:28" x14ac:dyDescent="0.2">
      <c r="T3890" s="60" t="str">
        <f>IF(P3890&lt;&gt;"",
    IF(OR(O3890="", Q3890="", R3890=""),
        "Fill all the required columns",
        IFERROR(
            IF(OR(
                AND(R3890="Marine Protected", VLOOKUP(O3890, Reference!$A$2:$D$34, 4, FALSE) &lt;= P3890),
                AND(R3890="General Use", VLOOKUP(O3890, Reference!$A$2:$D$34, 3, FALSE) &lt;= P3890)
            ),
                "Exceeded",
                "OK"
            ),
            "No Regulation defined"
        )
    ),
    ""
)</f>
        <v/>
      </c>
      <c r="AB3890" s="62" t="str">
        <f t="shared" si="60"/>
        <v/>
      </c>
    </row>
    <row r="3891" spans="20:28" x14ac:dyDescent="0.2">
      <c r="T3891" s="60" t="str">
        <f>IF(P3891&lt;&gt;"",
    IF(OR(O3891="", Q3891="", R3891=""),
        "Fill all the required columns",
        IFERROR(
            IF(OR(
                AND(R3891="Marine Protected", VLOOKUP(O3891, Reference!$A$2:$D$34, 4, FALSE) &lt;= P3891),
                AND(R3891="General Use", VLOOKUP(O3891, Reference!$A$2:$D$34, 3, FALSE) &lt;= P3891)
            ),
                "Exceeded",
                "OK"
            ),
            "No Regulation defined"
        )
    ),
    ""
)</f>
        <v/>
      </c>
      <c r="AB3891" s="62" t="str">
        <f t="shared" si="60"/>
        <v/>
      </c>
    </row>
    <row r="3892" spans="20:28" x14ac:dyDescent="0.2">
      <c r="T3892" s="60" t="str">
        <f>IF(P3892&lt;&gt;"",
    IF(OR(O3892="", Q3892="", R3892=""),
        "Fill all the required columns",
        IFERROR(
            IF(OR(
                AND(R3892="Marine Protected", VLOOKUP(O3892, Reference!$A$2:$D$34, 4, FALSE) &lt;= P3892),
                AND(R3892="General Use", VLOOKUP(O3892, Reference!$A$2:$D$34, 3, FALSE) &lt;= P3892)
            ),
                "Exceeded",
                "OK"
            ),
            "No Regulation defined"
        )
    ),
    ""
)</f>
        <v/>
      </c>
      <c r="AB3892" s="62" t="str">
        <f t="shared" si="60"/>
        <v/>
      </c>
    </row>
    <row r="3893" spans="20:28" x14ac:dyDescent="0.2">
      <c r="T3893" s="60" t="str">
        <f>IF(P3893&lt;&gt;"",
    IF(OR(O3893="", Q3893="", R3893=""),
        "Fill all the required columns",
        IFERROR(
            IF(OR(
                AND(R3893="Marine Protected", VLOOKUP(O3893, Reference!$A$2:$D$34, 4, FALSE) &lt;= P3893),
                AND(R3893="General Use", VLOOKUP(O3893, Reference!$A$2:$D$34, 3, FALSE) &lt;= P3893)
            ),
                "Exceeded",
                "OK"
            ),
            "No Regulation defined"
        )
    ),
    ""
)</f>
        <v/>
      </c>
      <c r="AB3893" s="62" t="str">
        <f t="shared" si="60"/>
        <v/>
      </c>
    </row>
    <row r="3894" spans="20:28" x14ac:dyDescent="0.2">
      <c r="T3894" s="60" t="str">
        <f>IF(P3894&lt;&gt;"",
    IF(OR(O3894="", Q3894="", R3894=""),
        "Fill all the required columns",
        IFERROR(
            IF(OR(
                AND(R3894="Marine Protected", VLOOKUP(O3894, Reference!$A$2:$D$34, 4, FALSE) &lt;= P3894),
                AND(R3894="General Use", VLOOKUP(O3894, Reference!$A$2:$D$34, 3, FALSE) &lt;= P3894)
            ),
                "Exceeded",
                "OK"
            ),
            "No Regulation defined"
        )
    ),
    ""
)</f>
        <v/>
      </c>
      <c r="AB3894" s="62" t="str">
        <f t="shared" si="60"/>
        <v/>
      </c>
    </row>
    <row r="3895" spans="20:28" x14ac:dyDescent="0.2">
      <c r="T3895" s="60" t="str">
        <f>IF(P3895&lt;&gt;"",
    IF(OR(O3895="", Q3895="", R3895=""),
        "Fill all the required columns",
        IFERROR(
            IF(OR(
                AND(R3895="Marine Protected", VLOOKUP(O3895, Reference!$A$2:$D$34, 4, FALSE) &lt;= P3895),
                AND(R3895="General Use", VLOOKUP(O3895, Reference!$A$2:$D$34, 3, FALSE) &lt;= P3895)
            ),
                "Exceeded",
                "OK"
            ),
            "No Regulation defined"
        )
    ),
    ""
)</f>
        <v/>
      </c>
      <c r="AB3895" s="62" t="str">
        <f t="shared" si="60"/>
        <v/>
      </c>
    </row>
    <row r="3896" spans="20:28" x14ac:dyDescent="0.2">
      <c r="T3896" s="60" t="str">
        <f>IF(P3896&lt;&gt;"",
    IF(OR(O3896="", Q3896="", R3896=""),
        "Fill all the required columns",
        IFERROR(
            IF(OR(
                AND(R3896="Marine Protected", VLOOKUP(O3896, Reference!$A$2:$D$34, 4, FALSE) &lt;= P3896),
                AND(R3896="General Use", VLOOKUP(O3896, Reference!$A$2:$D$34, 3, FALSE) &lt;= P3896)
            ),
                "Exceeded",
                "OK"
            ),
            "No Regulation defined"
        )
    ),
    ""
)</f>
        <v/>
      </c>
      <c r="AB3896" s="62" t="str">
        <f t="shared" si="60"/>
        <v/>
      </c>
    </row>
    <row r="3897" spans="20:28" x14ac:dyDescent="0.2">
      <c r="T3897" s="60" t="str">
        <f>IF(P3897&lt;&gt;"",
    IF(OR(O3897="", Q3897="", R3897=""),
        "Fill all the required columns",
        IFERROR(
            IF(OR(
                AND(R3897="Marine Protected", VLOOKUP(O3897, Reference!$A$2:$D$34, 4, FALSE) &lt;= P3897),
                AND(R3897="General Use", VLOOKUP(O3897, Reference!$A$2:$D$34, 3, FALSE) &lt;= P3897)
            ),
                "Exceeded",
                "OK"
            ),
            "No Regulation defined"
        )
    ),
    ""
)</f>
        <v/>
      </c>
      <c r="AB3897" s="62" t="str">
        <f t="shared" si="60"/>
        <v/>
      </c>
    </row>
    <row r="3898" spans="20:28" x14ac:dyDescent="0.2">
      <c r="T3898" s="60" t="str">
        <f>IF(P3898&lt;&gt;"",
    IF(OR(O3898="", Q3898="", R3898=""),
        "Fill all the required columns",
        IFERROR(
            IF(OR(
                AND(R3898="Marine Protected", VLOOKUP(O3898, Reference!$A$2:$D$34, 4, FALSE) &lt;= P3898),
                AND(R3898="General Use", VLOOKUP(O3898, Reference!$A$2:$D$34, 3, FALSE) &lt;= P3898)
            ),
                "Exceeded",
                "OK"
            ),
            "No Regulation defined"
        )
    ),
    ""
)</f>
        <v/>
      </c>
      <c r="AB3898" s="62" t="str">
        <f t="shared" si="60"/>
        <v/>
      </c>
    </row>
    <row r="3899" spans="20:28" x14ac:dyDescent="0.2">
      <c r="T3899" s="60" t="str">
        <f>IF(P3899&lt;&gt;"",
    IF(OR(O3899="", Q3899="", R3899=""),
        "Fill all the required columns",
        IFERROR(
            IF(OR(
                AND(R3899="Marine Protected", VLOOKUP(O3899, Reference!$A$2:$D$34, 4, FALSE) &lt;= P3899),
                AND(R3899="General Use", VLOOKUP(O3899, Reference!$A$2:$D$34, 3, FALSE) &lt;= P3899)
            ),
                "Exceeded",
                "OK"
            ),
            "No Regulation defined"
        )
    ),
    ""
)</f>
        <v/>
      </c>
      <c r="AB3899" s="62" t="str">
        <f t="shared" si="60"/>
        <v/>
      </c>
    </row>
    <row r="3900" spans="20:28" x14ac:dyDescent="0.2">
      <c r="T3900" s="60" t="str">
        <f>IF(P3900&lt;&gt;"",
    IF(OR(O3900="", Q3900="", R3900=""),
        "Fill all the required columns",
        IFERROR(
            IF(OR(
                AND(R3900="Marine Protected", VLOOKUP(O3900, Reference!$A$2:$D$34, 4, FALSE) &lt;= P3900),
                AND(R3900="General Use", VLOOKUP(O3900, Reference!$A$2:$D$34, 3, FALSE) &lt;= P3900)
            ),
                "Exceeded",
                "OK"
            ),
            "No Regulation defined"
        )
    ),
    ""
)</f>
        <v/>
      </c>
      <c r="AB3900" s="62" t="str">
        <f t="shared" si="60"/>
        <v/>
      </c>
    </row>
    <row r="3901" spans="20:28" x14ac:dyDescent="0.2">
      <c r="T3901" s="60" t="str">
        <f>IF(P3901&lt;&gt;"",
    IF(OR(O3901="", Q3901="", R3901=""),
        "Fill all the required columns",
        IFERROR(
            IF(OR(
                AND(R3901="Marine Protected", VLOOKUP(O3901, Reference!$A$2:$D$34, 4, FALSE) &lt;= P3901),
                AND(R3901="General Use", VLOOKUP(O3901, Reference!$A$2:$D$34, 3, FALSE) &lt;= P3901)
            ),
                "Exceeded",
                "OK"
            ),
            "No Regulation defined"
        )
    ),
    ""
)</f>
        <v/>
      </c>
      <c r="AB3901" s="62" t="str">
        <f t="shared" si="60"/>
        <v/>
      </c>
    </row>
    <row r="3902" spans="20:28" x14ac:dyDescent="0.2">
      <c r="T3902" s="60" t="str">
        <f>IF(P3902&lt;&gt;"",
    IF(OR(O3902="", Q3902="", R3902=""),
        "Fill all the required columns",
        IFERROR(
            IF(OR(
                AND(R3902="Marine Protected", VLOOKUP(O3902, Reference!$A$2:$D$34, 4, FALSE) &lt;= P3902),
                AND(R3902="General Use", VLOOKUP(O3902, Reference!$A$2:$D$34, 3, FALSE) &lt;= P3902)
            ),
                "Exceeded",
                "OK"
            ),
            "No Regulation defined"
        )
    ),
    ""
)</f>
        <v/>
      </c>
      <c r="AB3902" s="62" t="str">
        <f t="shared" si="60"/>
        <v/>
      </c>
    </row>
    <row r="3903" spans="20:28" x14ac:dyDescent="0.2">
      <c r="T3903" s="60" t="str">
        <f>IF(P3903&lt;&gt;"",
    IF(OR(O3903="", Q3903="", R3903=""),
        "Fill all the required columns",
        IFERROR(
            IF(OR(
                AND(R3903="Marine Protected", VLOOKUP(O3903, Reference!$A$2:$D$34, 4, FALSE) &lt;= P3903),
                AND(R3903="General Use", VLOOKUP(O3903, Reference!$A$2:$D$34, 3, FALSE) &lt;= P3903)
            ),
                "Exceeded",
                "OK"
            ),
            "No Regulation defined"
        )
    ),
    ""
)</f>
        <v/>
      </c>
      <c r="AB3903" s="62" t="str">
        <f t="shared" si="60"/>
        <v/>
      </c>
    </row>
    <row r="3904" spans="20:28" x14ac:dyDescent="0.2">
      <c r="T3904" s="60" t="str">
        <f>IF(P3904&lt;&gt;"",
    IF(OR(O3904="", Q3904="", R3904=""),
        "Fill all the required columns",
        IFERROR(
            IF(OR(
                AND(R3904="Marine Protected", VLOOKUP(O3904, Reference!$A$2:$D$34, 4, FALSE) &lt;= P3904),
                AND(R3904="General Use", VLOOKUP(O3904, Reference!$A$2:$D$34, 3, FALSE) &lt;= P3904)
            ),
                "Exceeded",
                "OK"
            ),
            "No Regulation defined"
        )
    ),
    ""
)</f>
        <v/>
      </c>
      <c r="AB3904" s="62" t="str">
        <f t="shared" si="60"/>
        <v/>
      </c>
    </row>
    <row r="3905" spans="20:28" x14ac:dyDescent="0.2">
      <c r="T3905" s="60" t="str">
        <f>IF(P3905&lt;&gt;"",
    IF(OR(O3905="", Q3905="", R3905=""),
        "Fill all the required columns",
        IFERROR(
            IF(OR(
                AND(R3905="Marine Protected", VLOOKUP(O3905, Reference!$A$2:$D$34, 4, FALSE) &lt;= P3905),
                AND(R3905="General Use", VLOOKUP(O3905, Reference!$A$2:$D$34, 3, FALSE) &lt;= P3905)
            ),
                "Exceeded",
                "OK"
            ),
            "No Regulation defined"
        )
    ),
    ""
)</f>
        <v/>
      </c>
      <c r="AB3905" s="62" t="str">
        <f t="shared" si="60"/>
        <v/>
      </c>
    </row>
    <row r="3906" spans="20:28" x14ac:dyDescent="0.2">
      <c r="T3906" s="60" t="str">
        <f>IF(P3906&lt;&gt;"",
    IF(OR(O3906="", Q3906="", R3906=""),
        "Fill all the required columns",
        IFERROR(
            IF(OR(
                AND(R3906="Marine Protected", VLOOKUP(O3906, Reference!$A$2:$D$34, 4, FALSE) &lt;= P3906),
                AND(R3906="General Use", VLOOKUP(O3906, Reference!$A$2:$D$34, 3, FALSE) &lt;= P3906)
            ),
                "Exceeded",
                "OK"
            ),
            "No Regulation defined"
        )
    ),
    ""
)</f>
        <v/>
      </c>
      <c r="AB3906" s="62" t="str">
        <f t="shared" si="60"/>
        <v/>
      </c>
    </row>
    <row r="3907" spans="20:28" x14ac:dyDescent="0.2">
      <c r="T3907" s="60" t="str">
        <f>IF(P3907&lt;&gt;"",
    IF(OR(O3907="", Q3907="", R3907=""),
        "Fill all the required columns",
        IFERROR(
            IF(OR(
                AND(R3907="Marine Protected", VLOOKUP(O3907, Reference!$A$2:$D$34, 4, FALSE) &lt;= P3907),
                AND(R3907="General Use", VLOOKUP(O3907, Reference!$A$2:$D$34, 3, FALSE) &lt;= P3907)
            ),
                "Exceeded",
                "OK"
            ),
            "No Regulation defined"
        )
    ),
    ""
)</f>
        <v/>
      </c>
      <c r="AB3907" s="62" t="str">
        <f t="shared" ref="AB3907:AB3970" si="61">IF(COUNTA(A3907, E3907, F3907, H3907, I3907, O3907, P3907, Q3907, R3907,S3907) = 0, "", IF(COUNTA(A3907, E3907, F3907, H3907, I3907, O3907, P3907, Q3907, R3907,S3907) = 10, "OK", "Incomplete"))</f>
        <v/>
      </c>
    </row>
    <row r="3908" spans="20:28" x14ac:dyDescent="0.2">
      <c r="T3908" s="60" t="str">
        <f>IF(P3908&lt;&gt;"",
    IF(OR(O3908="", Q3908="", R3908=""),
        "Fill all the required columns",
        IFERROR(
            IF(OR(
                AND(R3908="Marine Protected", VLOOKUP(O3908, Reference!$A$2:$D$34, 4, FALSE) &lt;= P3908),
                AND(R3908="General Use", VLOOKUP(O3908, Reference!$A$2:$D$34, 3, FALSE) &lt;= P3908)
            ),
                "Exceeded",
                "OK"
            ),
            "No Regulation defined"
        )
    ),
    ""
)</f>
        <v/>
      </c>
      <c r="AB3908" s="62" t="str">
        <f t="shared" si="61"/>
        <v/>
      </c>
    </row>
    <row r="3909" spans="20:28" x14ac:dyDescent="0.2">
      <c r="T3909" s="60" t="str">
        <f>IF(P3909&lt;&gt;"",
    IF(OR(O3909="", Q3909="", R3909=""),
        "Fill all the required columns",
        IFERROR(
            IF(OR(
                AND(R3909="Marine Protected", VLOOKUP(O3909, Reference!$A$2:$D$34, 4, FALSE) &lt;= P3909),
                AND(R3909="General Use", VLOOKUP(O3909, Reference!$A$2:$D$34, 3, FALSE) &lt;= P3909)
            ),
                "Exceeded",
                "OK"
            ),
            "No Regulation defined"
        )
    ),
    ""
)</f>
        <v/>
      </c>
      <c r="AB3909" s="62" t="str">
        <f t="shared" si="61"/>
        <v/>
      </c>
    </row>
    <row r="3910" spans="20:28" x14ac:dyDescent="0.2">
      <c r="T3910" s="60" t="str">
        <f>IF(P3910&lt;&gt;"",
    IF(OR(O3910="", Q3910="", R3910=""),
        "Fill all the required columns",
        IFERROR(
            IF(OR(
                AND(R3910="Marine Protected", VLOOKUP(O3910, Reference!$A$2:$D$34, 4, FALSE) &lt;= P3910),
                AND(R3910="General Use", VLOOKUP(O3910, Reference!$A$2:$D$34, 3, FALSE) &lt;= P3910)
            ),
                "Exceeded",
                "OK"
            ),
            "No Regulation defined"
        )
    ),
    ""
)</f>
        <v/>
      </c>
      <c r="AB3910" s="62" t="str">
        <f t="shared" si="61"/>
        <v/>
      </c>
    </row>
    <row r="3911" spans="20:28" x14ac:dyDescent="0.2">
      <c r="T3911" s="60" t="str">
        <f>IF(P3911&lt;&gt;"",
    IF(OR(O3911="", Q3911="", R3911=""),
        "Fill all the required columns",
        IFERROR(
            IF(OR(
                AND(R3911="Marine Protected", VLOOKUP(O3911, Reference!$A$2:$D$34, 4, FALSE) &lt;= P3911),
                AND(R3911="General Use", VLOOKUP(O3911, Reference!$A$2:$D$34, 3, FALSE) &lt;= P3911)
            ),
                "Exceeded",
                "OK"
            ),
            "No Regulation defined"
        )
    ),
    ""
)</f>
        <v/>
      </c>
      <c r="AB3911" s="62" t="str">
        <f t="shared" si="61"/>
        <v/>
      </c>
    </row>
    <row r="3912" spans="20:28" x14ac:dyDescent="0.2">
      <c r="T3912" s="60" t="str">
        <f>IF(P3912&lt;&gt;"",
    IF(OR(O3912="", Q3912="", R3912=""),
        "Fill all the required columns",
        IFERROR(
            IF(OR(
                AND(R3912="Marine Protected", VLOOKUP(O3912, Reference!$A$2:$D$34, 4, FALSE) &lt;= P3912),
                AND(R3912="General Use", VLOOKUP(O3912, Reference!$A$2:$D$34, 3, FALSE) &lt;= P3912)
            ),
                "Exceeded",
                "OK"
            ),
            "No Regulation defined"
        )
    ),
    ""
)</f>
        <v/>
      </c>
      <c r="AB3912" s="62" t="str">
        <f t="shared" si="61"/>
        <v/>
      </c>
    </row>
    <row r="3913" spans="20:28" x14ac:dyDescent="0.2">
      <c r="T3913" s="60" t="str">
        <f>IF(P3913&lt;&gt;"",
    IF(OR(O3913="", Q3913="", R3913=""),
        "Fill all the required columns",
        IFERROR(
            IF(OR(
                AND(R3913="Marine Protected", VLOOKUP(O3913, Reference!$A$2:$D$34, 4, FALSE) &lt;= P3913),
                AND(R3913="General Use", VLOOKUP(O3913, Reference!$A$2:$D$34, 3, FALSE) &lt;= P3913)
            ),
                "Exceeded",
                "OK"
            ),
            "No Regulation defined"
        )
    ),
    ""
)</f>
        <v/>
      </c>
      <c r="AB3913" s="62" t="str">
        <f t="shared" si="61"/>
        <v/>
      </c>
    </row>
    <row r="3914" spans="20:28" x14ac:dyDescent="0.2">
      <c r="T3914" s="60" t="str">
        <f>IF(P3914&lt;&gt;"",
    IF(OR(O3914="", Q3914="", R3914=""),
        "Fill all the required columns",
        IFERROR(
            IF(OR(
                AND(R3914="Marine Protected", VLOOKUP(O3914, Reference!$A$2:$D$34, 4, FALSE) &lt;= P3914),
                AND(R3914="General Use", VLOOKUP(O3914, Reference!$A$2:$D$34, 3, FALSE) &lt;= P3914)
            ),
                "Exceeded",
                "OK"
            ),
            "No Regulation defined"
        )
    ),
    ""
)</f>
        <v/>
      </c>
      <c r="AB3914" s="62" t="str">
        <f t="shared" si="61"/>
        <v/>
      </c>
    </row>
    <row r="3915" spans="20:28" x14ac:dyDescent="0.2">
      <c r="T3915" s="60" t="str">
        <f>IF(P3915&lt;&gt;"",
    IF(OR(O3915="", Q3915="", R3915=""),
        "Fill all the required columns",
        IFERROR(
            IF(OR(
                AND(R3915="Marine Protected", VLOOKUP(O3915, Reference!$A$2:$D$34, 4, FALSE) &lt;= P3915),
                AND(R3915="General Use", VLOOKUP(O3915, Reference!$A$2:$D$34, 3, FALSE) &lt;= P3915)
            ),
                "Exceeded",
                "OK"
            ),
            "No Regulation defined"
        )
    ),
    ""
)</f>
        <v/>
      </c>
      <c r="AB3915" s="62" t="str">
        <f t="shared" si="61"/>
        <v/>
      </c>
    </row>
    <row r="3916" spans="20:28" x14ac:dyDescent="0.2">
      <c r="T3916" s="60" t="str">
        <f>IF(P3916&lt;&gt;"",
    IF(OR(O3916="", Q3916="", R3916=""),
        "Fill all the required columns",
        IFERROR(
            IF(OR(
                AND(R3916="Marine Protected", VLOOKUP(O3916, Reference!$A$2:$D$34, 4, FALSE) &lt;= P3916),
                AND(R3916="General Use", VLOOKUP(O3916, Reference!$A$2:$D$34, 3, FALSE) &lt;= P3916)
            ),
                "Exceeded",
                "OK"
            ),
            "No Regulation defined"
        )
    ),
    ""
)</f>
        <v/>
      </c>
      <c r="AB3916" s="62" t="str">
        <f t="shared" si="61"/>
        <v/>
      </c>
    </row>
    <row r="3917" spans="20:28" x14ac:dyDescent="0.2">
      <c r="T3917" s="60" t="str">
        <f>IF(P3917&lt;&gt;"",
    IF(OR(O3917="", Q3917="", R3917=""),
        "Fill all the required columns",
        IFERROR(
            IF(OR(
                AND(R3917="Marine Protected", VLOOKUP(O3917, Reference!$A$2:$D$34, 4, FALSE) &lt;= P3917),
                AND(R3917="General Use", VLOOKUP(O3917, Reference!$A$2:$D$34, 3, FALSE) &lt;= P3917)
            ),
                "Exceeded",
                "OK"
            ),
            "No Regulation defined"
        )
    ),
    ""
)</f>
        <v/>
      </c>
      <c r="AB3917" s="62" t="str">
        <f t="shared" si="61"/>
        <v/>
      </c>
    </row>
    <row r="3918" spans="20:28" x14ac:dyDescent="0.2">
      <c r="T3918" s="60" t="str">
        <f>IF(P3918&lt;&gt;"",
    IF(OR(O3918="", Q3918="", R3918=""),
        "Fill all the required columns",
        IFERROR(
            IF(OR(
                AND(R3918="Marine Protected", VLOOKUP(O3918, Reference!$A$2:$D$34, 4, FALSE) &lt;= P3918),
                AND(R3918="General Use", VLOOKUP(O3918, Reference!$A$2:$D$34, 3, FALSE) &lt;= P3918)
            ),
                "Exceeded",
                "OK"
            ),
            "No Regulation defined"
        )
    ),
    ""
)</f>
        <v/>
      </c>
      <c r="AB3918" s="62" t="str">
        <f t="shared" si="61"/>
        <v/>
      </c>
    </row>
    <row r="3919" spans="20:28" x14ac:dyDescent="0.2">
      <c r="T3919" s="60" t="str">
        <f>IF(P3919&lt;&gt;"",
    IF(OR(O3919="", Q3919="", R3919=""),
        "Fill all the required columns",
        IFERROR(
            IF(OR(
                AND(R3919="Marine Protected", VLOOKUP(O3919, Reference!$A$2:$D$34, 4, FALSE) &lt;= P3919),
                AND(R3919="General Use", VLOOKUP(O3919, Reference!$A$2:$D$34, 3, FALSE) &lt;= P3919)
            ),
                "Exceeded",
                "OK"
            ),
            "No Regulation defined"
        )
    ),
    ""
)</f>
        <v/>
      </c>
      <c r="AB3919" s="62" t="str">
        <f t="shared" si="61"/>
        <v/>
      </c>
    </row>
    <row r="3920" spans="20:28" x14ac:dyDescent="0.2">
      <c r="T3920" s="60" t="str">
        <f>IF(P3920&lt;&gt;"",
    IF(OR(O3920="", Q3920="", R3920=""),
        "Fill all the required columns",
        IFERROR(
            IF(OR(
                AND(R3920="Marine Protected", VLOOKUP(O3920, Reference!$A$2:$D$34, 4, FALSE) &lt;= P3920),
                AND(R3920="General Use", VLOOKUP(O3920, Reference!$A$2:$D$34, 3, FALSE) &lt;= P3920)
            ),
                "Exceeded",
                "OK"
            ),
            "No Regulation defined"
        )
    ),
    ""
)</f>
        <v/>
      </c>
      <c r="AB3920" s="62" t="str">
        <f t="shared" si="61"/>
        <v/>
      </c>
    </row>
    <row r="3921" spans="20:28" x14ac:dyDescent="0.2">
      <c r="T3921" s="60" t="str">
        <f>IF(P3921&lt;&gt;"",
    IF(OR(O3921="", Q3921="", R3921=""),
        "Fill all the required columns",
        IFERROR(
            IF(OR(
                AND(R3921="Marine Protected", VLOOKUP(O3921, Reference!$A$2:$D$34, 4, FALSE) &lt;= P3921),
                AND(R3921="General Use", VLOOKUP(O3921, Reference!$A$2:$D$34, 3, FALSE) &lt;= P3921)
            ),
                "Exceeded",
                "OK"
            ),
            "No Regulation defined"
        )
    ),
    ""
)</f>
        <v/>
      </c>
      <c r="AB3921" s="62" t="str">
        <f t="shared" si="61"/>
        <v/>
      </c>
    </row>
    <row r="3922" spans="20:28" x14ac:dyDescent="0.2">
      <c r="T3922" s="60" t="str">
        <f>IF(P3922&lt;&gt;"",
    IF(OR(O3922="", Q3922="", R3922=""),
        "Fill all the required columns",
        IFERROR(
            IF(OR(
                AND(R3922="Marine Protected", VLOOKUP(O3922, Reference!$A$2:$D$34, 4, FALSE) &lt;= P3922),
                AND(R3922="General Use", VLOOKUP(O3922, Reference!$A$2:$D$34, 3, FALSE) &lt;= P3922)
            ),
                "Exceeded",
                "OK"
            ),
            "No Regulation defined"
        )
    ),
    ""
)</f>
        <v/>
      </c>
      <c r="AB3922" s="62" t="str">
        <f t="shared" si="61"/>
        <v/>
      </c>
    </row>
    <row r="3923" spans="20:28" x14ac:dyDescent="0.2">
      <c r="T3923" s="60" t="str">
        <f>IF(P3923&lt;&gt;"",
    IF(OR(O3923="", Q3923="", R3923=""),
        "Fill all the required columns",
        IFERROR(
            IF(OR(
                AND(R3923="Marine Protected", VLOOKUP(O3923, Reference!$A$2:$D$34, 4, FALSE) &lt;= P3923),
                AND(R3923="General Use", VLOOKUP(O3923, Reference!$A$2:$D$34, 3, FALSE) &lt;= P3923)
            ),
                "Exceeded",
                "OK"
            ),
            "No Regulation defined"
        )
    ),
    ""
)</f>
        <v/>
      </c>
      <c r="AB3923" s="62" t="str">
        <f t="shared" si="61"/>
        <v/>
      </c>
    </row>
    <row r="3924" spans="20:28" x14ac:dyDescent="0.2">
      <c r="T3924" s="60" t="str">
        <f>IF(P3924&lt;&gt;"",
    IF(OR(O3924="", Q3924="", R3924=""),
        "Fill all the required columns",
        IFERROR(
            IF(OR(
                AND(R3924="Marine Protected", VLOOKUP(O3924, Reference!$A$2:$D$34, 4, FALSE) &lt;= P3924),
                AND(R3924="General Use", VLOOKUP(O3924, Reference!$A$2:$D$34, 3, FALSE) &lt;= P3924)
            ),
                "Exceeded",
                "OK"
            ),
            "No Regulation defined"
        )
    ),
    ""
)</f>
        <v/>
      </c>
      <c r="AB3924" s="62" t="str">
        <f t="shared" si="61"/>
        <v/>
      </c>
    </row>
    <row r="3925" spans="20:28" x14ac:dyDescent="0.2">
      <c r="T3925" s="60" t="str">
        <f>IF(P3925&lt;&gt;"",
    IF(OR(O3925="", Q3925="", R3925=""),
        "Fill all the required columns",
        IFERROR(
            IF(OR(
                AND(R3925="Marine Protected", VLOOKUP(O3925, Reference!$A$2:$D$34, 4, FALSE) &lt;= P3925),
                AND(R3925="General Use", VLOOKUP(O3925, Reference!$A$2:$D$34, 3, FALSE) &lt;= P3925)
            ),
                "Exceeded",
                "OK"
            ),
            "No Regulation defined"
        )
    ),
    ""
)</f>
        <v/>
      </c>
      <c r="AB3925" s="62" t="str">
        <f t="shared" si="61"/>
        <v/>
      </c>
    </row>
    <row r="3926" spans="20:28" x14ac:dyDescent="0.2">
      <c r="T3926" s="60" t="str">
        <f>IF(P3926&lt;&gt;"",
    IF(OR(O3926="", Q3926="", R3926=""),
        "Fill all the required columns",
        IFERROR(
            IF(OR(
                AND(R3926="Marine Protected", VLOOKUP(O3926, Reference!$A$2:$D$34, 4, FALSE) &lt;= P3926),
                AND(R3926="General Use", VLOOKUP(O3926, Reference!$A$2:$D$34, 3, FALSE) &lt;= P3926)
            ),
                "Exceeded",
                "OK"
            ),
            "No Regulation defined"
        )
    ),
    ""
)</f>
        <v/>
      </c>
      <c r="AB3926" s="62" t="str">
        <f t="shared" si="61"/>
        <v/>
      </c>
    </row>
    <row r="3927" spans="20:28" x14ac:dyDescent="0.2">
      <c r="T3927" s="60" t="str">
        <f>IF(P3927&lt;&gt;"",
    IF(OR(O3927="", Q3927="", R3927=""),
        "Fill all the required columns",
        IFERROR(
            IF(OR(
                AND(R3927="Marine Protected", VLOOKUP(O3927, Reference!$A$2:$D$34, 4, FALSE) &lt;= P3927),
                AND(R3927="General Use", VLOOKUP(O3927, Reference!$A$2:$D$34, 3, FALSE) &lt;= P3927)
            ),
                "Exceeded",
                "OK"
            ),
            "No Regulation defined"
        )
    ),
    ""
)</f>
        <v/>
      </c>
      <c r="AB3927" s="62" t="str">
        <f t="shared" si="61"/>
        <v/>
      </c>
    </row>
    <row r="3928" spans="20:28" x14ac:dyDescent="0.2">
      <c r="T3928" s="60" t="str">
        <f>IF(P3928&lt;&gt;"",
    IF(OR(O3928="", Q3928="", R3928=""),
        "Fill all the required columns",
        IFERROR(
            IF(OR(
                AND(R3928="Marine Protected", VLOOKUP(O3928, Reference!$A$2:$D$34, 4, FALSE) &lt;= P3928),
                AND(R3928="General Use", VLOOKUP(O3928, Reference!$A$2:$D$34, 3, FALSE) &lt;= P3928)
            ),
                "Exceeded",
                "OK"
            ),
            "No Regulation defined"
        )
    ),
    ""
)</f>
        <v/>
      </c>
      <c r="AB3928" s="62" t="str">
        <f t="shared" si="61"/>
        <v/>
      </c>
    </row>
    <row r="3929" spans="20:28" x14ac:dyDescent="0.2">
      <c r="T3929" s="60" t="str">
        <f>IF(P3929&lt;&gt;"",
    IF(OR(O3929="", Q3929="", R3929=""),
        "Fill all the required columns",
        IFERROR(
            IF(OR(
                AND(R3929="Marine Protected", VLOOKUP(O3929, Reference!$A$2:$D$34, 4, FALSE) &lt;= P3929),
                AND(R3929="General Use", VLOOKUP(O3929, Reference!$A$2:$D$34, 3, FALSE) &lt;= P3929)
            ),
                "Exceeded",
                "OK"
            ),
            "No Regulation defined"
        )
    ),
    ""
)</f>
        <v/>
      </c>
      <c r="AB3929" s="62" t="str">
        <f t="shared" si="61"/>
        <v/>
      </c>
    </row>
    <row r="3930" spans="20:28" x14ac:dyDescent="0.2">
      <c r="T3930" s="60" t="str">
        <f>IF(P3930&lt;&gt;"",
    IF(OR(O3930="", Q3930="", R3930=""),
        "Fill all the required columns",
        IFERROR(
            IF(OR(
                AND(R3930="Marine Protected", VLOOKUP(O3930, Reference!$A$2:$D$34, 4, FALSE) &lt;= P3930),
                AND(R3930="General Use", VLOOKUP(O3930, Reference!$A$2:$D$34, 3, FALSE) &lt;= P3930)
            ),
                "Exceeded",
                "OK"
            ),
            "No Regulation defined"
        )
    ),
    ""
)</f>
        <v/>
      </c>
      <c r="AB3930" s="62" t="str">
        <f t="shared" si="61"/>
        <v/>
      </c>
    </row>
    <row r="3931" spans="20:28" x14ac:dyDescent="0.2">
      <c r="T3931" s="60" t="str">
        <f>IF(P3931&lt;&gt;"",
    IF(OR(O3931="", Q3931="", R3931=""),
        "Fill all the required columns",
        IFERROR(
            IF(OR(
                AND(R3931="Marine Protected", VLOOKUP(O3931, Reference!$A$2:$D$34, 4, FALSE) &lt;= P3931),
                AND(R3931="General Use", VLOOKUP(O3931, Reference!$A$2:$D$34, 3, FALSE) &lt;= P3931)
            ),
                "Exceeded",
                "OK"
            ),
            "No Regulation defined"
        )
    ),
    ""
)</f>
        <v/>
      </c>
      <c r="AB3931" s="62" t="str">
        <f t="shared" si="61"/>
        <v/>
      </c>
    </row>
    <row r="3932" spans="20:28" x14ac:dyDescent="0.2">
      <c r="T3932" s="60" t="str">
        <f>IF(P3932&lt;&gt;"",
    IF(OR(O3932="", Q3932="", R3932=""),
        "Fill all the required columns",
        IFERROR(
            IF(OR(
                AND(R3932="Marine Protected", VLOOKUP(O3932, Reference!$A$2:$D$34, 4, FALSE) &lt;= P3932),
                AND(R3932="General Use", VLOOKUP(O3932, Reference!$A$2:$D$34, 3, FALSE) &lt;= P3932)
            ),
                "Exceeded",
                "OK"
            ),
            "No Regulation defined"
        )
    ),
    ""
)</f>
        <v/>
      </c>
      <c r="AB3932" s="62" t="str">
        <f t="shared" si="61"/>
        <v/>
      </c>
    </row>
    <row r="3933" spans="20:28" x14ac:dyDescent="0.2">
      <c r="T3933" s="60" t="str">
        <f>IF(P3933&lt;&gt;"",
    IF(OR(O3933="", Q3933="", R3933=""),
        "Fill all the required columns",
        IFERROR(
            IF(OR(
                AND(R3933="Marine Protected", VLOOKUP(O3933, Reference!$A$2:$D$34, 4, FALSE) &lt;= P3933),
                AND(R3933="General Use", VLOOKUP(O3933, Reference!$A$2:$D$34, 3, FALSE) &lt;= P3933)
            ),
                "Exceeded",
                "OK"
            ),
            "No Regulation defined"
        )
    ),
    ""
)</f>
        <v/>
      </c>
      <c r="AB3933" s="62" t="str">
        <f t="shared" si="61"/>
        <v/>
      </c>
    </row>
    <row r="3934" spans="20:28" x14ac:dyDescent="0.2">
      <c r="T3934" s="60" t="str">
        <f>IF(P3934&lt;&gt;"",
    IF(OR(O3934="", Q3934="", R3934=""),
        "Fill all the required columns",
        IFERROR(
            IF(OR(
                AND(R3934="Marine Protected", VLOOKUP(O3934, Reference!$A$2:$D$34, 4, FALSE) &lt;= P3934),
                AND(R3934="General Use", VLOOKUP(O3934, Reference!$A$2:$D$34, 3, FALSE) &lt;= P3934)
            ),
                "Exceeded",
                "OK"
            ),
            "No Regulation defined"
        )
    ),
    ""
)</f>
        <v/>
      </c>
      <c r="AB3934" s="62" t="str">
        <f t="shared" si="61"/>
        <v/>
      </c>
    </row>
    <row r="3935" spans="20:28" x14ac:dyDescent="0.2">
      <c r="T3935" s="60" t="str">
        <f>IF(P3935&lt;&gt;"",
    IF(OR(O3935="", Q3935="", R3935=""),
        "Fill all the required columns",
        IFERROR(
            IF(OR(
                AND(R3935="Marine Protected", VLOOKUP(O3935, Reference!$A$2:$D$34, 4, FALSE) &lt;= P3935),
                AND(R3935="General Use", VLOOKUP(O3935, Reference!$A$2:$D$34, 3, FALSE) &lt;= P3935)
            ),
                "Exceeded",
                "OK"
            ),
            "No Regulation defined"
        )
    ),
    ""
)</f>
        <v/>
      </c>
      <c r="AB3935" s="62" t="str">
        <f t="shared" si="61"/>
        <v/>
      </c>
    </row>
    <row r="3936" spans="20:28" x14ac:dyDescent="0.2">
      <c r="T3936" s="60" t="str">
        <f>IF(P3936&lt;&gt;"",
    IF(OR(O3936="", Q3936="", R3936=""),
        "Fill all the required columns",
        IFERROR(
            IF(OR(
                AND(R3936="Marine Protected", VLOOKUP(O3936, Reference!$A$2:$D$34, 4, FALSE) &lt;= P3936),
                AND(R3936="General Use", VLOOKUP(O3936, Reference!$A$2:$D$34, 3, FALSE) &lt;= P3936)
            ),
                "Exceeded",
                "OK"
            ),
            "No Regulation defined"
        )
    ),
    ""
)</f>
        <v/>
      </c>
      <c r="AB3936" s="62" t="str">
        <f t="shared" si="61"/>
        <v/>
      </c>
    </row>
    <row r="3937" spans="20:28" x14ac:dyDescent="0.2">
      <c r="T3937" s="60" t="str">
        <f>IF(P3937&lt;&gt;"",
    IF(OR(O3937="", Q3937="", R3937=""),
        "Fill all the required columns",
        IFERROR(
            IF(OR(
                AND(R3937="Marine Protected", VLOOKUP(O3937, Reference!$A$2:$D$34, 4, FALSE) &lt;= P3937),
                AND(R3937="General Use", VLOOKUP(O3937, Reference!$A$2:$D$34, 3, FALSE) &lt;= P3937)
            ),
                "Exceeded",
                "OK"
            ),
            "No Regulation defined"
        )
    ),
    ""
)</f>
        <v/>
      </c>
      <c r="AB3937" s="62" t="str">
        <f t="shared" si="61"/>
        <v/>
      </c>
    </row>
    <row r="3938" spans="20:28" x14ac:dyDescent="0.2">
      <c r="T3938" s="60" t="str">
        <f>IF(P3938&lt;&gt;"",
    IF(OR(O3938="", Q3938="", R3938=""),
        "Fill all the required columns",
        IFERROR(
            IF(OR(
                AND(R3938="Marine Protected", VLOOKUP(O3938, Reference!$A$2:$D$34, 4, FALSE) &lt;= P3938),
                AND(R3938="General Use", VLOOKUP(O3938, Reference!$A$2:$D$34, 3, FALSE) &lt;= P3938)
            ),
                "Exceeded",
                "OK"
            ),
            "No Regulation defined"
        )
    ),
    ""
)</f>
        <v/>
      </c>
      <c r="AB3938" s="62" t="str">
        <f t="shared" si="61"/>
        <v/>
      </c>
    </row>
    <row r="3939" spans="20:28" x14ac:dyDescent="0.2">
      <c r="T3939" s="60" t="str">
        <f>IF(P3939&lt;&gt;"",
    IF(OR(O3939="", Q3939="", R3939=""),
        "Fill all the required columns",
        IFERROR(
            IF(OR(
                AND(R3939="Marine Protected", VLOOKUP(O3939, Reference!$A$2:$D$34, 4, FALSE) &lt;= P3939),
                AND(R3939="General Use", VLOOKUP(O3939, Reference!$A$2:$D$34, 3, FALSE) &lt;= P3939)
            ),
                "Exceeded",
                "OK"
            ),
            "No Regulation defined"
        )
    ),
    ""
)</f>
        <v/>
      </c>
      <c r="AB3939" s="62" t="str">
        <f t="shared" si="61"/>
        <v/>
      </c>
    </row>
    <row r="3940" spans="20:28" x14ac:dyDescent="0.2">
      <c r="T3940" s="60" t="str">
        <f>IF(P3940&lt;&gt;"",
    IF(OR(O3940="", Q3940="", R3940=""),
        "Fill all the required columns",
        IFERROR(
            IF(OR(
                AND(R3940="Marine Protected", VLOOKUP(O3940, Reference!$A$2:$D$34, 4, FALSE) &lt;= P3940),
                AND(R3940="General Use", VLOOKUP(O3940, Reference!$A$2:$D$34, 3, FALSE) &lt;= P3940)
            ),
                "Exceeded",
                "OK"
            ),
            "No Regulation defined"
        )
    ),
    ""
)</f>
        <v/>
      </c>
      <c r="AB3940" s="62" t="str">
        <f t="shared" si="61"/>
        <v/>
      </c>
    </row>
    <row r="3941" spans="20:28" x14ac:dyDescent="0.2">
      <c r="T3941" s="60" t="str">
        <f>IF(P3941&lt;&gt;"",
    IF(OR(O3941="", Q3941="", R3941=""),
        "Fill all the required columns",
        IFERROR(
            IF(OR(
                AND(R3941="Marine Protected", VLOOKUP(O3941, Reference!$A$2:$D$34, 4, FALSE) &lt;= P3941),
                AND(R3941="General Use", VLOOKUP(O3941, Reference!$A$2:$D$34, 3, FALSE) &lt;= P3941)
            ),
                "Exceeded",
                "OK"
            ),
            "No Regulation defined"
        )
    ),
    ""
)</f>
        <v/>
      </c>
      <c r="AB3941" s="62" t="str">
        <f t="shared" si="61"/>
        <v/>
      </c>
    </row>
    <row r="3942" spans="20:28" x14ac:dyDescent="0.2">
      <c r="T3942" s="60" t="str">
        <f>IF(P3942&lt;&gt;"",
    IF(OR(O3942="", Q3942="", R3942=""),
        "Fill all the required columns",
        IFERROR(
            IF(OR(
                AND(R3942="Marine Protected", VLOOKUP(O3942, Reference!$A$2:$D$34, 4, FALSE) &lt;= P3942),
                AND(R3942="General Use", VLOOKUP(O3942, Reference!$A$2:$D$34, 3, FALSE) &lt;= P3942)
            ),
                "Exceeded",
                "OK"
            ),
            "No Regulation defined"
        )
    ),
    ""
)</f>
        <v/>
      </c>
      <c r="AB3942" s="62" t="str">
        <f t="shared" si="61"/>
        <v/>
      </c>
    </row>
    <row r="3943" spans="20:28" x14ac:dyDescent="0.2">
      <c r="T3943" s="60" t="str">
        <f>IF(P3943&lt;&gt;"",
    IF(OR(O3943="", Q3943="", R3943=""),
        "Fill all the required columns",
        IFERROR(
            IF(OR(
                AND(R3943="Marine Protected", VLOOKUP(O3943, Reference!$A$2:$D$34, 4, FALSE) &lt;= P3943),
                AND(R3943="General Use", VLOOKUP(O3943, Reference!$A$2:$D$34, 3, FALSE) &lt;= P3943)
            ),
                "Exceeded",
                "OK"
            ),
            "No Regulation defined"
        )
    ),
    ""
)</f>
        <v/>
      </c>
      <c r="AB3943" s="62" t="str">
        <f t="shared" si="61"/>
        <v/>
      </c>
    </row>
    <row r="3944" spans="20:28" x14ac:dyDescent="0.2">
      <c r="T3944" s="60" t="str">
        <f>IF(P3944&lt;&gt;"",
    IF(OR(O3944="", Q3944="", R3944=""),
        "Fill all the required columns",
        IFERROR(
            IF(OR(
                AND(R3944="Marine Protected", VLOOKUP(O3944, Reference!$A$2:$D$34, 4, FALSE) &lt;= P3944),
                AND(R3944="General Use", VLOOKUP(O3944, Reference!$A$2:$D$34, 3, FALSE) &lt;= P3944)
            ),
                "Exceeded",
                "OK"
            ),
            "No Regulation defined"
        )
    ),
    ""
)</f>
        <v/>
      </c>
      <c r="AB3944" s="62" t="str">
        <f t="shared" si="61"/>
        <v/>
      </c>
    </row>
    <row r="3945" spans="20:28" x14ac:dyDescent="0.2">
      <c r="T3945" s="60" t="str">
        <f>IF(P3945&lt;&gt;"",
    IF(OR(O3945="", Q3945="", R3945=""),
        "Fill all the required columns",
        IFERROR(
            IF(OR(
                AND(R3945="Marine Protected", VLOOKUP(O3945, Reference!$A$2:$D$34, 4, FALSE) &lt;= P3945),
                AND(R3945="General Use", VLOOKUP(O3945, Reference!$A$2:$D$34, 3, FALSE) &lt;= P3945)
            ),
                "Exceeded",
                "OK"
            ),
            "No Regulation defined"
        )
    ),
    ""
)</f>
        <v/>
      </c>
      <c r="AB3945" s="62" t="str">
        <f t="shared" si="61"/>
        <v/>
      </c>
    </row>
    <row r="3946" spans="20:28" x14ac:dyDescent="0.2">
      <c r="T3946" s="60" t="str">
        <f>IF(P3946&lt;&gt;"",
    IF(OR(O3946="", Q3946="", R3946=""),
        "Fill all the required columns",
        IFERROR(
            IF(OR(
                AND(R3946="Marine Protected", VLOOKUP(O3946, Reference!$A$2:$D$34, 4, FALSE) &lt;= P3946),
                AND(R3946="General Use", VLOOKUP(O3946, Reference!$A$2:$D$34, 3, FALSE) &lt;= P3946)
            ),
                "Exceeded",
                "OK"
            ),
            "No Regulation defined"
        )
    ),
    ""
)</f>
        <v/>
      </c>
      <c r="AB3946" s="62" t="str">
        <f t="shared" si="61"/>
        <v/>
      </c>
    </row>
    <row r="3947" spans="20:28" x14ac:dyDescent="0.2">
      <c r="T3947" s="60" t="str">
        <f>IF(P3947&lt;&gt;"",
    IF(OR(O3947="", Q3947="", R3947=""),
        "Fill all the required columns",
        IFERROR(
            IF(OR(
                AND(R3947="Marine Protected", VLOOKUP(O3947, Reference!$A$2:$D$34, 4, FALSE) &lt;= P3947),
                AND(R3947="General Use", VLOOKUP(O3947, Reference!$A$2:$D$34, 3, FALSE) &lt;= P3947)
            ),
                "Exceeded",
                "OK"
            ),
            "No Regulation defined"
        )
    ),
    ""
)</f>
        <v/>
      </c>
      <c r="AB3947" s="62" t="str">
        <f t="shared" si="61"/>
        <v/>
      </c>
    </row>
    <row r="3948" spans="20:28" x14ac:dyDescent="0.2">
      <c r="T3948" s="60" t="str">
        <f>IF(P3948&lt;&gt;"",
    IF(OR(O3948="", Q3948="", R3948=""),
        "Fill all the required columns",
        IFERROR(
            IF(OR(
                AND(R3948="Marine Protected", VLOOKUP(O3948, Reference!$A$2:$D$34, 4, FALSE) &lt;= P3948),
                AND(R3948="General Use", VLOOKUP(O3948, Reference!$A$2:$D$34, 3, FALSE) &lt;= P3948)
            ),
                "Exceeded",
                "OK"
            ),
            "No Regulation defined"
        )
    ),
    ""
)</f>
        <v/>
      </c>
      <c r="AB3948" s="62" t="str">
        <f t="shared" si="61"/>
        <v/>
      </c>
    </row>
    <row r="3949" spans="20:28" x14ac:dyDescent="0.2">
      <c r="T3949" s="60" t="str">
        <f>IF(P3949&lt;&gt;"",
    IF(OR(O3949="", Q3949="", R3949=""),
        "Fill all the required columns",
        IFERROR(
            IF(OR(
                AND(R3949="Marine Protected", VLOOKUP(O3949, Reference!$A$2:$D$34, 4, FALSE) &lt;= P3949),
                AND(R3949="General Use", VLOOKUP(O3949, Reference!$A$2:$D$34, 3, FALSE) &lt;= P3949)
            ),
                "Exceeded",
                "OK"
            ),
            "No Regulation defined"
        )
    ),
    ""
)</f>
        <v/>
      </c>
      <c r="AB3949" s="62" t="str">
        <f t="shared" si="61"/>
        <v/>
      </c>
    </row>
    <row r="3950" spans="20:28" x14ac:dyDescent="0.2">
      <c r="T3950" s="60" t="str">
        <f>IF(P3950&lt;&gt;"",
    IF(OR(O3950="", Q3950="", R3950=""),
        "Fill all the required columns",
        IFERROR(
            IF(OR(
                AND(R3950="Marine Protected", VLOOKUP(O3950, Reference!$A$2:$D$34, 4, FALSE) &lt;= P3950),
                AND(R3950="General Use", VLOOKUP(O3950, Reference!$A$2:$D$34, 3, FALSE) &lt;= P3950)
            ),
                "Exceeded",
                "OK"
            ),
            "No Regulation defined"
        )
    ),
    ""
)</f>
        <v/>
      </c>
      <c r="AB3950" s="62" t="str">
        <f t="shared" si="61"/>
        <v/>
      </c>
    </row>
    <row r="3951" spans="20:28" x14ac:dyDescent="0.2">
      <c r="T3951" s="60" t="str">
        <f>IF(P3951&lt;&gt;"",
    IF(OR(O3951="", Q3951="", R3951=""),
        "Fill all the required columns",
        IFERROR(
            IF(OR(
                AND(R3951="Marine Protected", VLOOKUP(O3951, Reference!$A$2:$D$34, 4, FALSE) &lt;= P3951),
                AND(R3951="General Use", VLOOKUP(O3951, Reference!$A$2:$D$34, 3, FALSE) &lt;= P3951)
            ),
                "Exceeded",
                "OK"
            ),
            "No Regulation defined"
        )
    ),
    ""
)</f>
        <v/>
      </c>
      <c r="AB3951" s="62" t="str">
        <f t="shared" si="61"/>
        <v/>
      </c>
    </row>
    <row r="3952" spans="20:28" x14ac:dyDescent="0.2">
      <c r="T3952" s="60" t="str">
        <f>IF(P3952&lt;&gt;"",
    IF(OR(O3952="", Q3952="", R3952=""),
        "Fill all the required columns",
        IFERROR(
            IF(OR(
                AND(R3952="Marine Protected", VLOOKUP(O3952, Reference!$A$2:$D$34, 4, FALSE) &lt;= P3952),
                AND(R3952="General Use", VLOOKUP(O3952, Reference!$A$2:$D$34, 3, FALSE) &lt;= P3952)
            ),
                "Exceeded",
                "OK"
            ),
            "No Regulation defined"
        )
    ),
    ""
)</f>
        <v/>
      </c>
      <c r="AB3952" s="62" t="str">
        <f t="shared" si="61"/>
        <v/>
      </c>
    </row>
    <row r="3953" spans="20:28" x14ac:dyDescent="0.2">
      <c r="T3953" s="60" t="str">
        <f>IF(P3953&lt;&gt;"",
    IF(OR(O3953="", Q3953="", R3953=""),
        "Fill all the required columns",
        IFERROR(
            IF(OR(
                AND(R3953="Marine Protected", VLOOKUP(O3953, Reference!$A$2:$D$34, 4, FALSE) &lt;= P3953),
                AND(R3953="General Use", VLOOKUP(O3953, Reference!$A$2:$D$34, 3, FALSE) &lt;= P3953)
            ),
                "Exceeded",
                "OK"
            ),
            "No Regulation defined"
        )
    ),
    ""
)</f>
        <v/>
      </c>
      <c r="AB3953" s="62" t="str">
        <f t="shared" si="61"/>
        <v/>
      </c>
    </row>
    <row r="3954" spans="20:28" x14ac:dyDescent="0.2">
      <c r="T3954" s="60" t="str">
        <f>IF(P3954&lt;&gt;"",
    IF(OR(O3954="", Q3954="", R3954=""),
        "Fill all the required columns",
        IFERROR(
            IF(OR(
                AND(R3954="Marine Protected", VLOOKUP(O3954, Reference!$A$2:$D$34, 4, FALSE) &lt;= P3954),
                AND(R3954="General Use", VLOOKUP(O3954, Reference!$A$2:$D$34, 3, FALSE) &lt;= P3954)
            ),
                "Exceeded",
                "OK"
            ),
            "No Regulation defined"
        )
    ),
    ""
)</f>
        <v/>
      </c>
      <c r="AB3954" s="62" t="str">
        <f t="shared" si="61"/>
        <v/>
      </c>
    </row>
    <row r="3955" spans="20:28" x14ac:dyDescent="0.2">
      <c r="T3955" s="60" t="str">
        <f>IF(P3955&lt;&gt;"",
    IF(OR(O3955="", Q3955="", R3955=""),
        "Fill all the required columns",
        IFERROR(
            IF(OR(
                AND(R3955="Marine Protected", VLOOKUP(O3955, Reference!$A$2:$D$34, 4, FALSE) &lt;= P3955),
                AND(R3955="General Use", VLOOKUP(O3955, Reference!$A$2:$D$34, 3, FALSE) &lt;= P3955)
            ),
                "Exceeded",
                "OK"
            ),
            "No Regulation defined"
        )
    ),
    ""
)</f>
        <v/>
      </c>
      <c r="AB3955" s="62" t="str">
        <f t="shared" si="61"/>
        <v/>
      </c>
    </row>
    <row r="3956" spans="20:28" x14ac:dyDescent="0.2">
      <c r="T3956" s="60" t="str">
        <f>IF(P3956&lt;&gt;"",
    IF(OR(O3956="", Q3956="", R3956=""),
        "Fill all the required columns",
        IFERROR(
            IF(OR(
                AND(R3956="Marine Protected", VLOOKUP(O3956, Reference!$A$2:$D$34, 4, FALSE) &lt;= P3956),
                AND(R3956="General Use", VLOOKUP(O3956, Reference!$A$2:$D$34, 3, FALSE) &lt;= P3956)
            ),
                "Exceeded",
                "OK"
            ),
            "No Regulation defined"
        )
    ),
    ""
)</f>
        <v/>
      </c>
      <c r="AB3956" s="62" t="str">
        <f t="shared" si="61"/>
        <v/>
      </c>
    </row>
    <row r="3957" spans="20:28" x14ac:dyDescent="0.2">
      <c r="T3957" s="60" t="str">
        <f>IF(P3957&lt;&gt;"",
    IF(OR(O3957="", Q3957="", R3957=""),
        "Fill all the required columns",
        IFERROR(
            IF(OR(
                AND(R3957="Marine Protected", VLOOKUP(O3957, Reference!$A$2:$D$34, 4, FALSE) &lt;= P3957),
                AND(R3957="General Use", VLOOKUP(O3957, Reference!$A$2:$D$34, 3, FALSE) &lt;= P3957)
            ),
                "Exceeded",
                "OK"
            ),
            "No Regulation defined"
        )
    ),
    ""
)</f>
        <v/>
      </c>
      <c r="AB3957" s="62" t="str">
        <f t="shared" si="61"/>
        <v/>
      </c>
    </row>
    <row r="3958" spans="20:28" x14ac:dyDescent="0.2">
      <c r="T3958" s="60" t="str">
        <f>IF(P3958&lt;&gt;"",
    IF(OR(O3958="", Q3958="", R3958=""),
        "Fill all the required columns",
        IFERROR(
            IF(OR(
                AND(R3958="Marine Protected", VLOOKUP(O3958, Reference!$A$2:$D$34, 4, FALSE) &lt;= P3958),
                AND(R3958="General Use", VLOOKUP(O3958, Reference!$A$2:$D$34, 3, FALSE) &lt;= P3958)
            ),
                "Exceeded",
                "OK"
            ),
            "No Regulation defined"
        )
    ),
    ""
)</f>
        <v/>
      </c>
      <c r="AB3958" s="62" t="str">
        <f t="shared" si="61"/>
        <v/>
      </c>
    </row>
    <row r="3959" spans="20:28" x14ac:dyDescent="0.2">
      <c r="T3959" s="60" t="str">
        <f>IF(P3959&lt;&gt;"",
    IF(OR(O3959="", Q3959="", R3959=""),
        "Fill all the required columns",
        IFERROR(
            IF(OR(
                AND(R3959="Marine Protected", VLOOKUP(O3959, Reference!$A$2:$D$34, 4, FALSE) &lt;= P3959),
                AND(R3959="General Use", VLOOKUP(O3959, Reference!$A$2:$D$34, 3, FALSE) &lt;= P3959)
            ),
                "Exceeded",
                "OK"
            ),
            "No Regulation defined"
        )
    ),
    ""
)</f>
        <v/>
      </c>
      <c r="AB3959" s="62" t="str">
        <f t="shared" si="61"/>
        <v/>
      </c>
    </row>
    <row r="3960" spans="20:28" x14ac:dyDescent="0.2">
      <c r="T3960" s="60" t="str">
        <f>IF(P3960&lt;&gt;"",
    IF(OR(O3960="", Q3960="", R3960=""),
        "Fill all the required columns",
        IFERROR(
            IF(OR(
                AND(R3960="Marine Protected", VLOOKUP(O3960, Reference!$A$2:$D$34, 4, FALSE) &lt;= P3960),
                AND(R3960="General Use", VLOOKUP(O3960, Reference!$A$2:$D$34, 3, FALSE) &lt;= P3960)
            ),
                "Exceeded",
                "OK"
            ),
            "No Regulation defined"
        )
    ),
    ""
)</f>
        <v/>
      </c>
      <c r="AB3960" s="62" t="str">
        <f t="shared" si="61"/>
        <v/>
      </c>
    </row>
    <row r="3961" spans="20:28" x14ac:dyDescent="0.2">
      <c r="T3961" s="60" t="str">
        <f>IF(P3961&lt;&gt;"",
    IF(OR(O3961="", Q3961="", R3961=""),
        "Fill all the required columns",
        IFERROR(
            IF(OR(
                AND(R3961="Marine Protected", VLOOKUP(O3961, Reference!$A$2:$D$34, 4, FALSE) &lt;= P3961),
                AND(R3961="General Use", VLOOKUP(O3961, Reference!$A$2:$D$34, 3, FALSE) &lt;= P3961)
            ),
                "Exceeded",
                "OK"
            ),
            "No Regulation defined"
        )
    ),
    ""
)</f>
        <v/>
      </c>
      <c r="AB3961" s="62" t="str">
        <f t="shared" si="61"/>
        <v/>
      </c>
    </row>
    <row r="3962" spans="20:28" x14ac:dyDescent="0.2">
      <c r="T3962" s="60" t="str">
        <f>IF(P3962&lt;&gt;"",
    IF(OR(O3962="", Q3962="", R3962=""),
        "Fill all the required columns",
        IFERROR(
            IF(OR(
                AND(R3962="Marine Protected", VLOOKUP(O3962, Reference!$A$2:$D$34, 4, FALSE) &lt;= P3962),
                AND(R3962="General Use", VLOOKUP(O3962, Reference!$A$2:$D$34, 3, FALSE) &lt;= P3962)
            ),
                "Exceeded",
                "OK"
            ),
            "No Regulation defined"
        )
    ),
    ""
)</f>
        <v/>
      </c>
      <c r="AB3962" s="62" t="str">
        <f t="shared" si="61"/>
        <v/>
      </c>
    </row>
    <row r="3963" spans="20:28" x14ac:dyDescent="0.2">
      <c r="T3963" s="60" t="str">
        <f>IF(P3963&lt;&gt;"",
    IF(OR(O3963="", Q3963="", R3963=""),
        "Fill all the required columns",
        IFERROR(
            IF(OR(
                AND(R3963="Marine Protected", VLOOKUP(O3963, Reference!$A$2:$D$34, 4, FALSE) &lt;= P3963),
                AND(R3963="General Use", VLOOKUP(O3963, Reference!$A$2:$D$34, 3, FALSE) &lt;= P3963)
            ),
                "Exceeded",
                "OK"
            ),
            "No Regulation defined"
        )
    ),
    ""
)</f>
        <v/>
      </c>
      <c r="AB3963" s="62" t="str">
        <f t="shared" si="61"/>
        <v/>
      </c>
    </row>
    <row r="3964" spans="20:28" x14ac:dyDescent="0.2">
      <c r="T3964" s="60" t="str">
        <f>IF(P3964&lt;&gt;"",
    IF(OR(O3964="", Q3964="", R3964=""),
        "Fill all the required columns",
        IFERROR(
            IF(OR(
                AND(R3964="Marine Protected", VLOOKUP(O3964, Reference!$A$2:$D$34, 4, FALSE) &lt;= P3964),
                AND(R3964="General Use", VLOOKUP(O3964, Reference!$A$2:$D$34, 3, FALSE) &lt;= P3964)
            ),
                "Exceeded",
                "OK"
            ),
            "No Regulation defined"
        )
    ),
    ""
)</f>
        <v/>
      </c>
      <c r="AB3964" s="62" t="str">
        <f t="shared" si="61"/>
        <v/>
      </c>
    </row>
    <row r="3965" spans="20:28" x14ac:dyDescent="0.2">
      <c r="T3965" s="60" t="str">
        <f>IF(P3965&lt;&gt;"",
    IF(OR(O3965="", Q3965="", R3965=""),
        "Fill all the required columns",
        IFERROR(
            IF(OR(
                AND(R3965="Marine Protected", VLOOKUP(O3965, Reference!$A$2:$D$34, 4, FALSE) &lt;= P3965),
                AND(R3965="General Use", VLOOKUP(O3965, Reference!$A$2:$D$34, 3, FALSE) &lt;= P3965)
            ),
                "Exceeded",
                "OK"
            ),
            "No Regulation defined"
        )
    ),
    ""
)</f>
        <v/>
      </c>
      <c r="AB3965" s="62" t="str">
        <f t="shared" si="61"/>
        <v/>
      </c>
    </row>
    <row r="3966" spans="20:28" x14ac:dyDescent="0.2">
      <c r="T3966" s="60" t="str">
        <f>IF(P3966&lt;&gt;"",
    IF(OR(O3966="", Q3966="", R3966=""),
        "Fill all the required columns",
        IFERROR(
            IF(OR(
                AND(R3966="Marine Protected", VLOOKUP(O3966, Reference!$A$2:$D$34, 4, FALSE) &lt;= P3966),
                AND(R3966="General Use", VLOOKUP(O3966, Reference!$A$2:$D$34, 3, FALSE) &lt;= P3966)
            ),
                "Exceeded",
                "OK"
            ),
            "No Regulation defined"
        )
    ),
    ""
)</f>
        <v/>
      </c>
      <c r="AB3966" s="62" t="str">
        <f t="shared" si="61"/>
        <v/>
      </c>
    </row>
    <row r="3967" spans="20:28" x14ac:dyDescent="0.2">
      <c r="T3967" s="60" t="str">
        <f>IF(P3967&lt;&gt;"",
    IF(OR(O3967="", Q3967="", R3967=""),
        "Fill all the required columns",
        IFERROR(
            IF(OR(
                AND(R3967="Marine Protected", VLOOKUP(O3967, Reference!$A$2:$D$34, 4, FALSE) &lt;= P3967),
                AND(R3967="General Use", VLOOKUP(O3967, Reference!$A$2:$D$34, 3, FALSE) &lt;= P3967)
            ),
                "Exceeded",
                "OK"
            ),
            "No Regulation defined"
        )
    ),
    ""
)</f>
        <v/>
      </c>
      <c r="AB3967" s="62" t="str">
        <f t="shared" si="61"/>
        <v/>
      </c>
    </row>
    <row r="3968" spans="20:28" x14ac:dyDescent="0.2">
      <c r="T3968" s="60" t="str">
        <f>IF(P3968&lt;&gt;"",
    IF(OR(O3968="", Q3968="", R3968=""),
        "Fill all the required columns",
        IFERROR(
            IF(OR(
                AND(R3968="Marine Protected", VLOOKUP(O3968, Reference!$A$2:$D$34, 4, FALSE) &lt;= P3968),
                AND(R3968="General Use", VLOOKUP(O3968, Reference!$A$2:$D$34, 3, FALSE) &lt;= P3968)
            ),
                "Exceeded",
                "OK"
            ),
            "No Regulation defined"
        )
    ),
    ""
)</f>
        <v/>
      </c>
      <c r="AB3968" s="62" t="str">
        <f t="shared" si="61"/>
        <v/>
      </c>
    </row>
    <row r="3969" spans="20:28" x14ac:dyDescent="0.2">
      <c r="T3969" s="60" t="str">
        <f>IF(P3969&lt;&gt;"",
    IF(OR(O3969="", Q3969="", R3969=""),
        "Fill all the required columns",
        IFERROR(
            IF(OR(
                AND(R3969="Marine Protected", VLOOKUP(O3969, Reference!$A$2:$D$34, 4, FALSE) &lt;= P3969),
                AND(R3969="General Use", VLOOKUP(O3969, Reference!$A$2:$D$34, 3, FALSE) &lt;= P3969)
            ),
                "Exceeded",
                "OK"
            ),
            "No Regulation defined"
        )
    ),
    ""
)</f>
        <v/>
      </c>
      <c r="AB3969" s="62" t="str">
        <f t="shared" si="61"/>
        <v/>
      </c>
    </row>
    <row r="3970" spans="20:28" x14ac:dyDescent="0.2">
      <c r="T3970" s="60" t="str">
        <f>IF(P3970&lt;&gt;"",
    IF(OR(O3970="", Q3970="", R3970=""),
        "Fill all the required columns",
        IFERROR(
            IF(OR(
                AND(R3970="Marine Protected", VLOOKUP(O3970, Reference!$A$2:$D$34, 4, FALSE) &lt;= P3970),
                AND(R3970="General Use", VLOOKUP(O3970, Reference!$A$2:$D$34, 3, FALSE) &lt;= P3970)
            ),
                "Exceeded",
                "OK"
            ),
            "No Regulation defined"
        )
    ),
    ""
)</f>
        <v/>
      </c>
      <c r="AB3970" s="62" t="str">
        <f t="shared" si="61"/>
        <v/>
      </c>
    </row>
    <row r="3971" spans="20:28" x14ac:dyDescent="0.2">
      <c r="T3971" s="60" t="str">
        <f>IF(P3971&lt;&gt;"",
    IF(OR(O3971="", Q3971="", R3971=""),
        "Fill all the required columns",
        IFERROR(
            IF(OR(
                AND(R3971="Marine Protected", VLOOKUP(O3971, Reference!$A$2:$D$34, 4, FALSE) &lt;= P3971),
                AND(R3971="General Use", VLOOKUP(O3971, Reference!$A$2:$D$34, 3, FALSE) &lt;= P3971)
            ),
                "Exceeded",
                "OK"
            ),
            "No Regulation defined"
        )
    ),
    ""
)</f>
        <v/>
      </c>
      <c r="AB3971" s="62" t="str">
        <f t="shared" ref="AB3971:AB4034" si="62">IF(COUNTA(A3971, E3971, F3971, H3971, I3971, O3971, P3971, Q3971, R3971,S3971) = 0, "", IF(COUNTA(A3971, E3971, F3971, H3971, I3971, O3971, P3971, Q3971, R3971,S3971) = 10, "OK", "Incomplete"))</f>
        <v/>
      </c>
    </row>
    <row r="3972" spans="20:28" x14ac:dyDescent="0.2">
      <c r="T3972" s="60" t="str">
        <f>IF(P3972&lt;&gt;"",
    IF(OR(O3972="", Q3972="", R3972=""),
        "Fill all the required columns",
        IFERROR(
            IF(OR(
                AND(R3972="Marine Protected", VLOOKUP(O3972, Reference!$A$2:$D$34, 4, FALSE) &lt;= P3972),
                AND(R3972="General Use", VLOOKUP(O3972, Reference!$A$2:$D$34, 3, FALSE) &lt;= P3972)
            ),
                "Exceeded",
                "OK"
            ),
            "No Regulation defined"
        )
    ),
    ""
)</f>
        <v/>
      </c>
      <c r="AB3972" s="62" t="str">
        <f t="shared" si="62"/>
        <v/>
      </c>
    </row>
    <row r="3973" spans="20:28" x14ac:dyDescent="0.2">
      <c r="T3973" s="60" t="str">
        <f>IF(P3973&lt;&gt;"",
    IF(OR(O3973="", Q3973="", R3973=""),
        "Fill all the required columns",
        IFERROR(
            IF(OR(
                AND(R3973="Marine Protected", VLOOKUP(O3973, Reference!$A$2:$D$34, 4, FALSE) &lt;= P3973),
                AND(R3973="General Use", VLOOKUP(O3973, Reference!$A$2:$D$34, 3, FALSE) &lt;= P3973)
            ),
                "Exceeded",
                "OK"
            ),
            "No Regulation defined"
        )
    ),
    ""
)</f>
        <v/>
      </c>
      <c r="AB3973" s="62" t="str">
        <f t="shared" si="62"/>
        <v/>
      </c>
    </row>
    <row r="3974" spans="20:28" x14ac:dyDescent="0.2">
      <c r="T3974" s="60" t="str">
        <f>IF(P3974&lt;&gt;"",
    IF(OR(O3974="", Q3974="", R3974=""),
        "Fill all the required columns",
        IFERROR(
            IF(OR(
                AND(R3974="Marine Protected", VLOOKUP(O3974, Reference!$A$2:$D$34, 4, FALSE) &lt;= P3974),
                AND(R3974="General Use", VLOOKUP(O3974, Reference!$A$2:$D$34, 3, FALSE) &lt;= P3974)
            ),
                "Exceeded",
                "OK"
            ),
            "No Regulation defined"
        )
    ),
    ""
)</f>
        <v/>
      </c>
      <c r="AB3974" s="62" t="str">
        <f t="shared" si="62"/>
        <v/>
      </c>
    </row>
    <row r="3975" spans="20:28" x14ac:dyDescent="0.2">
      <c r="T3975" s="60" t="str">
        <f>IF(P3975&lt;&gt;"",
    IF(OR(O3975="", Q3975="", R3975=""),
        "Fill all the required columns",
        IFERROR(
            IF(OR(
                AND(R3975="Marine Protected", VLOOKUP(O3975, Reference!$A$2:$D$34, 4, FALSE) &lt;= P3975),
                AND(R3975="General Use", VLOOKUP(O3975, Reference!$A$2:$D$34, 3, FALSE) &lt;= P3975)
            ),
                "Exceeded",
                "OK"
            ),
            "No Regulation defined"
        )
    ),
    ""
)</f>
        <v/>
      </c>
      <c r="AB3975" s="62" t="str">
        <f t="shared" si="62"/>
        <v/>
      </c>
    </row>
    <row r="3976" spans="20:28" x14ac:dyDescent="0.2">
      <c r="T3976" s="60" t="str">
        <f>IF(P3976&lt;&gt;"",
    IF(OR(O3976="", Q3976="", R3976=""),
        "Fill all the required columns",
        IFERROR(
            IF(OR(
                AND(R3976="Marine Protected", VLOOKUP(O3976, Reference!$A$2:$D$34, 4, FALSE) &lt;= P3976),
                AND(R3976="General Use", VLOOKUP(O3976, Reference!$A$2:$D$34, 3, FALSE) &lt;= P3976)
            ),
                "Exceeded",
                "OK"
            ),
            "No Regulation defined"
        )
    ),
    ""
)</f>
        <v/>
      </c>
      <c r="AB3976" s="62" t="str">
        <f t="shared" si="62"/>
        <v/>
      </c>
    </row>
    <row r="3977" spans="20:28" x14ac:dyDescent="0.2">
      <c r="T3977" s="60" t="str">
        <f>IF(P3977&lt;&gt;"",
    IF(OR(O3977="", Q3977="", R3977=""),
        "Fill all the required columns",
        IFERROR(
            IF(OR(
                AND(R3977="Marine Protected", VLOOKUP(O3977, Reference!$A$2:$D$34, 4, FALSE) &lt;= P3977),
                AND(R3977="General Use", VLOOKUP(O3977, Reference!$A$2:$D$34, 3, FALSE) &lt;= P3977)
            ),
                "Exceeded",
                "OK"
            ),
            "No Regulation defined"
        )
    ),
    ""
)</f>
        <v/>
      </c>
      <c r="AB3977" s="62" t="str">
        <f t="shared" si="62"/>
        <v/>
      </c>
    </row>
    <row r="3978" spans="20:28" x14ac:dyDescent="0.2">
      <c r="T3978" s="60" t="str">
        <f>IF(P3978&lt;&gt;"",
    IF(OR(O3978="", Q3978="", R3978=""),
        "Fill all the required columns",
        IFERROR(
            IF(OR(
                AND(R3978="Marine Protected", VLOOKUP(O3978, Reference!$A$2:$D$34, 4, FALSE) &lt;= P3978),
                AND(R3978="General Use", VLOOKUP(O3978, Reference!$A$2:$D$34, 3, FALSE) &lt;= P3978)
            ),
                "Exceeded",
                "OK"
            ),
            "No Regulation defined"
        )
    ),
    ""
)</f>
        <v/>
      </c>
      <c r="AB3978" s="62" t="str">
        <f t="shared" si="62"/>
        <v/>
      </c>
    </row>
    <row r="3979" spans="20:28" x14ac:dyDescent="0.2">
      <c r="T3979" s="60" t="str">
        <f>IF(P3979&lt;&gt;"",
    IF(OR(O3979="", Q3979="", R3979=""),
        "Fill all the required columns",
        IFERROR(
            IF(OR(
                AND(R3979="Marine Protected", VLOOKUP(O3979, Reference!$A$2:$D$34, 4, FALSE) &lt;= P3979),
                AND(R3979="General Use", VLOOKUP(O3979, Reference!$A$2:$D$34, 3, FALSE) &lt;= P3979)
            ),
                "Exceeded",
                "OK"
            ),
            "No Regulation defined"
        )
    ),
    ""
)</f>
        <v/>
      </c>
      <c r="AB3979" s="62" t="str">
        <f t="shared" si="62"/>
        <v/>
      </c>
    </row>
    <row r="3980" spans="20:28" x14ac:dyDescent="0.2">
      <c r="T3980" s="60" t="str">
        <f>IF(P3980&lt;&gt;"",
    IF(OR(O3980="", Q3980="", R3980=""),
        "Fill all the required columns",
        IFERROR(
            IF(OR(
                AND(R3980="Marine Protected", VLOOKUP(O3980, Reference!$A$2:$D$34, 4, FALSE) &lt;= P3980),
                AND(R3980="General Use", VLOOKUP(O3980, Reference!$A$2:$D$34, 3, FALSE) &lt;= P3980)
            ),
                "Exceeded",
                "OK"
            ),
            "No Regulation defined"
        )
    ),
    ""
)</f>
        <v/>
      </c>
      <c r="AB3980" s="62" t="str">
        <f t="shared" si="62"/>
        <v/>
      </c>
    </row>
    <row r="3981" spans="20:28" x14ac:dyDescent="0.2">
      <c r="T3981" s="60" t="str">
        <f>IF(P3981&lt;&gt;"",
    IF(OR(O3981="", Q3981="", R3981=""),
        "Fill all the required columns",
        IFERROR(
            IF(OR(
                AND(R3981="Marine Protected", VLOOKUP(O3981, Reference!$A$2:$D$34, 4, FALSE) &lt;= P3981),
                AND(R3981="General Use", VLOOKUP(O3981, Reference!$A$2:$D$34, 3, FALSE) &lt;= P3981)
            ),
                "Exceeded",
                "OK"
            ),
            "No Regulation defined"
        )
    ),
    ""
)</f>
        <v/>
      </c>
      <c r="AB3981" s="62" t="str">
        <f t="shared" si="62"/>
        <v/>
      </c>
    </row>
    <row r="3982" spans="20:28" x14ac:dyDescent="0.2">
      <c r="T3982" s="60" t="str">
        <f>IF(P3982&lt;&gt;"",
    IF(OR(O3982="", Q3982="", R3982=""),
        "Fill all the required columns",
        IFERROR(
            IF(OR(
                AND(R3982="Marine Protected", VLOOKUP(O3982, Reference!$A$2:$D$34, 4, FALSE) &lt;= P3982),
                AND(R3982="General Use", VLOOKUP(O3982, Reference!$A$2:$D$34, 3, FALSE) &lt;= P3982)
            ),
                "Exceeded",
                "OK"
            ),
            "No Regulation defined"
        )
    ),
    ""
)</f>
        <v/>
      </c>
      <c r="AB3982" s="62" t="str">
        <f t="shared" si="62"/>
        <v/>
      </c>
    </row>
    <row r="3983" spans="20:28" x14ac:dyDescent="0.2">
      <c r="T3983" s="60" t="str">
        <f>IF(P3983&lt;&gt;"",
    IF(OR(O3983="", Q3983="", R3983=""),
        "Fill all the required columns",
        IFERROR(
            IF(OR(
                AND(R3983="Marine Protected", VLOOKUP(O3983, Reference!$A$2:$D$34, 4, FALSE) &lt;= P3983),
                AND(R3983="General Use", VLOOKUP(O3983, Reference!$A$2:$D$34, 3, FALSE) &lt;= P3983)
            ),
                "Exceeded",
                "OK"
            ),
            "No Regulation defined"
        )
    ),
    ""
)</f>
        <v/>
      </c>
      <c r="AB3983" s="62" t="str">
        <f t="shared" si="62"/>
        <v/>
      </c>
    </row>
    <row r="3984" spans="20:28" x14ac:dyDescent="0.2">
      <c r="T3984" s="60" t="str">
        <f>IF(P3984&lt;&gt;"",
    IF(OR(O3984="", Q3984="", R3984=""),
        "Fill all the required columns",
        IFERROR(
            IF(OR(
                AND(R3984="Marine Protected", VLOOKUP(O3984, Reference!$A$2:$D$34, 4, FALSE) &lt;= P3984),
                AND(R3984="General Use", VLOOKUP(O3984, Reference!$A$2:$D$34, 3, FALSE) &lt;= P3984)
            ),
                "Exceeded",
                "OK"
            ),
            "No Regulation defined"
        )
    ),
    ""
)</f>
        <v/>
      </c>
      <c r="AB3984" s="62" t="str">
        <f t="shared" si="62"/>
        <v/>
      </c>
    </row>
    <row r="3985" spans="20:28" x14ac:dyDescent="0.2">
      <c r="T3985" s="60" t="str">
        <f>IF(P3985&lt;&gt;"",
    IF(OR(O3985="", Q3985="", R3985=""),
        "Fill all the required columns",
        IFERROR(
            IF(OR(
                AND(R3985="Marine Protected", VLOOKUP(O3985, Reference!$A$2:$D$34, 4, FALSE) &lt;= P3985),
                AND(R3985="General Use", VLOOKUP(O3985, Reference!$A$2:$D$34, 3, FALSE) &lt;= P3985)
            ),
                "Exceeded",
                "OK"
            ),
            "No Regulation defined"
        )
    ),
    ""
)</f>
        <v/>
      </c>
      <c r="AB3985" s="62" t="str">
        <f t="shared" si="62"/>
        <v/>
      </c>
    </row>
    <row r="3986" spans="20:28" x14ac:dyDescent="0.2">
      <c r="T3986" s="60" t="str">
        <f>IF(P3986&lt;&gt;"",
    IF(OR(O3986="", Q3986="", R3986=""),
        "Fill all the required columns",
        IFERROR(
            IF(OR(
                AND(R3986="Marine Protected", VLOOKUP(O3986, Reference!$A$2:$D$34, 4, FALSE) &lt;= P3986),
                AND(R3986="General Use", VLOOKUP(O3986, Reference!$A$2:$D$34, 3, FALSE) &lt;= P3986)
            ),
                "Exceeded",
                "OK"
            ),
            "No Regulation defined"
        )
    ),
    ""
)</f>
        <v/>
      </c>
      <c r="AB3986" s="62" t="str">
        <f t="shared" si="62"/>
        <v/>
      </c>
    </row>
    <row r="3987" spans="20:28" x14ac:dyDescent="0.2">
      <c r="T3987" s="60" t="str">
        <f>IF(P3987&lt;&gt;"",
    IF(OR(O3987="", Q3987="", R3987=""),
        "Fill all the required columns",
        IFERROR(
            IF(OR(
                AND(R3987="Marine Protected", VLOOKUP(O3987, Reference!$A$2:$D$34, 4, FALSE) &lt;= P3987),
                AND(R3987="General Use", VLOOKUP(O3987, Reference!$A$2:$D$34, 3, FALSE) &lt;= P3987)
            ),
                "Exceeded",
                "OK"
            ),
            "No Regulation defined"
        )
    ),
    ""
)</f>
        <v/>
      </c>
      <c r="AB3987" s="62" t="str">
        <f t="shared" si="62"/>
        <v/>
      </c>
    </row>
    <row r="3988" spans="20:28" x14ac:dyDescent="0.2">
      <c r="T3988" s="60" t="str">
        <f>IF(P3988&lt;&gt;"",
    IF(OR(O3988="", Q3988="", R3988=""),
        "Fill all the required columns",
        IFERROR(
            IF(OR(
                AND(R3988="Marine Protected", VLOOKUP(O3988, Reference!$A$2:$D$34, 4, FALSE) &lt;= P3988),
                AND(R3988="General Use", VLOOKUP(O3988, Reference!$A$2:$D$34, 3, FALSE) &lt;= P3988)
            ),
                "Exceeded",
                "OK"
            ),
            "No Regulation defined"
        )
    ),
    ""
)</f>
        <v/>
      </c>
      <c r="AB3988" s="62" t="str">
        <f t="shared" si="62"/>
        <v/>
      </c>
    </row>
    <row r="3989" spans="20:28" x14ac:dyDescent="0.2">
      <c r="T3989" s="60" t="str">
        <f>IF(P3989&lt;&gt;"",
    IF(OR(O3989="", Q3989="", R3989=""),
        "Fill all the required columns",
        IFERROR(
            IF(OR(
                AND(R3989="Marine Protected", VLOOKUP(O3989, Reference!$A$2:$D$34, 4, FALSE) &lt;= P3989),
                AND(R3989="General Use", VLOOKUP(O3989, Reference!$A$2:$D$34, 3, FALSE) &lt;= P3989)
            ),
                "Exceeded",
                "OK"
            ),
            "No Regulation defined"
        )
    ),
    ""
)</f>
        <v/>
      </c>
      <c r="AB3989" s="62" t="str">
        <f t="shared" si="62"/>
        <v/>
      </c>
    </row>
    <row r="3990" spans="20:28" x14ac:dyDescent="0.2">
      <c r="T3990" s="60" t="str">
        <f>IF(P3990&lt;&gt;"",
    IF(OR(O3990="", Q3990="", R3990=""),
        "Fill all the required columns",
        IFERROR(
            IF(OR(
                AND(R3990="Marine Protected", VLOOKUP(O3990, Reference!$A$2:$D$34, 4, FALSE) &lt;= P3990),
                AND(R3990="General Use", VLOOKUP(O3990, Reference!$A$2:$D$34, 3, FALSE) &lt;= P3990)
            ),
                "Exceeded",
                "OK"
            ),
            "No Regulation defined"
        )
    ),
    ""
)</f>
        <v/>
      </c>
      <c r="AB3990" s="62" t="str">
        <f t="shared" si="62"/>
        <v/>
      </c>
    </row>
    <row r="3991" spans="20:28" x14ac:dyDescent="0.2">
      <c r="T3991" s="60" t="str">
        <f>IF(P3991&lt;&gt;"",
    IF(OR(O3991="", Q3991="", R3991=""),
        "Fill all the required columns",
        IFERROR(
            IF(OR(
                AND(R3991="Marine Protected", VLOOKUP(O3991, Reference!$A$2:$D$34, 4, FALSE) &lt;= P3991),
                AND(R3991="General Use", VLOOKUP(O3991, Reference!$A$2:$D$34, 3, FALSE) &lt;= P3991)
            ),
                "Exceeded",
                "OK"
            ),
            "No Regulation defined"
        )
    ),
    ""
)</f>
        <v/>
      </c>
      <c r="AB3991" s="62" t="str">
        <f t="shared" si="62"/>
        <v/>
      </c>
    </row>
    <row r="3992" spans="20:28" x14ac:dyDescent="0.2">
      <c r="T3992" s="60" t="str">
        <f>IF(P3992&lt;&gt;"",
    IF(OR(O3992="", Q3992="", R3992=""),
        "Fill all the required columns",
        IFERROR(
            IF(OR(
                AND(R3992="Marine Protected", VLOOKUP(O3992, Reference!$A$2:$D$34, 4, FALSE) &lt;= P3992),
                AND(R3992="General Use", VLOOKUP(O3992, Reference!$A$2:$D$34, 3, FALSE) &lt;= P3992)
            ),
                "Exceeded",
                "OK"
            ),
            "No Regulation defined"
        )
    ),
    ""
)</f>
        <v/>
      </c>
      <c r="AB3992" s="62" t="str">
        <f t="shared" si="62"/>
        <v/>
      </c>
    </row>
    <row r="3993" spans="20:28" x14ac:dyDescent="0.2">
      <c r="T3993" s="60" t="str">
        <f>IF(P3993&lt;&gt;"",
    IF(OR(O3993="", Q3993="", R3993=""),
        "Fill all the required columns",
        IFERROR(
            IF(OR(
                AND(R3993="Marine Protected", VLOOKUP(O3993, Reference!$A$2:$D$34, 4, FALSE) &lt;= P3993),
                AND(R3993="General Use", VLOOKUP(O3993, Reference!$A$2:$D$34, 3, FALSE) &lt;= P3993)
            ),
                "Exceeded",
                "OK"
            ),
            "No Regulation defined"
        )
    ),
    ""
)</f>
        <v/>
      </c>
      <c r="AB3993" s="62" t="str">
        <f t="shared" si="62"/>
        <v/>
      </c>
    </row>
    <row r="3994" spans="20:28" x14ac:dyDescent="0.2">
      <c r="T3994" s="60" t="str">
        <f>IF(P3994&lt;&gt;"",
    IF(OR(O3994="", Q3994="", R3994=""),
        "Fill all the required columns",
        IFERROR(
            IF(OR(
                AND(R3994="Marine Protected", VLOOKUP(O3994, Reference!$A$2:$D$34, 4, FALSE) &lt;= P3994),
                AND(R3994="General Use", VLOOKUP(O3994, Reference!$A$2:$D$34, 3, FALSE) &lt;= P3994)
            ),
                "Exceeded",
                "OK"
            ),
            "No Regulation defined"
        )
    ),
    ""
)</f>
        <v/>
      </c>
      <c r="AB3994" s="62" t="str">
        <f t="shared" si="62"/>
        <v/>
      </c>
    </row>
    <row r="3995" spans="20:28" x14ac:dyDescent="0.2">
      <c r="T3995" s="60" t="str">
        <f>IF(P3995&lt;&gt;"",
    IF(OR(O3995="", Q3995="", R3995=""),
        "Fill all the required columns",
        IFERROR(
            IF(OR(
                AND(R3995="Marine Protected", VLOOKUP(O3995, Reference!$A$2:$D$34, 4, FALSE) &lt;= P3995),
                AND(R3995="General Use", VLOOKUP(O3995, Reference!$A$2:$D$34, 3, FALSE) &lt;= P3995)
            ),
                "Exceeded",
                "OK"
            ),
            "No Regulation defined"
        )
    ),
    ""
)</f>
        <v/>
      </c>
      <c r="AB3995" s="62" t="str">
        <f t="shared" si="62"/>
        <v/>
      </c>
    </row>
    <row r="3996" spans="20:28" x14ac:dyDescent="0.2">
      <c r="T3996" s="60" t="str">
        <f>IF(P3996&lt;&gt;"",
    IF(OR(O3996="", Q3996="", R3996=""),
        "Fill all the required columns",
        IFERROR(
            IF(OR(
                AND(R3996="Marine Protected", VLOOKUP(O3996, Reference!$A$2:$D$34, 4, FALSE) &lt;= P3996),
                AND(R3996="General Use", VLOOKUP(O3996, Reference!$A$2:$D$34, 3, FALSE) &lt;= P3996)
            ),
                "Exceeded",
                "OK"
            ),
            "No Regulation defined"
        )
    ),
    ""
)</f>
        <v/>
      </c>
      <c r="AB3996" s="62" t="str">
        <f t="shared" si="62"/>
        <v/>
      </c>
    </row>
    <row r="3997" spans="20:28" x14ac:dyDescent="0.2">
      <c r="T3997" s="60" t="str">
        <f>IF(P3997&lt;&gt;"",
    IF(OR(O3997="", Q3997="", R3997=""),
        "Fill all the required columns",
        IFERROR(
            IF(OR(
                AND(R3997="Marine Protected", VLOOKUP(O3997, Reference!$A$2:$D$34, 4, FALSE) &lt;= P3997),
                AND(R3997="General Use", VLOOKUP(O3997, Reference!$A$2:$D$34, 3, FALSE) &lt;= P3997)
            ),
                "Exceeded",
                "OK"
            ),
            "No Regulation defined"
        )
    ),
    ""
)</f>
        <v/>
      </c>
      <c r="AB3997" s="62" t="str">
        <f t="shared" si="62"/>
        <v/>
      </c>
    </row>
    <row r="3998" spans="20:28" x14ac:dyDescent="0.2">
      <c r="T3998" s="60" t="str">
        <f>IF(P3998&lt;&gt;"",
    IF(OR(O3998="", Q3998="", R3998=""),
        "Fill all the required columns",
        IFERROR(
            IF(OR(
                AND(R3998="Marine Protected", VLOOKUP(O3998, Reference!$A$2:$D$34, 4, FALSE) &lt;= P3998),
                AND(R3998="General Use", VLOOKUP(O3998, Reference!$A$2:$D$34, 3, FALSE) &lt;= P3998)
            ),
                "Exceeded",
                "OK"
            ),
            "No Regulation defined"
        )
    ),
    ""
)</f>
        <v/>
      </c>
      <c r="AB3998" s="62" t="str">
        <f t="shared" si="62"/>
        <v/>
      </c>
    </row>
    <row r="3999" spans="20:28" x14ac:dyDescent="0.2">
      <c r="T3999" s="60" t="str">
        <f>IF(P3999&lt;&gt;"",
    IF(OR(O3999="", Q3999="", R3999=""),
        "Fill all the required columns",
        IFERROR(
            IF(OR(
                AND(R3999="Marine Protected", VLOOKUP(O3999, Reference!$A$2:$D$34, 4, FALSE) &lt;= P3999),
                AND(R3999="General Use", VLOOKUP(O3999, Reference!$A$2:$D$34, 3, FALSE) &lt;= P3999)
            ),
                "Exceeded",
                "OK"
            ),
            "No Regulation defined"
        )
    ),
    ""
)</f>
        <v/>
      </c>
      <c r="AB3999" s="62" t="str">
        <f t="shared" si="62"/>
        <v/>
      </c>
    </row>
    <row r="4000" spans="20:28" x14ac:dyDescent="0.2">
      <c r="T4000" s="60" t="str">
        <f>IF(P4000&lt;&gt;"",
    IF(OR(O4000="", Q4000="", R4000=""),
        "Fill all the required columns",
        IFERROR(
            IF(OR(
                AND(R4000="Marine Protected", VLOOKUP(O4000, Reference!$A$2:$D$34, 4, FALSE) &lt;= P4000),
                AND(R4000="General Use", VLOOKUP(O4000, Reference!$A$2:$D$34, 3, FALSE) &lt;= P4000)
            ),
                "Exceeded",
                "OK"
            ),
            "No Regulation defined"
        )
    ),
    ""
)</f>
        <v/>
      </c>
      <c r="AB4000" s="62" t="str">
        <f t="shared" si="62"/>
        <v/>
      </c>
    </row>
    <row r="4001" spans="20:28" x14ac:dyDescent="0.2">
      <c r="T4001" s="60" t="str">
        <f>IF(P4001&lt;&gt;"",
    IF(OR(O4001="", Q4001="", R4001=""),
        "Fill all the required columns",
        IFERROR(
            IF(OR(
                AND(R4001="Marine Protected", VLOOKUP(O4001, Reference!$A$2:$D$34, 4, FALSE) &lt;= P4001),
                AND(R4001="General Use", VLOOKUP(O4001, Reference!$A$2:$D$34, 3, FALSE) &lt;= P4001)
            ),
                "Exceeded",
                "OK"
            ),
            "No Regulation defined"
        )
    ),
    ""
)</f>
        <v/>
      </c>
      <c r="AB4001" s="62" t="str">
        <f t="shared" si="62"/>
        <v/>
      </c>
    </row>
    <row r="4002" spans="20:28" x14ac:dyDescent="0.2">
      <c r="T4002" s="60" t="str">
        <f>IF(P4002&lt;&gt;"",
    IF(OR(O4002="", Q4002="", R4002=""),
        "Fill all the required columns",
        IFERROR(
            IF(OR(
                AND(R4002="Marine Protected", VLOOKUP(O4002, Reference!$A$2:$D$34, 4, FALSE) &lt;= P4002),
                AND(R4002="General Use", VLOOKUP(O4002, Reference!$A$2:$D$34, 3, FALSE) &lt;= P4002)
            ),
                "Exceeded",
                "OK"
            ),
            "No Regulation defined"
        )
    ),
    ""
)</f>
        <v/>
      </c>
      <c r="AB4002" s="62" t="str">
        <f t="shared" si="62"/>
        <v/>
      </c>
    </row>
    <row r="4003" spans="20:28" x14ac:dyDescent="0.2">
      <c r="T4003" s="60" t="str">
        <f>IF(P4003&lt;&gt;"",
    IF(OR(O4003="", Q4003="", R4003=""),
        "Fill all the required columns",
        IFERROR(
            IF(OR(
                AND(R4003="Marine Protected", VLOOKUP(O4003, Reference!$A$2:$D$34, 4, FALSE) &lt;= P4003),
                AND(R4003="General Use", VLOOKUP(O4003, Reference!$A$2:$D$34, 3, FALSE) &lt;= P4003)
            ),
                "Exceeded",
                "OK"
            ),
            "No Regulation defined"
        )
    ),
    ""
)</f>
        <v/>
      </c>
      <c r="AB4003" s="62" t="str">
        <f t="shared" si="62"/>
        <v/>
      </c>
    </row>
    <row r="4004" spans="20:28" x14ac:dyDescent="0.2">
      <c r="T4004" s="60" t="str">
        <f>IF(P4004&lt;&gt;"",
    IF(OR(O4004="", Q4004="", R4004=""),
        "Fill all the required columns",
        IFERROR(
            IF(OR(
                AND(R4004="Marine Protected", VLOOKUP(O4004, Reference!$A$2:$D$34, 4, FALSE) &lt;= P4004),
                AND(R4004="General Use", VLOOKUP(O4004, Reference!$A$2:$D$34, 3, FALSE) &lt;= P4004)
            ),
                "Exceeded",
                "OK"
            ),
            "No Regulation defined"
        )
    ),
    ""
)</f>
        <v/>
      </c>
      <c r="AB4004" s="62" t="str">
        <f t="shared" si="62"/>
        <v/>
      </c>
    </row>
    <row r="4005" spans="20:28" x14ac:dyDescent="0.2">
      <c r="T4005" s="60" t="str">
        <f>IF(P4005&lt;&gt;"",
    IF(OR(O4005="", Q4005="", R4005=""),
        "Fill all the required columns",
        IFERROR(
            IF(OR(
                AND(R4005="Marine Protected", VLOOKUP(O4005, Reference!$A$2:$D$34, 4, FALSE) &lt;= P4005),
                AND(R4005="General Use", VLOOKUP(O4005, Reference!$A$2:$D$34, 3, FALSE) &lt;= P4005)
            ),
                "Exceeded",
                "OK"
            ),
            "No Regulation defined"
        )
    ),
    ""
)</f>
        <v/>
      </c>
      <c r="AB4005" s="62" t="str">
        <f t="shared" si="62"/>
        <v/>
      </c>
    </row>
    <row r="4006" spans="20:28" x14ac:dyDescent="0.2">
      <c r="T4006" s="60" t="str">
        <f>IF(P4006&lt;&gt;"",
    IF(OR(O4006="", Q4006="", R4006=""),
        "Fill all the required columns",
        IFERROR(
            IF(OR(
                AND(R4006="Marine Protected", VLOOKUP(O4006, Reference!$A$2:$D$34, 4, FALSE) &lt;= P4006),
                AND(R4006="General Use", VLOOKUP(O4006, Reference!$A$2:$D$34, 3, FALSE) &lt;= P4006)
            ),
                "Exceeded",
                "OK"
            ),
            "No Regulation defined"
        )
    ),
    ""
)</f>
        <v/>
      </c>
      <c r="AB4006" s="62" t="str">
        <f t="shared" si="62"/>
        <v/>
      </c>
    </row>
    <row r="4007" spans="20:28" x14ac:dyDescent="0.2">
      <c r="T4007" s="60" t="str">
        <f>IF(P4007&lt;&gt;"",
    IF(OR(O4007="", Q4007="", R4007=""),
        "Fill all the required columns",
        IFERROR(
            IF(OR(
                AND(R4007="Marine Protected", VLOOKUP(O4007, Reference!$A$2:$D$34, 4, FALSE) &lt;= P4007),
                AND(R4007="General Use", VLOOKUP(O4007, Reference!$A$2:$D$34, 3, FALSE) &lt;= P4007)
            ),
                "Exceeded",
                "OK"
            ),
            "No Regulation defined"
        )
    ),
    ""
)</f>
        <v/>
      </c>
      <c r="AB4007" s="62" t="str">
        <f t="shared" si="62"/>
        <v/>
      </c>
    </row>
    <row r="4008" spans="20:28" x14ac:dyDescent="0.2">
      <c r="T4008" s="60" t="str">
        <f>IF(P4008&lt;&gt;"",
    IF(OR(O4008="", Q4008="", R4008=""),
        "Fill all the required columns",
        IFERROR(
            IF(OR(
                AND(R4008="Marine Protected", VLOOKUP(O4008, Reference!$A$2:$D$34, 4, FALSE) &lt;= P4008),
                AND(R4008="General Use", VLOOKUP(O4008, Reference!$A$2:$D$34, 3, FALSE) &lt;= P4008)
            ),
                "Exceeded",
                "OK"
            ),
            "No Regulation defined"
        )
    ),
    ""
)</f>
        <v/>
      </c>
      <c r="AB4008" s="62" t="str">
        <f t="shared" si="62"/>
        <v/>
      </c>
    </row>
    <row r="4009" spans="20:28" x14ac:dyDescent="0.2">
      <c r="T4009" s="60" t="str">
        <f>IF(P4009&lt;&gt;"",
    IF(OR(O4009="", Q4009="", R4009=""),
        "Fill all the required columns",
        IFERROR(
            IF(OR(
                AND(R4009="Marine Protected", VLOOKUP(O4009, Reference!$A$2:$D$34, 4, FALSE) &lt;= P4009),
                AND(R4009="General Use", VLOOKUP(O4009, Reference!$A$2:$D$34, 3, FALSE) &lt;= P4009)
            ),
                "Exceeded",
                "OK"
            ),
            "No Regulation defined"
        )
    ),
    ""
)</f>
        <v/>
      </c>
      <c r="AB4009" s="62" t="str">
        <f t="shared" si="62"/>
        <v/>
      </c>
    </row>
    <row r="4010" spans="20:28" x14ac:dyDescent="0.2">
      <c r="T4010" s="60" t="str">
        <f>IF(P4010&lt;&gt;"",
    IF(OR(O4010="", Q4010="", R4010=""),
        "Fill all the required columns",
        IFERROR(
            IF(OR(
                AND(R4010="Marine Protected", VLOOKUP(O4010, Reference!$A$2:$D$34, 4, FALSE) &lt;= P4010),
                AND(R4010="General Use", VLOOKUP(O4010, Reference!$A$2:$D$34, 3, FALSE) &lt;= P4010)
            ),
                "Exceeded",
                "OK"
            ),
            "No Regulation defined"
        )
    ),
    ""
)</f>
        <v/>
      </c>
      <c r="AB4010" s="62" t="str">
        <f t="shared" si="62"/>
        <v/>
      </c>
    </row>
    <row r="4011" spans="20:28" x14ac:dyDescent="0.2">
      <c r="T4011" s="60" t="str">
        <f>IF(P4011&lt;&gt;"",
    IF(OR(O4011="", Q4011="", R4011=""),
        "Fill all the required columns",
        IFERROR(
            IF(OR(
                AND(R4011="Marine Protected", VLOOKUP(O4011, Reference!$A$2:$D$34, 4, FALSE) &lt;= P4011),
                AND(R4011="General Use", VLOOKUP(O4011, Reference!$A$2:$D$34, 3, FALSE) &lt;= P4011)
            ),
                "Exceeded",
                "OK"
            ),
            "No Regulation defined"
        )
    ),
    ""
)</f>
        <v/>
      </c>
      <c r="AB4011" s="62" t="str">
        <f t="shared" si="62"/>
        <v/>
      </c>
    </row>
    <row r="4012" spans="20:28" x14ac:dyDescent="0.2">
      <c r="T4012" s="60" t="str">
        <f>IF(P4012&lt;&gt;"",
    IF(OR(O4012="", Q4012="", R4012=""),
        "Fill all the required columns",
        IFERROR(
            IF(OR(
                AND(R4012="Marine Protected", VLOOKUP(O4012, Reference!$A$2:$D$34, 4, FALSE) &lt;= P4012),
                AND(R4012="General Use", VLOOKUP(O4012, Reference!$A$2:$D$34, 3, FALSE) &lt;= P4012)
            ),
                "Exceeded",
                "OK"
            ),
            "No Regulation defined"
        )
    ),
    ""
)</f>
        <v/>
      </c>
      <c r="AB4012" s="62" t="str">
        <f t="shared" si="62"/>
        <v/>
      </c>
    </row>
    <row r="4013" spans="20:28" x14ac:dyDescent="0.2">
      <c r="T4013" s="60" t="str">
        <f>IF(P4013&lt;&gt;"",
    IF(OR(O4013="", Q4013="", R4013=""),
        "Fill all the required columns",
        IFERROR(
            IF(OR(
                AND(R4013="Marine Protected", VLOOKUP(O4013, Reference!$A$2:$D$34, 4, FALSE) &lt;= P4013),
                AND(R4013="General Use", VLOOKUP(O4013, Reference!$A$2:$D$34, 3, FALSE) &lt;= P4013)
            ),
                "Exceeded",
                "OK"
            ),
            "No Regulation defined"
        )
    ),
    ""
)</f>
        <v/>
      </c>
      <c r="AB4013" s="62" t="str">
        <f t="shared" si="62"/>
        <v/>
      </c>
    </row>
    <row r="4014" spans="20:28" x14ac:dyDescent="0.2">
      <c r="T4014" s="60" t="str">
        <f>IF(P4014&lt;&gt;"",
    IF(OR(O4014="", Q4014="", R4014=""),
        "Fill all the required columns",
        IFERROR(
            IF(OR(
                AND(R4014="Marine Protected", VLOOKUP(O4014, Reference!$A$2:$D$34, 4, FALSE) &lt;= P4014),
                AND(R4014="General Use", VLOOKUP(O4014, Reference!$A$2:$D$34, 3, FALSE) &lt;= P4014)
            ),
                "Exceeded",
                "OK"
            ),
            "No Regulation defined"
        )
    ),
    ""
)</f>
        <v/>
      </c>
      <c r="AB4014" s="62" t="str">
        <f t="shared" si="62"/>
        <v/>
      </c>
    </row>
    <row r="4015" spans="20:28" x14ac:dyDescent="0.2">
      <c r="T4015" s="60" t="str">
        <f>IF(P4015&lt;&gt;"",
    IF(OR(O4015="", Q4015="", R4015=""),
        "Fill all the required columns",
        IFERROR(
            IF(OR(
                AND(R4015="Marine Protected", VLOOKUP(O4015, Reference!$A$2:$D$34, 4, FALSE) &lt;= P4015),
                AND(R4015="General Use", VLOOKUP(O4015, Reference!$A$2:$D$34, 3, FALSE) &lt;= P4015)
            ),
                "Exceeded",
                "OK"
            ),
            "No Regulation defined"
        )
    ),
    ""
)</f>
        <v/>
      </c>
      <c r="AB4015" s="62" t="str">
        <f t="shared" si="62"/>
        <v/>
      </c>
    </row>
    <row r="4016" spans="20:28" x14ac:dyDescent="0.2">
      <c r="T4016" s="60" t="str">
        <f>IF(P4016&lt;&gt;"",
    IF(OR(O4016="", Q4016="", R4016=""),
        "Fill all the required columns",
        IFERROR(
            IF(OR(
                AND(R4016="Marine Protected", VLOOKUP(O4016, Reference!$A$2:$D$34, 4, FALSE) &lt;= P4016),
                AND(R4016="General Use", VLOOKUP(O4016, Reference!$A$2:$D$34, 3, FALSE) &lt;= P4016)
            ),
                "Exceeded",
                "OK"
            ),
            "No Regulation defined"
        )
    ),
    ""
)</f>
        <v/>
      </c>
      <c r="AB4016" s="62" t="str">
        <f t="shared" si="62"/>
        <v/>
      </c>
    </row>
    <row r="4017" spans="20:28" x14ac:dyDescent="0.2">
      <c r="T4017" s="60" t="str">
        <f>IF(P4017&lt;&gt;"",
    IF(OR(O4017="", Q4017="", R4017=""),
        "Fill all the required columns",
        IFERROR(
            IF(OR(
                AND(R4017="Marine Protected", VLOOKUP(O4017, Reference!$A$2:$D$34, 4, FALSE) &lt;= P4017),
                AND(R4017="General Use", VLOOKUP(O4017, Reference!$A$2:$D$34, 3, FALSE) &lt;= P4017)
            ),
                "Exceeded",
                "OK"
            ),
            "No Regulation defined"
        )
    ),
    ""
)</f>
        <v/>
      </c>
      <c r="AB4017" s="62" t="str">
        <f t="shared" si="62"/>
        <v/>
      </c>
    </row>
    <row r="4018" spans="20:28" x14ac:dyDescent="0.2">
      <c r="T4018" s="60" t="str">
        <f>IF(P4018&lt;&gt;"",
    IF(OR(O4018="", Q4018="", R4018=""),
        "Fill all the required columns",
        IFERROR(
            IF(OR(
                AND(R4018="Marine Protected", VLOOKUP(O4018, Reference!$A$2:$D$34, 4, FALSE) &lt;= P4018),
                AND(R4018="General Use", VLOOKUP(O4018, Reference!$A$2:$D$34, 3, FALSE) &lt;= P4018)
            ),
                "Exceeded",
                "OK"
            ),
            "No Regulation defined"
        )
    ),
    ""
)</f>
        <v/>
      </c>
      <c r="AB4018" s="62" t="str">
        <f t="shared" si="62"/>
        <v/>
      </c>
    </row>
    <row r="4019" spans="20:28" x14ac:dyDescent="0.2">
      <c r="T4019" s="60" t="str">
        <f>IF(P4019&lt;&gt;"",
    IF(OR(O4019="", Q4019="", R4019=""),
        "Fill all the required columns",
        IFERROR(
            IF(OR(
                AND(R4019="Marine Protected", VLOOKUP(O4019, Reference!$A$2:$D$34, 4, FALSE) &lt;= P4019),
                AND(R4019="General Use", VLOOKUP(O4019, Reference!$A$2:$D$34, 3, FALSE) &lt;= P4019)
            ),
                "Exceeded",
                "OK"
            ),
            "No Regulation defined"
        )
    ),
    ""
)</f>
        <v/>
      </c>
      <c r="AB4019" s="62" t="str">
        <f t="shared" si="62"/>
        <v/>
      </c>
    </row>
    <row r="4020" spans="20:28" x14ac:dyDescent="0.2">
      <c r="T4020" s="60" t="str">
        <f>IF(P4020&lt;&gt;"",
    IF(OR(O4020="", Q4020="", R4020=""),
        "Fill all the required columns",
        IFERROR(
            IF(OR(
                AND(R4020="Marine Protected", VLOOKUP(O4020, Reference!$A$2:$D$34, 4, FALSE) &lt;= P4020),
                AND(R4020="General Use", VLOOKUP(O4020, Reference!$A$2:$D$34, 3, FALSE) &lt;= P4020)
            ),
                "Exceeded",
                "OK"
            ),
            "No Regulation defined"
        )
    ),
    ""
)</f>
        <v/>
      </c>
      <c r="AB4020" s="62" t="str">
        <f t="shared" si="62"/>
        <v/>
      </c>
    </row>
    <row r="4021" spans="20:28" x14ac:dyDescent="0.2">
      <c r="T4021" s="60" t="str">
        <f>IF(P4021&lt;&gt;"",
    IF(OR(O4021="", Q4021="", R4021=""),
        "Fill all the required columns",
        IFERROR(
            IF(OR(
                AND(R4021="Marine Protected", VLOOKUP(O4021, Reference!$A$2:$D$34, 4, FALSE) &lt;= P4021),
                AND(R4021="General Use", VLOOKUP(O4021, Reference!$A$2:$D$34, 3, FALSE) &lt;= P4021)
            ),
                "Exceeded",
                "OK"
            ),
            "No Regulation defined"
        )
    ),
    ""
)</f>
        <v/>
      </c>
      <c r="AB4021" s="62" t="str">
        <f t="shared" si="62"/>
        <v/>
      </c>
    </row>
    <row r="4022" spans="20:28" x14ac:dyDescent="0.2">
      <c r="T4022" s="60" t="str">
        <f>IF(P4022&lt;&gt;"",
    IF(OR(O4022="", Q4022="", R4022=""),
        "Fill all the required columns",
        IFERROR(
            IF(OR(
                AND(R4022="Marine Protected", VLOOKUP(O4022, Reference!$A$2:$D$34, 4, FALSE) &lt;= P4022),
                AND(R4022="General Use", VLOOKUP(O4022, Reference!$A$2:$D$34, 3, FALSE) &lt;= P4022)
            ),
                "Exceeded",
                "OK"
            ),
            "No Regulation defined"
        )
    ),
    ""
)</f>
        <v/>
      </c>
      <c r="AB4022" s="62" t="str">
        <f t="shared" si="62"/>
        <v/>
      </c>
    </row>
    <row r="4023" spans="20:28" x14ac:dyDescent="0.2">
      <c r="T4023" s="60" t="str">
        <f>IF(P4023&lt;&gt;"",
    IF(OR(O4023="", Q4023="", R4023=""),
        "Fill all the required columns",
        IFERROR(
            IF(OR(
                AND(R4023="Marine Protected", VLOOKUP(O4023, Reference!$A$2:$D$34, 4, FALSE) &lt;= P4023),
                AND(R4023="General Use", VLOOKUP(O4023, Reference!$A$2:$D$34, 3, FALSE) &lt;= P4023)
            ),
                "Exceeded",
                "OK"
            ),
            "No Regulation defined"
        )
    ),
    ""
)</f>
        <v/>
      </c>
      <c r="AB4023" s="62" t="str">
        <f t="shared" si="62"/>
        <v/>
      </c>
    </row>
    <row r="4024" spans="20:28" x14ac:dyDescent="0.2">
      <c r="T4024" s="60" t="str">
        <f>IF(P4024&lt;&gt;"",
    IF(OR(O4024="", Q4024="", R4024=""),
        "Fill all the required columns",
        IFERROR(
            IF(OR(
                AND(R4024="Marine Protected", VLOOKUP(O4024, Reference!$A$2:$D$34, 4, FALSE) &lt;= P4024),
                AND(R4024="General Use", VLOOKUP(O4024, Reference!$A$2:$D$34, 3, FALSE) &lt;= P4024)
            ),
                "Exceeded",
                "OK"
            ),
            "No Regulation defined"
        )
    ),
    ""
)</f>
        <v/>
      </c>
      <c r="AB4024" s="62" t="str">
        <f t="shared" si="62"/>
        <v/>
      </c>
    </row>
    <row r="4025" spans="20:28" x14ac:dyDescent="0.2">
      <c r="T4025" s="60" t="str">
        <f>IF(P4025&lt;&gt;"",
    IF(OR(O4025="", Q4025="", R4025=""),
        "Fill all the required columns",
        IFERROR(
            IF(OR(
                AND(R4025="Marine Protected", VLOOKUP(O4025, Reference!$A$2:$D$34, 4, FALSE) &lt;= P4025),
                AND(R4025="General Use", VLOOKUP(O4025, Reference!$A$2:$D$34, 3, FALSE) &lt;= P4025)
            ),
                "Exceeded",
                "OK"
            ),
            "No Regulation defined"
        )
    ),
    ""
)</f>
        <v/>
      </c>
      <c r="AB4025" s="62" t="str">
        <f t="shared" si="62"/>
        <v/>
      </c>
    </row>
    <row r="4026" spans="20:28" x14ac:dyDescent="0.2">
      <c r="T4026" s="60" t="str">
        <f>IF(P4026&lt;&gt;"",
    IF(OR(O4026="", Q4026="", R4026=""),
        "Fill all the required columns",
        IFERROR(
            IF(OR(
                AND(R4026="Marine Protected", VLOOKUP(O4026, Reference!$A$2:$D$34, 4, FALSE) &lt;= P4026),
                AND(R4026="General Use", VLOOKUP(O4026, Reference!$A$2:$D$34, 3, FALSE) &lt;= P4026)
            ),
                "Exceeded",
                "OK"
            ),
            "No Regulation defined"
        )
    ),
    ""
)</f>
        <v/>
      </c>
      <c r="AB4026" s="62" t="str">
        <f t="shared" si="62"/>
        <v/>
      </c>
    </row>
    <row r="4027" spans="20:28" x14ac:dyDescent="0.2">
      <c r="T4027" s="60" t="str">
        <f>IF(P4027&lt;&gt;"",
    IF(OR(O4027="", Q4027="", R4027=""),
        "Fill all the required columns",
        IFERROR(
            IF(OR(
                AND(R4027="Marine Protected", VLOOKUP(O4027, Reference!$A$2:$D$34, 4, FALSE) &lt;= P4027),
                AND(R4027="General Use", VLOOKUP(O4027, Reference!$A$2:$D$34, 3, FALSE) &lt;= P4027)
            ),
                "Exceeded",
                "OK"
            ),
            "No Regulation defined"
        )
    ),
    ""
)</f>
        <v/>
      </c>
      <c r="AB4027" s="62" t="str">
        <f t="shared" si="62"/>
        <v/>
      </c>
    </row>
    <row r="4028" spans="20:28" x14ac:dyDescent="0.2">
      <c r="T4028" s="60" t="str">
        <f>IF(P4028&lt;&gt;"",
    IF(OR(O4028="", Q4028="", R4028=""),
        "Fill all the required columns",
        IFERROR(
            IF(OR(
                AND(R4028="Marine Protected", VLOOKUP(O4028, Reference!$A$2:$D$34, 4, FALSE) &lt;= P4028),
                AND(R4028="General Use", VLOOKUP(O4028, Reference!$A$2:$D$34, 3, FALSE) &lt;= P4028)
            ),
                "Exceeded",
                "OK"
            ),
            "No Regulation defined"
        )
    ),
    ""
)</f>
        <v/>
      </c>
      <c r="AB4028" s="62" t="str">
        <f t="shared" si="62"/>
        <v/>
      </c>
    </row>
    <row r="4029" spans="20:28" x14ac:dyDescent="0.2">
      <c r="T4029" s="60" t="str">
        <f>IF(P4029&lt;&gt;"",
    IF(OR(O4029="", Q4029="", R4029=""),
        "Fill all the required columns",
        IFERROR(
            IF(OR(
                AND(R4029="Marine Protected", VLOOKUP(O4029, Reference!$A$2:$D$34, 4, FALSE) &lt;= P4029),
                AND(R4029="General Use", VLOOKUP(O4029, Reference!$A$2:$D$34, 3, FALSE) &lt;= P4029)
            ),
                "Exceeded",
                "OK"
            ),
            "No Regulation defined"
        )
    ),
    ""
)</f>
        <v/>
      </c>
      <c r="AB4029" s="62" t="str">
        <f t="shared" si="62"/>
        <v/>
      </c>
    </row>
    <row r="4030" spans="20:28" x14ac:dyDescent="0.2">
      <c r="T4030" s="60" t="str">
        <f>IF(P4030&lt;&gt;"",
    IF(OR(O4030="", Q4030="", R4030=""),
        "Fill all the required columns",
        IFERROR(
            IF(OR(
                AND(R4030="Marine Protected", VLOOKUP(O4030, Reference!$A$2:$D$34, 4, FALSE) &lt;= P4030),
                AND(R4030="General Use", VLOOKUP(O4030, Reference!$A$2:$D$34, 3, FALSE) &lt;= P4030)
            ),
                "Exceeded",
                "OK"
            ),
            "No Regulation defined"
        )
    ),
    ""
)</f>
        <v/>
      </c>
      <c r="AB4030" s="62" t="str">
        <f t="shared" si="62"/>
        <v/>
      </c>
    </row>
    <row r="4031" spans="20:28" x14ac:dyDescent="0.2">
      <c r="T4031" s="60" t="str">
        <f>IF(P4031&lt;&gt;"",
    IF(OR(O4031="", Q4031="", R4031=""),
        "Fill all the required columns",
        IFERROR(
            IF(OR(
                AND(R4031="Marine Protected", VLOOKUP(O4031, Reference!$A$2:$D$34, 4, FALSE) &lt;= P4031),
                AND(R4031="General Use", VLOOKUP(O4031, Reference!$A$2:$D$34, 3, FALSE) &lt;= P4031)
            ),
                "Exceeded",
                "OK"
            ),
            "No Regulation defined"
        )
    ),
    ""
)</f>
        <v/>
      </c>
      <c r="AB4031" s="62" t="str">
        <f t="shared" si="62"/>
        <v/>
      </c>
    </row>
    <row r="4032" spans="20:28" x14ac:dyDescent="0.2">
      <c r="T4032" s="60" t="str">
        <f>IF(P4032&lt;&gt;"",
    IF(OR(O4032="", Q4032="", R4032=""),
        "Fill all the required columns",
        IFERROR(
            IF(OR(
                AND(R4032="Marine Protected", VLOOKUP(O4032, Reference!$A$2:$D$34, 4, FALSE) &lt;= P4032),
                AND(R4032="General Use", VLOOKUP(O4032, Reference!$A$2:$D$34, 3, FALSE) &lt;= P4032)
            ),
                "Exceeded",
                "OK"
            ),
            "No Regulation defined"
        )
    ),
    ""
)</f>
        <v/>
      </c>
      <c r="AB4032" s="62" t="str">
        <f t="shared" si="62"/>
        <v/>
      </c>
    </row>
    <row r="4033" spans="20:28" x14ac:dyDescent="0.2">
      <c r="T4033" s="60" t="str">
        <f>IF(P4033&lt;&gt;"",
    IF(OR(O4033="", Q4033="", R4033=""),
        "Fill all the required columns",
        IFERROR(
            IF(OR(
                AND(R4033="Marine Protected", VLOOKUP(O4033, Reference!$A$2:$D$34, 4, FALSE) &lt;= P4033),
                AND(R4033="General Use", VLOOKUP(O4033, Reference!$A$2:$D$34, 3, FALSE) &lt;= P4033)
            ),
                "Exceeded",
                "OK"
            ),
            "No Regulation defined"
        )
    ),
    ""
)</f>
        <v/>
      </c>
      <c r="AB4033" s="62" t="str">
        <f t="shared" si="62"/>
        <v/>
      </c>
    </row>
    <row r="4034" spans="20:28" x14ac:dyDescent="0.2">
      <c r="T4034" s="60" t="str">
        <f>IF(P4034&lt;&gt;"",
    IF(OR(O4034="", Q4034="", R4034=""),
        "Fill all the required columns",
        IFERROR(
            IF(OR(
                AND(R4034="Marine Protected", VLOOKUP(O4034, Reference!$A$2:$D$34, 4, FALSE) &lt;= P4034),
                AND(R4034="General Use", VLOOKUP(O4034, Reference!$A$2:$D$34, 3, FALSE) &lt;= P4034)
            ),
                "Exceeded",
                "OK"
            ),
            "No Regulation defined"
        )
    ),
    ""
)</f>
        <v/>
      </c>
      <c r="AB4034" s="62" t="str">
        <f t="shared" si="62"/>
        <v/>
      </c>
    </row>
    <row r="4035" spans="20:28" x14ac:dyDescent="0.2">
      <c r="T4035" s="60" t="str">
        <f>IF(P4035&lt;&gt;"",
    IF(OR(O4035="", Q4035="", R4035=""),
        "Fill all the required columns",
        IFERROR(
            IF(OR(
                AND(R4035="Marine Protected", VLOOKUP(O4035, Reference!$A$2:$D$34, 4, FALSE) &lt;= P4035),
                AND(R4035="General Use", VLOOKUP(O4035, Reference!$A$2:$D$34, 3, FALSE) &lt;= P4035)
            ),
                "Exceeded",
                "OK"
            ),
            "No Regulation defined"
        )
    ),
    ""
)</f>
        <v/>
      </c>
      <c r="AB4035" s="62" t="str">
        <f t="shared" ref="AB4035:AB4083" si="63">IF(COUNTA(A4035, E4035, F4035, H4035, I4035, O4035, P4035, Q4035, R4035,S4035) = 0, "", IF(COUNTA(A4035, E4035, F4035, H4035, I4035, O4035, P4035, Q4035, R4035,S4035) = 10, "OK", "Incomplete"))</f>
        <v/>
      </c>
    </row>
    <row r="4036" spans="20:28" x14ac:dyDescent="0.2">
      <c r="T4036" s="60" t="str">
        <f>IF(P4036&lt;&gt;"",
    IF(OR(O4036="", Q4036="", R4036=""),
        "Fill all the required columns",
        IFERROR(
            IF(OR(
                AND(R4036="Marine Protected", VLOOKUP(O4036, Reference!$A$2:$D$34, 4, FALSE) &lt;= P4036),
                AND(R4036="General Use", VLOOKUP(O4036, Reference!$A$2:$D$34, 3, FALSE) &lt;= P4036)
            ),
                "Exceeded",
                "OK"
            ),
            "No Regulation defined"
        )
    ),
    ""
)</f>
        <v/>
      </c>
      <c r="AB4036" s="62" t="str">
        <f t="shared" si="63"/>
        <v/>
      </c>
    </row>
    <row r="4037" spans="20:28" x14ac:dyDescent="0.2">
      <c r="T4037" s="60" t="str">
        <f>IF(P4037&lt;&gt;"",
    IF(OR(O4037="", Q4037="", R4037=""),
        "Fill all the required columns",
        IFERROR(
            IF(OR(
                AND(R4037="Marine Protected", VLOOKUP(O4037, Reference!$A$2:$D$34, 4, FALSE) &lt;= P4037),
                AND(R4037="General Use", VLOOKUP(O4037, Reference!$A$2:$D$34, 3, FALSE) &lt;= P4037)
            ),
                "Exceeded",
                "OK"
            ),
            "No Regulation defined"
        )
    ),
    ""
)</f>
        <v/>
      </c>
      <c r="AB4037" s="62" t="str">
        <f t="shared" si="63"/>
        <v/>
      </c>
    </row>
    <row r="4038" spans="20:28" x14ac:dyDescent="0.2">
      <c r="T4038" s="60" t="str">
        <f>IF(P4038&lt;&gt;"",
    IF(OR(O4038="", Q4038="", R4038=""),
        "Fill all the required columns",
        IFERROR(
            IF(OR(
                AND(R4038="Marine Protected", VLOOKUP(O4038, Reference!$A$2:$D$34, 4, FALSE) &lt;= P4038),
                AND(R4038="General Use", VLOOKUP(O4038, Reference!$A$2:$D$34, 3, FALSE) &lt;= P4038)
            ),
                "Exceeded",
                "OK"
            ),
            "No Regulation defined"
        )
    ),
    ""
)</f>
        <v/>
      </c>
      <c r="AB4038" s="62" t="str">
        <f t="shared" si="63"/>
        <v/>
      </c>
    </row>
    <row r="4039" spans="20:28" x14ac:dyDescent="0.2">
      <c r="T4039" s="60" t="str">
        <f>IF(P4039&lt;&gt;"",
    IF(OR(O4039="", Q4039="", R4039=""),
        "Fill all the required columns",
        IFERROR(
            IF(OR(
                AND(R4039="Marine Protected", VLOOKUP(O4039, Reference!$A$2:$D$34, 4, FALSE) &lt;= P4039),
                AND(R4039="General Use", VLOOKUP(O4039, Reference!$A$2:$D$34, 3, FALSE) &lt;= P4039)
            ),
                "Exceeded",
                "OK"
            ),
            "No Regulation defined"
        )
    ),
    ""
)</f>
        <v/>
      </c>
      <c r="AB4039" s="62" t="str">
        <f t="shared" si="63"/>
        <v/>
      </c>
    </row>
    <row r="4040" spans="20:28" x14ac:dyDescent="0.2">
      <c r="T4040" s="60" t="str">
        <f>IF(P4040&lt;&gt;"",
    IF(OR(O4040="", Q4040="", R4040=""),
        "Fill all the required columns",
        IFERROR(
            IF(OR(
                AND(R4040="Marine Protected", VLOOKUP(O4040, Reference!$A$2:$D$34, 4, FALSE) &lt;= P4040),
                AND(R4040="General Use", VLOOKUP(O4040, Reference!$A$2:$D$34, 3, FALSE) &lt;= P4040)
            ),
                "Exceeded",
                "OK"
            ),
            "No Regulation defined"
        )
    ),
    ""
)</f>
        <v/>
      </c>
      <c r="AB4040" s="62" t="str">
        <f t="shared" si="63"/>
        <v/>
      </c>
    </row>
    <row r="4041" spans="20:28" x14ac:dyDescent="0.2">
      <c r="T4041" s="60" t="str">
        <f>IF(P4041&lt;&gt;"",
    IF(OR(O4041="", Q4041="", R4041=""),
        "Fill all the required columns",
        IFERROR(
            IF(OR(
                AND(R4041="Marine Protected", VLOOKUP(O4041, Reference!$A$2:$D$34, 4, FALSE) &lt;= P4041),
                AND(R4041="General Use", VLOOKUP(O4041, Reference!$A$2:$D$34, 3, FALSE) &lt;= P4041)
            ),
                "Exceeded",
                "OK"
            ),
            "No Regulation defined"
        )
    ),
    ""
)</f>
        <v/>
      </c>
      <c r="AB4041" s="62" t="str">
        <f t="shared" si="63"/>
        <v/>
      </c>
    </row>
    <row r="4042" spans="20:28" x14ac:dyDescent="0.2">
      <c r="T4042" s="60" t="str">
        <f>IF(P4042&lt;&gt;"",
    IF(OR(O4042="", Q4042="", R4042=""),
        "Fill all the required columns",
        IFERROR(
            IF(OR(
                AND(R4042="Marine Protected", VLOOKUP(O4042, Reference!$A$2:$D$34, 4, FALSE) &lt;= P4042),
                AND(R4042="General Use", VLOOKUP(O4042, Reference!$A$2:$D$34, 3, FALSE) &lt;= P4042)
            ),
                "Exceeded",
                "OK"
            ),
            "No Regulation defined"
        )
    ),
    ""
)</f>
        <v/>
      </c>
      <c r="AB4042" s="62" t="str">
        <f t="shared" si="63"/>
        <v/>
      </c>
    </row>
    <row r="4043" spans="20:28" x14ac:dyDescent="0.2">
      <c r="T4043" s="60" t="str">
        <f>IF(P4043&lt;&gt;"",
    IF(OR(O4043="", Q4043="", R4043=""),
        "Fill all the required columns",
        IFERROR(
            IF(OR(
                AND(R4043="Marine Protected", VLOOKUP(O4043, Reference!$A$2:$D$34, 4, FALSE) &lt;= P4043),
                AND(R4043="General Use", VLOOKUP(O4043, Reference!$A$2:$D$34, 3, FALSE) &lt;= P4043)
            ),
                "Exceeded",
                "OK"
            ),
            "No Regulation defined"
        )
    ),
    ""
)</f>
        <v/>
      </c>
      <c r="AB4043" s="62" t="str">
        <f t="shared" si="63"/>
        <v/>
      </c>
    </row>
    <row r="4044" spans="20:28" x14ac:dyDescent="0.2">
      <c r="T4044" s="60" t="str">
        <f>IF(P4044&lt;&gt;"",
    IF(OR(O4044="", Q4044="", R4044=""),
        "Fill all the required columns",
        IFERROR(
            IF(OR(
                AND(R4044="Marine Protected", VLOOKUP(O4044, Reference!$A$2:$D$34, 4, FALSE) &lt;= P4044),
                AND(R4044="General Use", VLOOKUP(O4044, Reference!$A$2:$D$34, 3, FALSE) &lt;= P4044)
            ),
                "Exceeded",
                "OK"
            ),
            "No Regulation defined"
        )
    ),
    ""
)</f>
        <v/>
      </c>
      <c r="AB4044" s="62" t="str">
        <f t="shared" si="63"/>
        <v/>
      </c>
    </row>
    <row r="4045" spans="20:28" x14ac:dyDescent="0.2">
      <c r="T4045" s="60" t="str">
        <f>IF(P4045&lt;&gt;"",
    IF(OR(O4045="", Q4045="", R4045=""),
        "Fill all the required columns",
        IFERROR(
            IF(OR(
                AND(R4045="Marine Protected", VLOOKUP(O4045, Reference!$A$2:$D$34, 4, FALSE) &lt;= P4045),
                AND(R4045="General Use", VLOOKUP(O4045, Reference!$A$2:$D$34, 3, FALSE) &lt;= P4045)
            ),
                "Exceeded",
                "OK"
            ),
            "No Regulation defined"
        )
    ),
    ""
)</f>
        <v/>
      </c>
      <c r="AB4045" s="62" t="str">
        <f t="shared" si="63"/>
        <v/>
      </c>
    </row>
    <row r="4046" spans="20:28" x14ac:dyDescent="0.2">
      <c r="T4046" s="60" t="str">
        <f>IF(P4046&lt;&gt;"",
    IF(OR(O4046="", Q4046="", R4046=""),
        "Fill all the required columns",
        IFERROR(
            IF(OR(
                AND(R4046="Marine Protected", VLOOKUP(O4046, Reference!$A$2:$D$34, 4, FALSE) &lt;= P4046),
                AND(R4046="General Use", VLOOKUP(O4046, Reference!$A$2:$D$34, 3, FALSE) &lt;= P4046)
            ),
                "Exceeded",
                "OK"
            ),
            "No Regulation defined"
        )
    ),
    ""
)</f>
        <v/>
      </c>
      <c r="AB4046" s="62" t="str">
        <f t="shared" si="63"/>
        <v/>
      </c>
    </row>
    <row r="4047" spans="20:28" x14ac:dyDescent="0.2">
      <c r="T4047" s="60" t="str">
        <f>IF(P4047&lt;&gt;"",
    IF(OR(O4047="", Q4047="", R4047=""),
        "Fill all the required columns",
        IFERROR(
            IF(OR(
                AND(R4047="Marine Protected", VLOOKUP(O4047, Reference!$A$2:$D$34, 4, FALSE) &lt;= P4047),
                AND(R4047="General Use", VLOOKUP(O4047, Reference!$A$2:$D$34, 3, FALSE) &lt;= P4047)
            ),
                "Exceeded",
                "OK"
            ),
            "No Regulation defined"
        )
    ),
    ""
)</f>
        <v/>
      </c>
      <c r="AB4047" s="62" t="str">
        <f t="shared" si="63"/>
        <v/>
      </c>
    </row>
    <row r="4048" spans="20:28" x14ac:dyDescent="0.2">
      <c r="T4048" s="60" t="str">
        <f>IF(P4048&lt;&gt;"",
    IF(OR(O4048="", Q4048="", R4048=""),
        "Fill all the required columns",
        IFERROR(
            IF(OR(
                AND(R4048="Marine Protected", VLOOKUP(O4048, Reference!$A$2:$D$34, 4, FALSE) &lt;= P4048),
                AND(R4048="General Use", VLOOKUP(O4048, Reference!$A$2:$D$34, 3, FALSE) &lt;= P4048)
            ),
                "Exceeded",
                "OK"
            ),
            "No Regulation defined"
        )
    ),
    ""
)</f>
        <v/>
      </c>
      <c r="AB4048" s="62" t="str">
        <f t="shared" si="63"/>
        <v/>
      </c>
    </row>
    <row r="4049" spans="20:28" x14ac:dyDescent="0.2">
      <c r="T4049" s="60" t="str">
        <f>IF(P4049&lt;&gt;"",
    IF(OR(O4049="", Q4049="", R4049=""),
        "Fill all the required columns",
        IFERROR(
            IF(OR(
                AND(R4049="Marine Protected", VLOOKUP(O4049, Reference!$A$2:$D$34, 4, FALSE) &lt;= P4049),
                AND(R4049="General Use", VLOOKUP(O4049, Reference!$A$2:$D$34, 3, FALSE) &lt;= P4049)
            ),
                "Exceeded",
                "OK"
            ),
            "No Regulation defined"
        )
    ),
    ""
)</f>
        <v/>
      </c>
      <c r="AB4049" s="62" t="str">
        <f t="shared" si="63"/>
        <v/>
      </c>
    </row>
    <row r="4050" spans="20:28" x14ac:dyDescent="0.2">
      <c r="T4050" s="60" t="str">
        <f>IF(P4050&lt;&gt;"",
    IF(OR(O4050="", Q4050="", R4050=""),
        "Fill all the required columns",
        IFERROR(
            IF(OR(
                AND(R4050="Marine Protected", VLOOKUP(O4050, Reference!$A$2:$D$34, 4, FALSE) &lt;= P4050),
                AND(R4050="General Use", VLOOKUP(O4050, Reference!$A$2:$D$34, 3, FALSE) &lt;= P4050)
            ),
                "Exceeded",
                "OK"
            ),
            "No Regulation defined"
        )
    ),
    ""
)</f>
        <v/>
      </c>
      <c r="AB4050" s="62" t="str">
        <f t="shared" si="63"/>
        <v/>
      </c>
    </row>
    <row r="4051" spans="20:28" x14ac:dyDescent="0.2">
      <c r="T4051" s="60" t="str">
        <f>IF(P4051&lt;&gt;"",
    IF(OR(O4051="", Q4051="", R4051=""),
        "Fill all the required columns",
        IFERROR(
            IF(OR(
                AND(R4051="Marine Protected", VLOOKUP(O4051, Reference!$A$2:$D$34, 4, FALSE) &lt;= P4051),
                AND(R4051="General Use", VLOOKUP(O4051, Reference!$A$2:$D$34, 3, FALSE) &lt;= P4051)
            ),
                "Exceeded",
                "OK"
            ),
            "No Regulation defined"
        )
    ),
    ""
)</f>
        <v/>
      </c>
      <c r="AB4051" s="62" t="str">
        <f t="shared" si="63"/>
        <v/>
      </c>
    </row>
    <row r="4052" spans="20:28" x14ac:dyDescent="0.2">
      <c r="T4052" s="60" t="str">
        <f>IF(P4052&lt;&gt;"",
    IF(OR(O4052="", Q4052="", R4052=""),
        "Fill all the required columns",
        IFERROR(
            IF(OR(
                AND(R4052="Marine Protected", VLOOKUP(O4052, Reference!$A$2:$D$34, 4, FALSE) &lt;= P4052),
                AND(R4052="General Use", VLOOKUP(O4052, Reference!$A$2:$D$34, 3, FALSE) &lt;= P4052)
            ),
                "Exceeded",
                "OK"
            ),
            "No Regulation defined"
        )
    ),
    ""
)</f>
        <v/>
      </c>
      <c r="AB4052" s="62" t="str">
        <f t="shared" si="63"/>
        <v/>
      </c>
    </row>
    <row r="4053" spans="20:28" x14ac:dyDescent="0.2">
      <c r="T4053" s="60" t="str">
        <f>IF(P4053&lt;&gt;"",
    IF(OR(O4053="", Q4053="", R4053=""),
        "Fill all the required columns",
        IFERROR(
            IF(OR(
                AND(R4053="Marine Protected", VLOOKUP(O4053, Reference!$A$2:$D$34, 4, FALSE) &lt;= P4053),
                AND(R4053="General Use", VLOOKUP(O4053, Reference!$A$2:$D$34, 3, FALSE) &lt;= P4053)
            ),
                "Exceeded",
                "OK"
            ),
            "No Regulation defined"
        )
    ),
    ""
)</f>
        <v/>
      </c>
      <c r="AB4053" s="62" t="str">
        <f t="shared" si="63"/>
        <v/>
      </c>
    </row>
    <row r="4054" spans="20:28" x14ac:dyDescent="0.2">
      <c r="T4054" s="60" t="str">
        <f>IF(P4054&lt;&gt;"",
    IF(OR(O4054="", Q4054="", R4054=""),
        "Fill all the required columns",
        IFERROR(
            IF(OR(
                AND(R4054="Marine Protected", VLOOKUP(O4054, Reference!$A$2:$D$34, 4, FALSE) &lt;= P4054),
                AND(R4054="General Use", VLOOKUP(O4054, Reference!$A$2:$D$34, 3, FALSE) &lt;= P4054)
            ),
                "Exceeded",
                "OK"
            ),
            "No Regulation defined"
        )
    ),
    ""
)</f>
        <v/>
      </c>
      <c r="AB4054" s="62" t="str">
        <f t="shared" si="63"/>
        <v/>
      </c>
    </row>
    <row r="4055" spans="20:28" x14ac:dyDescent="0.2">
      <c r="T4055" s="60" t="str">
        <f>IF(P4055&lt;&gt;"",
    IF(OR(O4055="", Q4055="", R4055=""),
        "Fill all the required columns",
        IFERROR(
            IF(OR(
                AND(R4055="Marine Protected", VLOOKUP(O4055, Reference!$A$2:$D$34, 4, FALSE) &lt;= P4055),
                AND(R4055="General Use", VLOOKUP(O4055, Reference!$A$2:$D$34, 3, FALSE) &lt;= P4055)
            ),
                "Exceeded",
                "OK"
            ),
            "No Regulation defined"
        )
    ),
    ""
)</f>
        <v/>
      </c>
      <c r="AB4055" s="62" t="str">
        <f t="shared" si="63"/>
        <v/>
      </c>
    </row>
    <row r="4056" spans="20:28" x14ac:dyDescent="0.2">
      <c r="T4056" s="60" t="str">
        <f>IF(P4056&lt;&gt;"",
    IF(OR(O4056="", Q4056="", R4056=""),
        "Fill all the required columns",
        IFERROR(
            IF(OR(
                AND(R4056="Marine Protected", VLOOKUP(O4056, Reference!$A$2:$D$34, 4, FALSE) &lt;= P4056),
                AND(R4056="General Use", VLOOKUP(O4056, Reference!$A$2:$D$34, 3, FALSE) &lt;= P4056)
            ),
                "Exceeded",
                "OK"
            ),
            "No Regulation defined"
        )
    ),
    ""
)</f>
        <v/>
      </c>
      <c r="AB4056" s="62" t="str">
        <f t="shared" si="63"/>
        <v/>
      </c>
    </row>
    <row r="4057" spans="20:28" x14ac:dyDescent="0.2">
      <c r="T4057" s="60" t="str">
        <f>IF(P4057&lt;&gt;"",
    IF(OR(O4057="", Q4057="", R4057=""),
        "Fill all the required columns",
        IFERROR(
            IF(OR(
                AND(R4057="Marine Protected", VLOOKUP(O4057, Reference!$A$2:$D$34, 4, FALSE) &lt;= P4057),
                AND(R4057="General Use", VLOOKUP(O4057, Reference!$A$2:$D$34, 3, FALSE) &lt;= P4057)
            ),
                "Exceeded",
                "OK"
            ),
            "No Regulation defined"
        )
    ),
    ""
)</f>
        <v/>
      </c>
      <c r="AB4057" s="62" t="str">
        <f t="shared" si="63"/>
        <v/>
      </c>
    </row>
    <row r="4058" spans="20:28" x14ac:dyDescent="0.2">
      <c r="T4058" s="60" t="str">
        <f>IF(P4058&lt;&gt;"",
    IF(OR(O4058="", Q4058="", R4058=""),
        "Fill all the required columns",
        IFERROR(
            IF(OR(
                AND(R4058="Marine Protected", VLOOKUP(O4058, Reference!$A$2:$D$34, 4, FALSE) &lt;= P4058),
                AND(R4058="General Use", VLOOKUP(O4058, Reference!$A$2:$D$34, 3, FALSE) &lt;= P4058)
            ),
                "Exceeded",
                "OK"
            ),
            "No Regulation defined"
        )
    ),
    ""
)</f>
        <v/>
      </c>
      <c r="AB4058" s="62" t="str">
        <f t="shared" si="63"/>
        <v/>
      </c>
    </row>
    <row r="4059" spans="20:28" x14ac:dyDescent="0.2">
      <c r="T4059" s="60" t="str">
        <f>IF(P4059&lt;&gt;"",
    IF(OR(O4059="", Q4059="", R4059=""),
        "Fill all the required columns",
        IFERROR(
            IF(OR(
                AND(R4059="Marine Protected", VLOOKUP(O4059, Reference!$A$2:$D$34, 4, FALSE) &lt;= P4059),
                AND(R4059="General Use", VLOOKUP(O4059, Reference!$A$2:$D$34, 3, FALSE) &lt;= P4059)
            ),
                "Exceeded",
                "OK"
            ),
            "No Regulation defined"
        )
    ),
    ""
)</f>
        <v/>
      </c>
      <c r="AB4059" s="62" t="str">
        <f t="shared" si="63"/>
        <v/>
      </c>
    </row>
    <row r="4060" spans="20:28" x14ac:dyDescent="0.2">
      <c r="T4060" s="60" t="str">
        <f>IF(P4060&lt;&gt;"",
    IF(OR(O4060="", Q4060="", R4060=""),
        "Fill all the required columns",
        IFERROR(
            IF(OR(
                AND(R4060="Marine Protected", VLOOKUP(O4060, Reference!$A$2:$D$34, 4, FALSE) &lt;= P4060),
                AND(R4060="General Use", VLOOKUP(O4060, Reference!$A$2:$D$34, 3, FALSE) &lt;= P4060)
            ),
                "Exceeded",
                "OK"
            ),
            "No Regulation defined"
        )
    ),
    ""
)</f>
        <v/>
      </c>
      <c r="AB4060" s="62" t="str">
        <f t="shared" si="63"/>
        <v/>
      </c>
    </row>
    <row r="4061" spans="20:28" x14ac:dyDescent="0.2">
      <c r="T4061" s="60" t="str">
        <f>IF(P4061&lt;&gt;"",
    IF(OR(O4061="", Q4061="", R4061=""),
        "Fill all the required columns",
        IFERROR(
            IF(OR(
                AND(R4061="Marine Protected", VLOOKUP(O4061, Reference!$A$2:$D$34, 4, FALSE) &lt;= P4061),
                AND(R4061="General Use", VLOOKUP(O4061, Reference!$A$2:$D$34, 3, FALSE) &lt;= P4061)
            ),
                "Exceeded",
                "OK"
            ),
            "No Regulation defined"
        )
    ),
    ""
)</f>
        <v/>
      </c>
      <c r="AB4061" s="62" t="str">
        <f t="shared" si="63"/>
        <v/>
      </c>
    </row>
    <row r="4062" spans="20:28" x14ac:dyDescent="0.2">
      <c r="T4062" s="60" t="str">
        <f>IF(P4062&lt;&gt;"",
    IF(OR(O4062="", Q4062="", R4062=""),
        "Fill all the required columns",
        IFERROR(
            IF(OR(
                AND(R4062="Marine Protected", VLOOKUP(O4062, Reference!$A$2:$D$34, 4, FALSE) &lt;= P4062),
                AND(R4062="General Use", VLOOKUP(O4062, Reference!$A$2:$D$34, 3, FALSE) &lt;= P4062)
            ),
                "Exceeded",
                "OK"
            ),
            "No Regulation defined"
        )
    ),
    ""
)</f>
        <v/>
      </c>
      <c r="AB4062" s="62" t="str">
        <f t="shared" si="63"/>
        <v/>
      </c>
    </row>
    <row r="4063" spans="20:28" x14ac:dyDescent="0.2">
      <c r="T4063" s="60" t="str">
        <f>IF(P4063&lt;&gt;"",
    IF(OR(O4063="", Q4063="", R4063=""),
        "Fill all the required columns",
        IFERROR(
            IF(OR(
                AND(R4063="Marine Protected", VLOOKUP(O4063, Reference!$A$2:$D$34, 4, FALSE) &lt;= P4063),
                AND(R4063="General Use", VLOOKUP(O4063, Reference!$A$2:$D$34, 3, FALSE) &lt;= P4063)
            ),
                "Exceeded",
                "OK"
            ),
            "No Regulation defined"
        )
    ),
    ""
)</f>
        <v/>
      </c>
      <c r="AB4063" s="62" t="str">
        <f t="shared" si="63"/>
        <v/>
      </c>
    </row>
    <row r="4064" spans="20:28" x14ac:dyDescent="0.2">
      <c r="T4064" s="60" t="str">
        <f>IF(P4064&lt;&gt;"",
    IF(OR(O4064="", Q4064="", R4064=""),
        "Fill all the required columns",
        IFERROR(
            IF(OR(
                AND(R4064="Marine Protected", VLOOKUP(O4064, Reference!$A$2:$D$34, 4, FALSE) &lt;= P4064),
                AND(R4064="General Use", VLOOKUP(O4064, Reference!$A$2:$D$34, 3, FALSE) &lt;= P4064)
            ),
                "Exceeded",
                "OK"
            ),
            "No Regulation defined"
        )
    ),
    ""
)</f>
        <v/>
      </c>
      <c r="AB4064" s="62" t="str">
        <f t="shared" si="63"/>
        <v/>
      </c>
    </row>
    <row r="4065" spans="20:28" x14ac:dyDescent="0.2">
      <c r="T4065" s="60" t="str">
        <f>IF(P4065&lt;&gt;"",
    IF(OR(O4065="", Q4065="", R4065=""),
        "Fill all the required columns",
        IFERROR(
            IF(OR(
                AND(R4065="Marine Protected", VLOOKUP(O4065, Reference!$A$2:$D$34, 4, FALSE) &lt;= P4065),
                AND(R4065="General Use", VLOOKUP(O4065, Reference!$A$2:$D$34, 3, FALSE) &lt;= P4065)
            ),
                "Exceeded",
                "OK"
            ),
            "No Regulation defined"
        )
    ),
    ""
)</f>
        <v/>
      </c>
      <c r="AB4065" s="62" t="str">
        <f t="shared" si="63"/>
        <v/>
      </c>
    </row>
    <row r="4066" spans="20:28" x14ac:dyDescent="0.2">
      <c r="T4066" s="60" t="str">
        <f>IF(P4066&lt;&gt;"",
    IF(OR(O4066="", Q4066="", R4066=""),
        "Fill all the required columns",
        IFERROR(
            IF(OR(
                AND(R4066="Marine Protected", VLOOKUP(O4066, Reference!$A$2:$D$34, 4, FALSE) &lt;= P4066),
                AND(R4066="General Use", VLOOKUP(O4066, Reference!$A$2:$D$34, 3, FALSE) &lt;= P4066)
            ),
                "Exceeded",
                "OK"
            ),
            "No Regulation defined"
        )
    ),
    ""
)</f>
        <v/>
      </c>
      <c r="AB4066" s="62" t="str">
        <f t="shared" si="63"/>
        <v/>
      </c>
    </row>
    <row r="4067" spans="20:28" x14ac:dyDescent="0.2">
      <c r="T4067" s="60" t="str">
        <f>IF(P4067&lt;&gt;"",
    IF(OR(O4067="", Q4067="", R4067=""),
        "Fill all the required columns",
        IFERROR(
            IF(OR(
                AND(R4067="Marine Protected", VLOOKUP(O4067, Reference!$A$2:$D$34, 4, FALSE) &lt;= P4067),
                AND(R4067="General Use", VLOOKUP(O4067, Reference!$A$2:$D$34, 3, FALSE) &lt;= P4067)
            ),
                "Exceeded",
                "OK"
            ),
            "No Regulation defined"
        )
    ),
    ""
)</f>
        <v/>
      </c>
      <c r="AB4067" s="62" t="str">
        <f t="shared" si="63"/>
        <v/>
      </c>
    </row>
    <row r="4068" spans="20:28" x14ac:dyDescent="0.2">
      <c r="T4068" s="60" t="str">
        <f>IF(P4068&lt;&gt;"",
    IF(OR(O4068="", Q4068="", R4068=""),
        "Fill all the required columns",
        IFERROR(
            IF(OR(
                AND(R4068="Marine Protected", VLOOKUP(O4068, Reference!$A$2:$D$34, 4, FALSE) &lt;= P4068),
                AND(R4068="General Use", VLOOKUP(O4068, Reference!$A$2:$D$34, 3, FALSE) &lt;= P4068)
            ),
                "Exceeded",
                "OK"
            ),
            "No Regulation defined"
        )
    ),
    ""
)</f>
        <v/>
      </c>
      <c r="AB4068" s="62" t="str">
        <f t="shared" si="63"/>
        <v/>
      </c>
    </row>
    <row r="4069" spans="20:28" x14ac:dyDescent="0.2">
      <c r="T4069" s="60" t="str">
        <f>IF(P4069&lt;&gt;"",
    IF(OR(O4069="", Q4069="", R4069=""),
        "Fill all the required columns",
        IFERROR(
            IF(OR(
                AND(R4069="Marine Protected", VLOOKUP(O4069, Reference!$A$2:$D$34, 4, FALSE) &lt;= P4069),
                AND(R4069="General Use", VLOOKUP(O4069, Reference!$A$2:$D$34, 3, FALSE) &lt;= P4069)
            ),
                "Exceeded",
                "OK"
            ),
            "No Regulation defined"
        )
    ),
    ""
)</f>
        <v/>
      </c>
      <c r="AB4069" s="62" t="str">
        <f t="shared" si="63"/>
        <v/>
      </c>
    </row>
    <row r="4070" spans="20:28" x14ac:dyDescent="0.2">
      <c r="T4070" s="60" t="str">
        <f>IF(P4070&lt;&gt;"",
    IF(OR(O4070="", Q4070="", R4070=""),
        "Fill all the required columns",
        IFERROR(
            IF(OR(
                AND(R4070="Marine Protected", VLOOKUP(O4070, Reference!$A$2:$D$34, 4, FALSE) &lt;= P4070),
                AND(R4070="General Use", VLOOKUP(O4070, Reference!$A$2:$D$34, 3, FALSE) &lt;= P4070)
            ),
                "Exceeded",
                "OK"
            ),
            "No Regulation defined"
        )
    ),
    ""
)</f>
        <v/>
      </c>
      <c r="AB4070" s="62" t="str">
        <f t="shared" si="63"/>
        <v/>
      </c>
    </row>
    <row r="4071" spans="20:28" x14ac:dyDescent="0.2">
      <c r="T4071" s="60" t="str">
        <f>IF(P4071&lt;&gt;"",
    IF(OR(O4071="", Q4071="", R4071=""),
        "Fill all the required columns",
        IFERROR(
            IF(OR(
                AND(R4071="Marine Protected", VLOOKUP(O4071, Reference!$A$2:$D$34, 4, FALSE) &lt;= P4071),
                AND(R4071="General Use", VLOOKUP(O4071, Reference!$A$2:$D$34, 3, FALSE) &lt;= P4071)
            ),
                "Exceeded",
                "OK"
            ),
            "No Regulation defined"
        )
    ),
    ""
)</f>
        <v/>
      </c>
      <c r="AB4071" s="62" t="str">
        <f t="shared" si="63"/>
        <v/>
      </c>
    </row>
    <row r="4072" spans="20:28" x14ac:dyDescent="0.2">
      <c r="T4072" s="60" t="str">
        <f>IF(P4072&lt;&gt;"",
    IF(OR(O4072="", Q4072="", R4072=""),
        "Fill all the required columns",
        IFERROR(
            IF(OR(
                AND(R4072="Marine Protected", VLOOKUP(O4072, Reference!$A$2:$D$34, 4, FALSE) &lt;= P4072),
                AND(R4072="General Use", VLOOKUP(O4072, Reference!$A$2:$D$34, 3, FALSE) &lt;= P4072)
            ),
                "Exceeded",
                "OK"
            ),
            "No Regulation defined"
        )
    ),
    ""
)</f>
        <v/>
      </c>
      <c r="AB4072" s="62" t="str">
        <f t="shared" si="63"/>
        <v/>
      </c>
    </row>
    <row r="4073" spans="20:28" x14ac:dyDescent="0.2">
      <c r="T4073" s="60" t="str">
        <f>IF(P4073&lt;&gt;"",
    IF(OR(O4073="", Q4073="", R4073=""),
        "Fill all the required columns",
        IFERROR(
            IF(OR(
                AND(R4073="Marine Protected", VLOOKUP(O4073, Reference!$A$2:$D$34, 4, FALSE) &lt;= P4073),
                AND(R4073="General Use", VLOOKUP(O4073, Reference!$A$2:$D$34, 3, FALSE) &lt;= P4073)
            ),
                "Exceeded",
                "OK"
            ),
            "No Regulation defined"
        )
    ),
    ""
)</f>
        <v/>
      </c>
      <c r="AB4073" s="62" t="str">
        <f t="shared" si="63"/>
        <v/>
      </c>
    </row>
    <row r="4074" spans="20:28" x14ac:dyDescent="0.2">
      <c r="T4074" s="60" t="str">
        <f>IF(P4074&lt;&gt;"",
    IF(OR(O4074="", Q4074="", R4074=""),
        "Fill all the required columns",
        IFERROR(
            IF(OR(
                AND(R4074="Marine Protected", VLOOKUP(O4074, Reference!$A$2:$D$34, 4, FALSE) &lt;= P4074),
                AND(R4074="General Use", VLOOKUP(O4074, Reference!$A$2:$D$34, 3, FALSE) &lt;= P4074)
            ),
                "Exceeded",
                "OK"
            ),
            "No Regulation defined"
        )
    ),
    ""
)</f>
        <v/>
      </c>
      <c r="AB4074" s="62" t="str">
        <f t="shared" si="63"/>
        <v/>
      </c>
    </row>
    <row r="4075" spans="20:28" x14ac:dyDescent="0.2">
      <c r="T4075" s="60" t="str">
        <f>IF(P4075&lt;&gt;"",
    IF(OR(O4075="", Q4075="", R4075=""),
        "Fill all the required columns",
        IFERROR(
            IF(OR(
                AND(R4075="Marine Protected", VLOOKUP(O4075, Reference!$A$2:$D$34, 4, FALSE) &lt;= P4075),
                AND(R4075="General Use", VLOOKUP(O4075, Reference!$A$2:$D$34, 3, FALSE) &lt;= P4075)
            ),
                "Exceeded",
                "OK"
            ),
            "No Regulation defined"
        )
    ),
    ""
)</f>
        <v/>
      </c>
      <c r="AB4075" s="62" t="str">
        <f t="shared" si="63"/>
        <v/>
      </c>
    </row>
    <row r="4076" spans="20:28" x14ac:dyDescent="0.2">
      <c r="T4076" s="60" t="str">
        <f>IF(P4076&lt;&gt;"",
    IF(OR(O4076="", Q4076="", R4076=""),
        "Fill all the required columns",
        IFERROR(
            IF(OR(
                AND(R4076="Marine Protected", VLOOKUP(O4076, Reference!$A$2:$D$34, 4, FALSE) &lt;= P4076),
                AND(R4076="General Use", VLOOKUP(O4076, Reference!$A$2:$D$34, 3, FALSE) &lt;= P4076)
            ),
                "Exceeded",
                "OK"
            ),
            "No Regulation defined"
        )
    ),
    ""
)</f>
        <v/>
      </c>
      <c r="AB4076" s="62" t="str">
        <f t="shared" si="63"/>
        <v/>
      </c>
    </row>
    <row r="4077" spans="20:28" x14ac:dyDescent="0.2">
      <c r="T4077" s="60" t="str">
        <f>IF(P4077&lt;&gt;"",
    IF(OR(O4077="", Q4077="", R4077=""),
        "Fill all the required columns",
        IFERROR(
            IF(OR(
                AND(R4077="Marine Protected", VLOOKUP(O4077, Reference!$A$2:$D$34, 4, FALSE) &lt;= P4077),
                AND(R4077="General Use", VLOOKUP(O4077, Reference!$A$2:$D$34, 3, FALSE) &lt;= P4077)
            ),
                "Exceeded",
                "OK"
            ),
            "No Regulation defined"
        )
    ),
    ""
)</f>
        <v/>
      </c>
      <c r="AB4077" s="62" t="str">
        <f t="shared" si="63"/>
        <v/>
      </c>
    </row>
    <row r="4078" spans="20:28" x14ac:dyDescent="0.2">
      <c r="T4078" s="60" t="str">
        <f>IF(P4078&lt;&gt;"",
    IF(OR(O4078="", Q4078="", R4078=""),
        "Fill all the required columns",
        IFERROR(
            IF(OR(
                AND(R4078="Marine Protected", VLOOKUP(O4078, Reference!$A$2:$D$34, 4, FALSE) &lt;= P4078),
                AND(R4078="General Use", VLOOKUP(O4078, Reference!$A$2:$D$34, 3, FALSE) &lt;= P4078)
            ),
                "Exceeded",
                "OK"
            ),
            "No Regulation defined"
        )
    ),
    ""
)</f>
        <v/>
      </c>
      <c r="AB4078" s="62" t="str">
        <f t="shared" si="63"/>
        <v/>
      </c>
    </row>
    <row r="4079" spans="20:28" x14ac:dyDescent="0.2">
      <c r="T4079" s="60" t="str">
        <f>IF(P4079&lt;&gt;"",
    IF(OR(O4079="", Q4079="", R4079=""),
        "Fill all the required columns",
        IFERROR(
            IF(OR(
                AND(R4079="Marine Protected", VLOOKUP(O4079, Reference!$A$2:$D$34, 4, FALSE) &lt;= P4079),
                AND(R4079="General Use", VLOOKUP(O4079, Reference!$A$2:$D$34, 3, FALSE) &lt;= P4079)
            ),
                "Exceeded",
                "OK"
            ),
            "No Regulation defined"
        )
    ),
    ""
)</f>
        <v/>
      </c>
      <c r="AB4079" s="62" t="str">
        <f t="shared" si="63"/>
        <v/>
      </c>
    </row>
    <row r="4080" spans="20:28" x14ac:dyDescent="0.2">
      <c r="T4080" s="60" t="str">
        <f>IF(P4080&lt;&gt;"",
    IF(OR(O4080="", Q4080="", R4080=""),
        "Fill all the required columns",
        IFERROR(
            IF(OR(
                AND(R4080="Marine Protected", VLOOKUP(O4080, Reference!$A$2:$D$34, 4, FALSE) &lt;= P4080),
                AND(R4080="General Use", VLOOKUP(O4080, Reference!$A$2:$D$34, 3, FALSE) &lt;= P4080)
            ),
                "Exceeded",
                "OK"
            ),
            "No Regulation defined"
        )
    ),
    ""
)</f>
        <v/>
      </c>
      <c r="AB4080" s="62" t="str">
        <f t="shared" si="63"/>
        <v/>
      </c>
    </row>
    <row r="4081" spans="20:28" x14ac:dyDescent="0.2">
      <c r="T4081" s="60" t="str">
        <f>IF(P4081&lt;&gt;"",
    IF(OR(O4081="", Q4081="", R4081=""),
        "Fill all the required columns",
        IFERROR(
            IF(OR(
                AND(R4081="Marine Protected", VLOOKUP(O4081, Reference!$A$2:$D$34, 4, FALSE) &lt;= P4081),
                AND(R4081="General Use", VLOOKUP(O4081, Reference!$A$2:$D$34, 3, FALSE) &lt;= P4081)
            ),
                "Exceeded",
                "OK"
            ),
            "No Regulation defined"
        )
    ),
    ""
)</f>
        <v/>
      </c>
      <c r="AB4081" s="62" t="str">
        <f t="shared" si="63"/>
        <v/>
      </c>
    </row>
    <row r="4082" spans="20:28" x14ac:dyDescent="0.2">
      <c r="T4082" s="60" t="str">
        <f>IF(P4082&lt;&gt;"",
    IF(OR(O4082="", Q4082="", R4082=""),
        "Fill all the required columns",
        IFERROR(
            IF(OR(
                AND(R4082="Marine Protected", VLOOKUP(O4082, Reference!$A$2:$D$34, 4, FALSE) &lt;= P4082),
                AND(R4082="General Use", VLOOKUP(O4082, Reference!$A$2:$D$34, 3, FALSE) &lt;= P4082)
            ),
                "Exceeded",
                "OK"
            ),
            "No Regulation defined"
        )
    ),
    ""
)</f>
        <v/>
      </c>
      <c r="AB4082" s="62" t="str">
        <f t="shared" si="63"/>
        <v/>
      </c>
    </row>
    <row r="4083" spans="20:28" x14ac:dyDescent="0.2">
      <c r="T4083" s="60" t="str">
        <f>IF(P4083&lt;&gt;"",
    IF(OR(O4083="", Q4083="", R4083=""),
        "Fill all the required columns",
        IFERROR(
            IF(OR(
                AND(R4083="Marine Protected", VLOOKUP(O4083, Reference!$A$2:$D$34, 4, FALSE) &lt;= P4083),
                AND(R4083="General Use", VLOOKUP(O4083, Reference!$A$2:$D$34, 3, FALSE) &lt;= P4083)
            ),
                "Exceeded",
                "OK"
            ),
            "No Regulation defined"
        )
    ),
    ""
)</f>
        <v/>
      </c>
      <c r="AB4083" s="62" t="str">
        <f t="shared" si="63"/>
        <v/>
      </c>
    </row>
  </sheetData>
  <sheetProtection algorithmName="SHA-512" hashValue="HGzGYcCDKYJWSv17U5CshNVPs5pmww3kmxxJViZexvj4aje8RbO3/Y8fyRsUBS/T3GFAs7u9v6OjF+atPJUfjQ==" saltValue="J5c9kMaARQ28IUZlHBpoew==" spinCount="100000" sheet="1" objects="1" scenarios="1" sort="0" autoFilter="0" pivotTables="0"/>
  <phoneticPr fontId="1" type="noConversion"/>
  <conditionalFormatting sqref="AB2:AB4083">
    <cfRule type="expression" dxfId="20" priority="15">
      <formula>OR(U2="Exceeded", U2="Fill all the required columns")</formula>
    </cfRule>
  </conditionalFormatting>
  <conditionalFormatting sqref="AA2:AA6000">
    <cfRule type="expression" dxfId="19" priority="14">
      <formula>OR(T2="Exceeded", T2="Fill all the required columns", T2="Below Minimum", T2="No Regulation defined")</formula>
    </cfRule>
  </conditionalFormatting>
  <conditionalFormatting sqref="I2:I6000">
    <cfRule type="expression" dxfId="18" priority="11">
      <formula>AND($AB2="Incomplete", I2="")</formula>
    </cfRule>
  </conditionalFormatting>
  <conditionalFormatting sqref="H2:H6000">
    <cfRule type="expression" dxfId="17" priority="10">
      <formula>AND($AB2="Incomplete", H2="")</formula>
    </cfRule>
  </conditionalFormatting>
  <conditionalFormatting sqref="F2:F6000">
    <cfRule type="expression" dxfId="16" priority="9">
      <formula>AND($AB2="Incomplete", F2="")</formula>
    </cfRule>
  </conditionalFormatting>
  <conditionalFormatting sqref="A2:A6000">
    <cfRule type="expression" dxfId="15" priority="8">
      <formula>AND($AB2="Incomplete", A2="")</formula>
    </cfRule>
  </conditionalFormatting>
  <conditionalFormatting sqref="O2:O6000">
    <cfRule type="expression" dxfId="14" priority="7">
      <formula>AND($AB2="Incomplete", O2="")</formula>
    </cfRule>
  </conditionalFormatting>
  <conditionalFormatting sqref="Q2:Q6000">
    <cfRule type="expression" dxfId="13" priority="6">
      <formula>AND($AB2="Incomplete", Q2="")</formula>
    </cfRule>
  </conditionalFormatting>
  <conditionalFormatting sqref="R2:R6000">
    <cfRule type="expression" dxfId="12" priority="5">
      <formula>AND($AB2="Incomplete", R2="")</formula>
    </cfRule>
  </conditionalFormatting>
  <conditionalFormatting sqref="S2:S6000">
    <cfRule type="expression" dxfId="11" priority="4">
      <formula>AND($AB2="Incomplete", S2="")</formula>
    </cfRule>
  </conditionalFormatting>
  <conditionalFormatting sqref="E2:E6000">
    <cfRule type="expression" dxfId="10" priority="3">
      <formula>AND($AB2="Incomplete", E2="")</formula>
    </cfRule>
  </conditionalFormatting>
  <conditionalFormatting sqref="C2:C6000">
    <cfRule type="expression" dxfId="9" priority="2">
      <formula>AND($AB2="Incomplete", C2="")</formula>
    </cfRule>
  </conditionalFormatting>
  <conditionalFormatting sqref="D2:D6000">
    <cfRule type="expression" dxfId="8" priority="1">
      <formula>AND($AB2="Incomplete", D2="")</formula>
    </cfRule>
  </conditionalFormatting>
  <dataValidations xWindow="70" yWindow="187" count="12">
    <dataValidation type="custom" errorStyle="warning" allowBlank="1" showInputMessage="1" showErrorMessage="1" error="If you exceeded the Reference values, please provide an explanation" sqref="AA113:AA246" xr:uid="{66A81B15-19A0-4345-8E42-8EF6DCFDA0D6}">
      <formula1>OR(T113&lt;&gt;"Exceeded",AA113&lt;&gt;"")</formula1>
    </dataValidation>
    <dataValidation type="custom" allowBlank="1" showInputMessage="1" showErrorMessage="1" error="If you exceeded the Reference values, please provide an explanation" sqref="AB2:AB4083 AA2:AA112" xr:uid="{9AD4C7C3-8A15-46B8-9A30-F30B2E390F74}">
      <formula1>OR(T2&lt;&gt;"Exceeded",AA2&lt;&gt;"")</formula1>
    </dataValidation>
    <dataValidation type="date" operator="greaterThan" allowBlank="1" showInputMessage="1" showErrorMessage="1" error="Please check your dates, this field only allows dates._x000a_DD/MM/YYYY" sqref="F11656:F1048576" xr:uid="{D01B5545-255B-4B19-A92A-5AE5BA956CC8}">
      <formula1>43831</formula1>
    </dataValidation>
    <dataValidation allowBlank="1" showInputMessage="1" showErrorMessage="1" error="Please check your dates, this field only allows dates._x000a_DD/MM/YYYY" sqref="G2:G1048576" xr:uid="{D3354DB6-5529-4B74-94CF-B16E62DF00AF}"/>
    <dataValidation type="decimal" operator="greaterThanOrEqual" allowBlank="1" showInputMessage="1" showErrorMessage="1" error="This field allows positive numerical values only, please check your data." sqref="J2:L1048576" xr:uid="{0D3945A7-809D-4D12-8547-B3AE76520FE4}">
      <formula1>0</formula1>
    </dataValidation>
    <dataValidation type="decimal" operator="greaterThanOrEqual" allowBlank="1" showInputMessage="1" showErrorMessage="1" error="Only positive numerical values are allowed in this field, please check your data" sqref="W2:W1048576" xr:uid="{CFABB995-79B2-4FC8-80E0-CBCFA3BDA8F4}">
      <formula1>0</formula1>
    </dataValidation>
    <dataValidation type="textLength" operator="greaterThanOrEqual" allowBlank="1" showInputMessage="1" showErrorMessage="1" error="Only positive numerical values are allowed in this field, please check your data" sqref="Y2:Y1048576" xr:uid="{30AFD9A0-2FF0-4E2F-BD04-CF5296D012F7}">
      <formula1>0</formula1>
    </dataValidation>
    <dataValidation type="decimal" operator="greaterThanOrEqual" allowBlank="1" showInputMessage="1" showErrorMessage="1" error="This field allows numerical positive numbers only" sqref="P1:P1048576" xr:uid="{C3FE5639-1E17-4F61-BFF7-9ED267459703}">
      <formula1>0</formula1>
    </dataValidation>
    <dataValidation operator="lessThanOrEqual" allowBlank="1" showInputMessage="1" showErrorMessage="1" error="Please check the list of allowed values" sqref="Q1" xr:uid="{3CE70179-72F5-481D-8167-3A8F9F65F148}"/>
    <dataValidation type="custom" allowBlank="1" showInputMessage="1" showErrorMessage="1" error="Please check your dates, this field only allows dates._x000a_DD/MM/YYYY_x000a_" sqref="F2:F11655" xr:uid="{0CE9372D-FC18-4BEC-AD9D-CE0DD9DC0935}">
      <formula1>AND(ISNUMBER(F2), F2&gt;=DATE(2020,1,1), F2&lt;=DATE(2033,12,31))</formula1>
    </dataValidation>
    <dataValidation type="custom" allowBlank="1" showInputMessage="1" showErrorMessage="1" errorTitle="Invalid Latitude" error="Enter a latitude between -90 and 90 with exactly 6 decimal places. ex: -45.987654" sqref="D2:D1418" xr:uid="{B9ADEE69-FE63-4098-86C5-52387B9C9EAE}">
      <formula1>AND(ISNUMBER(D2), D2&gt;=-90, D2&lt;=90, LEN(TEXT(D2,"0.000000"))-LEN(INT(D2))=7)</formula1>
    </dataValidation>
    <dataValidation type="custom" allowBlank="1" showErrorMessage="1" errorTitle="Invalid Longitude" error="Enter a longitude between -180 and 180 with exactly 6 decimal places. Ex: 120.547896" sqref="C2:C1620" xr:uid="{C8D8DC32-3310-41CC-9B06-D766D616DCC8}">
      <formula1>AND(ISNUMBER(C2), C2&gt;=-180, C2&lt;=180, LEN(TEXT(C2,"0.000000"))-LEN(INT(C2))=7)</formula1>
    </dataValidation>
  </dataValidations>
  <pageMargins left="0.5" right="0.5" top="1" bottom="1" header="0.5" footer="0.5"/>
  <pageSetup orientation="landscape"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28" id="{B6DFE937-5552-48EA-8558-9DBA7FDAD282}">
            <xm:f>AND( ISNUMBER(P2), ISNUMBER(MATCH(O2, Reference!$G$2:$G$62, 0)), OR( AND(R2="ADS - Marine Protected", P2 &gt; VLOOKUP(O2, Reference!$G$2:$J$62, 4, FALSE), P2 &lt;= VLOOKUP(O2, Reference!$G$2:$J$62, 4, FALSE) * 1.1), AND(R2="ADS - General Use", P2 &gt; VLOOKUP(O2, Reference!$G$2:$J$62, 3, FALSE), P2 &lt;= VLOOKUP(O2, Reference!$G$2:$J$62, 3, FALSE) * 1.1), AND(R2="International Standards", P2 &gt; VLOOKUP(O2, Reference!$G$2:$K$62, 5, FALSE), P2 &lt;= VLOOKUP(O2, Reference!$G$2:$K$62, 5, FALSE) * 1.1) ) )</xm:f>
            <x14:dxf>
              <fill>
                <patternFill>
                  <bgColor theme="9" tint="0.59996337778862885"/>
                </patternFill>
              </fill>
            </x14:dxf>
          </x14:cfRule>
          <x14:cfRule type="expression" priority="29" id="{98808FF3-9EEC-484F-9B57-FD9BB4432F6F}">
            <xm:f>AND(     OR(R2="ADS - Marine Protected", R2="ADS - General Use", R2="International Standards"),     ISNUMBER(MATCH(O2, Reference!$G$2:$G$62, 0)),     OR(         AND(             R2="ADS - Marine Protected",             VLOOKUP(O2, Reference!$G$2:$K$62, 4, FALSE) &gt;= P2         ),         AND(             R2="ADS - General Use",             VLOOKUP(O2, Reference!$G$2:$K$62, 3, FALSE) &gt;= P2         ),         AND(             R2="International Standards",             VLOOKUP(O2, Reference!$G$2:$K$62, 5, FALSE) &gt;= P2         )     ) )</xm:f>
            <x14:dxf>
              <fill>
                <patternFill>
                  <bgColor rgb="FFFF0000"/>
                </patternFill>
              </fill>
            </x14:dxf>
          </x14:cfRule>
          <x14:cfRule type="expression" priority="30" id="{BFB0B6A0-A24F-4031-8C55-38BAF1F3562C}">
            <xm:f>AND(     ISNUMBER(P2),     OR(R2="ADS - Marine Protected", R2="ADS - General Use", R2="International Standards"),     ISNUMBER(MATCH(O2, Reference!$A$2:$A$62, 0)),     OR(         AND(             R2="ADS - Marine Protected",             VLOOKUP(O2, Reference!$A$2:$D$62, 4, FALSE) * 0.9 &lt;= P2,             P2 &lt; VLOOKUP(O2, Reference!$A$2:$D$62, 4, FALSE)         ),         AND(             R2="ADS - General Use",             VLOOKUP(O2, Reference!$A$2:$D$62, 3, FALSE) * 0.9 &lt;= P2,             P2 &lt; VLOOKUP(O2, Reference!$A$2:$D$62, 3, FALSE)         ),         AND(             R2="International Standards",             VLOOKUP(O2, Reference!$A$2:$F$62, 5, FALSE) * 0.9 &lt;= P2,             P2 &lt; VLOOKUP(O2, Reference!$A$2:$F$62, 5, FALSE)         )     ) )</xm:f>
            <x14:dxf>
              <fill>
                <patternFill>
                  <bgColor theme="9" tint="0.59996337778862885"/>
                </patternFill>
              </fill>
            </x14:dxf>
          </x14:cfRule>
          <x14:cfRule type="expression" priority="31" id="{A668400A-4597-4E6F-A275-2FF574C9F6E6}">
            <xm:f>AND( OR(R2="ADS - Marine Protected", R2="ADS - General Use", R2="International Standards"), ISNUMBER(MATCH(O2, Reference!$A$2:$A$62, 0)), OR( AND( R2="ADS - Marine Protected", VLOOKUP(O2, Reference!$A$2:$D$62, 4, FALSE) &lt;= P2 ), AND( R2="ADS - General Use", VLOOKUP(O2, Reference!$A$2:$D$62, 3, FALSE) &lt;= P2 ), AND( R2="International Standards", VLOOKUP(O2, Reference!$A$2:$F$62, 5, FALSE) &lt;= P2 ) ) )</xm:f>
            <x14:dxf>
              <fill>
                <patternFill>
                  <bgColor rgb="FFFF0000"/>
                </patternFill>
              </fill>
            </x14:dxf>
          </x14:cfRule>
          <xm:sqref>P2:P6000</xm:sqref>
        </x14:conditionalFormatting>
      </x14:conditionalFormattings>
    </ext>
    <ext xmlns:x14="http://schemas.microsoft.com/office/spreadsheetml/2009/9/main" uri="{CCE6A557-97BC-4b89-ADB6-D9C93CAAB3DF}">
      <x14:dataValidations xmlns:xm="http://schemas.microsoft.com/office/excel/2006/main" xWindow="70" yWindow="187" count="15">
        <x14:dataValidation type="list" operator="lessThanOrEqual" showInputMessage="1" showErrorMessage="1" errorTitle="Refer to the list" error="Please use the list you provided in the list tab" xr:uid="{7380F8FC-7E91-414F-ADD0-8F523DBDD609}">
          <x14:formula1>
            <xm:f>List!$B$2:$B$600</xm:f>
          </x14:formula1>
          <xm:sqref>B2:B1048576</xm:sqref>
        </x14:dataValidation>
        <x14:dataValidation type="list" operator="lessThanOrEqual" showErrorMessage="1" error="Please check the list of allowed values" xr:uid="{A3190A0B-C3E0-4C51-BD02-5D4AA2116B01}">
          <x14:formula1>
            <xm:f>List!$L$2:$L$43</xm:f>
          </x14:formula1>
          <xm:sqref>N2:N1048576</xm:sqref>
        </x14:dataValidation>
        <x14:dataValidation type="list" allowBlank="1" showInputMessage="1" showErrorMessage="1" xr:uid="{0736A462-4319-45FE-A146-7001BD226ED8}">
          <x14:formula1>
            <xm:f>List!$A$2:$A$600</xm:f>
          </x14:formula1>
          <xm:sqref>A2:A1048576</xm:sqref>
        </x14:dataValidation>
        <x14:dataValidation type="list" allowBlank="1" showInputMessage="1" showErrorMessage="1" xr:uid="{605C784F-395E-419E-A531-257AAD062B6A}">
          <x14:formula1>
            <xm:f>List!$C$2:$C$600</xm:f>
          </x14:formula1>
          <xm:sqref>E2:E1048576</xm:sqref>
        </x14:dataValidation>
        <x14:dataValidation type="list" allowBlank="1" showInputMessage="1" showErrorMessage="1" error="Please check the list of allowed values" xr:uid="{B69F4E6C-1395-45C2-8712-E7F1353B2840}">
          <x14:formula1>
            <xm:f>List!$F$2:$F$600</xm:f>
          </x14:formula1>
          <xm:sqref>H2:H1048576</xm:sqref>
        </x14:dataValidation>
        <x14:dataValidation type="list" operator="lessThanOrEqual" allowBlank="1" showErrorMessage="1" error="Please check the list of allowed values" xr:uid="{1DD00F0E-56DC-4734-B8CF-995B91B79A1F}">
          <x14:formula1>
            <xm:f>List!$G$2:$G$600</xm:f>
          </x14:formula1>
          <xm:sqref>I2:I1048576</xm:sqref>
        </x14:dataValidation>
        <x14:dataValidation type="list" operator="lessThanOrEqual" allowBlank="1" showErrorMessage="1" error="Please check the list of allowed values" xr:uid="{E4DB8D48-2FEC-4AD3-A75B-F655BD45C83B}">
          <x14:formula1>
            <xm:f>List!$K$2:$K$42</xm:f>
          </x14:formula1>
          <xm:sqref>M2:M1048576</xm:sqref>
        </x14:dataValidation>
        <x14:dataValidation type="list" allowBlank="1" showInputMessage="1" showErrorMessage="1" error="Please check the list of allowed values" xr:uid="{36A82CFC-17DB-4039-B6F9-64668DD44F15}">
          <x14:formula1>
            <xm:f>List!$M$2:$M$1705</xm:f>
          </x14:formula1>
          <xm:sqref>O2:O1048576</xm:sqref>
        </x14:dataValidation>
        <x14:dataValidation type="list" operator="lessThanOrEqual" allowBlank="1" showInputMessage="1" showErrorMessage="1" error="Please check the list of allowed values" xr:uid="{C1E94ED0-1BA5-429D-AF12-A5AF79CD9FA4}">
          <x14:formula1>
            <xm:f>OFFSET(List!$N$1,MATCH(O2,List!$M$2:$M$1000,0),0,COUNTIF(List!$M$2:$M$1000,O2),1)</xm:f>
          </x14:formula1>
          <xm:sqref>Q2:Q1048576</xm:sqref>
        </x14:dataValidation>
        <x14:dataValidation type="list" operator="lessThanOrEqual" allowBlank="1" showInputMessage="1" showErrorMessage="1" errorTitle="Result Value data entry error" error="Field Length exceeded:  refer to &quot;Result Columns&quot; tab to determine the maximum field length" xr:uid="{B70CAE44-91B9-4A8D-950D-B9A6987EB226}">
          <x14:formula1>
            <xm:f>List!$O$2:$O$28</xm:f>
          </x14:formula1>
          <xm:sqref>R2:R1048576 S2444:S1048576</xm:sqref>
        </x14:dataValidation>
        <x14:dataValidation type="list" allowBlank="1" showInputMessage="1" showErrorMessage="1" error="Please check the list of allowed values_x000a_" xr:uid="{6DBD4830-6996-41E9-AA4C-20A0BF99478E}">
          <x14:formula1>
            <xm:f>List!$Q$2:$Q$25</xm:f>
          </x14:formula1>
          <xm:sqref>U2:U1048576</xm:sqref>
        </x14:dataValidation>
        <x14:dataValidation type="list" allowBlank="1" showInputMessage="1" showErrorMessage="1" error="Please check the list of allowed values_x000a_" xr:uid="{6209EDEB-F34F-4E5E-96D7-825BBDE84ADF}">
          <x14:formula1>
            <xm:f>List!$R$2:$R$26</xm:f>
          </x14:formula1>
          <xm:sqref>V2:V1048576</xm:sqref>
        </x14:dataValidation>
        <x14:dataValidation type="list" allowBlank="1" showInputMessage="1" showErrorMessage="1" error="Please check the list of allowed values_x000a_" xr:uid="{8846217C-2989-43EE-9560-12E15CE595DB}">
          <x14:formula1>
            <xm:f>List!$T$2:$T$461</xm:f>
          </x14:formula1>
          <xm:sqref>X105:X1048576</xm:sqref>
        </x14:dataValidation>
        <x14:dataValidation type="list" allowBlank="1" showInputMessage="1" showErrorMessage="1" xr:uid="{FD36554F-5DC7-4845-AD78-BAF011A4B698}">
          <x14:formula1>
            <xm:f>List!$V$2:$V$26</xm:f>
          </x14:formula1>
          <xm:sqref>Z2:Z1048576</xm:sqref>
        </x14:dataValidation>
        <x14:dataValidation type="list" operator="lessThanOrEqual" allowBlank="1" showInputMessage="1" showErrorMessage="1" errorTitle="Result Value data entry error" error="Field Length exceeded:  refer to &quot;Result Columns&quot; tab to determine the maximum field length" xr:uid="{7CCEC553-B186-4321-A1C3-CF2442BFD79F}">
          <x14:formula1>
            <xm:f>List!$P$2:$P$100</xm:f>
          </x14:formula1>
          <xm:sqref>S2:S2443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D29C2-BDDC-40A9-885A-323D099445C0}">
  <sheetPr codeName="Sheet3"/>
  <dimension ref="A1:W614"/>
  <sheetViews>
    <sheetView zoomScaleNormal="100" workbookViewId="0">
      <selection activeCell="A8" sqref="A8"/>
    </sheetView>
  </sheetViews>
  <sheetFormatPr defaultRowHeight="12.75" x14ac:dyDescent="0.2"/>
  <cols>
    <col min="1" max="1" width="15.7109375" style="19" customWidth="1"/>
    <col min="2" max="2" width="14.85546875" style="19" customWidth="1"/>
    <col min="3" max="3" width="14" customWidth="1"/>
    <col min="4" max="5" width="5.5703125" customWidth="1"/>
    <col min="6" max="6" width="30.140625" customWidth="1"/>
    <col min="7" max="7" width="27.7109375" customWidth="1"/>
    <col min="8" max="10" width="4" customWidth="1"/>
    <col min="11" max="11" width="14.140625" customWidth="1"/>
    <col min="12" max="12" width="12.42578125" customWidth="1"/>
    <col min="13" max="13" width="30.42578125" customWidth="1"/>
    <col min="14" max="14" width="11.85546875" customWidth="1"/>
    <col min="15" max="15" width="20.42578125" customWidth="1"/>
    <col min="16" max="16" width="30.85546875" customWidth="1"/>
    <col min="20" max="20" width="31.42578125" customWidth="1"/>
    <col min="21" max="21" width="15" customWidth="1"/>
    <col min="22" max="22" width="19.5703125" customWidth="1"/>
    <col min="23" max="23" width="26.28515625" customWidth="1"/>
  </cols>
  <sheetData>
    <row r="1" spans="1:23" ht="51" x14ac:dyDescent="0.2">
      <c r="A1" s="17" t="s">
        <v>21</v>
      </c>
      <c r="B1" s="18" t="s">
        <v>22</v>
      </c>
      <c r="C1" s="30" t="s">
        <v>177</v>
      </c>
      <c r="D1" s="30" t="s">
        <v>6</v>
      </c>
      <c r="E1" s="2" t="s">
        <v>31</v>
      </c>
      <c r="F1" s="30" t="s">
        <v>178</v>
      </c>
      <c r="G1" s="30" t="s">
        <v>179</v>
      </c>
      <c r="H1" s="31" t="s">
        <v>93</v>
      </c>
      <c r="I1" s="2" t="s">
        <v>101</v>
      </c>
      <c r="J1" s="2" t="s">
        <v>102</v>
      </c>
      <c r="K1" s="31" t="s">
        <v>95</v>
      </c>
      <c r="L1" s="2" t="s">
        <v>46</v>
      </c>
      <c r="M1" s="30" t="s">
        <v>18</v>
      </c>
      <c r="N1" s="30" t="s">
        <v>8</v>
      </c>
      <c r="O1" s="30" t="s">
        <v>180</v>
      </c>
      <c r="P1" s="30" t="s">
        <v>352</v>
      </c>
      <c r="Q1" s="2" t="s">
        <v>2</v>
      </c>
      <c r="R1" s="2" t="s">
        <v>9</v>
      </c>
      <c r="S1" s="2" t="s">
        <v>33</v>
      </c>
      <c r="T1" s="2" t="s">
        <v>10</v>
      </c>
      <c r="U1" s="2" t="s">
        <v>15</v>
      </c>
      <c r="V1" s="2" t="s">
        <v>11</v>
      </c>
      <c r="W1" s="2" t="s">
        <v>0</v>
      </c>
    </row>
    <row r="2" spans="1:23" x14ac:dyDescent="0.2">
      <c r="A2" s="35" t="s">
        <v>47</v>
      </c>
      <c r="C2" s="32" t="s">
        <v>14</v>
      </c>
      <c r="F2" s="33" t="s">
        <v>114</v>
      </c>
      <c r="G2" s="32" t="s">
        <v>106</v>
      </c>
      <c r="K2" t="s">
        <v>129</v>
      </c>
      <c r="L2" s="32" t="s">
        <v>98</v>
      </c>
      <c r="M2" s="32" t="s">
        <v>132</v>
      </c>
      <c r="N2" s="32" t="s">
        <v>159</v>
      </c>
      <c r="O2" s="32" t="s">
        <v>354</v>
      </c>
      <c r="P2" s="51" t="s">
        <v>364</v>
      </c>
      <c r="Q2" s="32" t="s">
        <v>161</v>
      </c>
      <c r="R2" s="32" t="s">
        <v>99</v>
      </c>
      <c r="T2" s="32" t="s">
        <v>82</v>
      </c>
      <c r="V2" s="32" t="s">
        <v>318</v>
      </c>
    </row>
    <row r="3" spans="1:23" ht="51" x14ac:dyDescent="0.2">
      <c r="A3" s="40" t="s">
        <v>53</v>
      </c>
      <c r="C3" s="32" t="s">
        <v>13</v>
      </c>
      <c r="F3" s="33" t="s">
        <v>115</v>
      </c>
      <c r="G3" s="33" t="s">
        <v>107</v>
      </c>
      <c r="K3" t="s">
        <v>61</v>
      </c>
      <c r="L3" s="32" t="s">
        <v>130</v>
      </c>
      <c r="M3" s="32" t="s">
        <v>133</v>
      </c>
      <c r="N3" s="32" t="s">
        <v>159</v>
      </c>
      <c r="O3" s="32" t="s">
        <v>355</v>
      </c>
      <c r="P3" s="51" t="s">
        <v>365</v>
      </c>
      <c r="Q3" s="32" t="s">
        <v>162</v>
      </c>
      <c r="R3" s="32" t="s">
        <v>45</v>
      </c>
      <c r="T3" s="32" t="s">
        <v>183</v>
      </c>
      <c r="V3" s="32" t="s">
        <v>319</v>
      </c>
    </row>
    <row r="4" spans="1:23" x14ac:dyDescent="0.2">
      <c r="A4" s="35" t="s">
        <v>54</v>
      </c>
      <c r="F4" s="33" t="s">
        <v>119</v>
      </c>
      <c r="G4" s="33" t="s">
        <v>108</v>
      </c>
      <c r="L4" s="32" t="s">
        <v>131</v>
      </c>
      <c r="M4" s="32" t="s">
        <v>100</v>
      </c>
      <c r="N4" s="32" t="s">
        <v>159</v>
      </c>
      <c r="O4" s="32" t="s">
        <v>347</v>
      </c>
      <c r="P4" s="51" t="s">
        <v>366</v>
      </c>
      <c r="Q4" s="32" t="s">
        <v>163</v>
      </c>
      <c r="R4" s="32" t="s">
        <v>170</v>
      </c>
      <c r="T4" s="32" t="s">
        <v>74</v>
      </c>
      <c r="V4" s="32" t="s">
        <v>320</v>
      </c>
    </row>
    <row r="5" spans="1:23" x14ac:dyDescent="0.2">
      <c r="A5" s="40" t="s">
        <v>55</v>
      </c>
      <c r="F5" s="33" t="s">
        <v>120</v>
      </c>
      <c r="G5" s="33" t="s">
        <v>43</v>
      </c>
      <c r="L5" s="32" t="s">
        <v>97</v>
      </c>
      <c r="M5" s="32" t="s">
        <v>67</v>
      </c>
      <c r="N5" s="32" t="s">
        <v>159</v>
      </c>
      <c r="O5" s="32"/>
      <c r="P5" s="51" t="s">
        <v>367</v>
      </c>
      <c r="Q5" s="32" t="s">
        <v>164</v>
      </c>
      <c r="R5" s="32" t="s">
        <v>171</v>
      </c>
      <c r="T5" s="32" t="s">
        <v>184</v>
      </c>
      <c r="V5" s="32" t="s">
        <v>321</v>
      </c>
    </row>
    <row r="6" spans="1:23" ht="25.5" x14ac:dyDescent="0.2">
      <c r="A6" s="35" t="s">
        <v>56</v>
      </c>
      <c r="F6" s="33" t="s">
        <v>121</v>
      </c>
      <c r="G6" s="33" t="s">
        <v>42</v>
      </c>
      <c r="M6" s="32" t="s">
        <v>134</v>
      </c>
      <c r="N6" s="32" t="s">
        <v>159</v>
      </c>
      <c r="O6" s="32"/>
      <c r="P6" s="51" t="s">
        <v>368</v>
      </c>
      <c r="Q6" s="32" t="s">
        <v>165</v>
      </c>
      <c r="R6" s="32" t="s">
        <v>172</v>
      </c>
      <c r="T6" s="32" t="s">
        <v>89</v>
      </c>
    </row>
    <row r="7" spans="1:23" x14ac:dyDescent="0.2">
      <c r="A7" s="40" t="s">
        <v>57</v>
      </c>
      <c r="F7" s="33" t="s">
        <v>123</v>
      </c>
      <c r="G7" s="33" t="s">
        <v>109</v>
      </c>
      <c r="M7" s="32" t="s">
        <v>135</v>
      </c>
      <c r="N7" s="32" t="s">
        <v>159</v>
      </c>
      <c r="O7" s="32"/>
      <c r="P7" s="51" t="s">
        <v>369</v>
      </c>
      <c r="Q7" s="32" t="s">
        <v>166</v>
      </c>
      <c r="R7" s="32" t="s">
        <v>60</v>
      </c>
      <c r="T7" s="32" t="s">
        <v>76</v>
      </c>
    </row>
    <row r="8" spans="1:23" ht="38.25" x14ac:dyDescent="0.2">
      <c r="A8" s="35" t="s">
        <v>58</v>
      </c>
      <c r="F8" s="33" t="s">
        <v>127</v>
      </c>
      <c r="G8" s="33" t="s">
        <v>110</v>
      </c>
      <c r="M8" s="32" t="s">
        <v>65</v>
      </c>
      <c r="N8" s="32" t="s">
        <v>159</v>
      </c>
      <c r="O8" s="32"/>
      <c r="P8" s="51" t="s">
        <v>370</v>
      </c>
      <c r="Q8" s="32" t="s">
        <v>167</v>
      </c>
      <c r="R8" s="32" t="s">
        <v>173</v>
      </c>
      <c r="T8" s="32" t="s">
        <v>77</v>
      </c>
    </row>
    <row r="9" spans="1:23" x14ac:dyDescent="0.2">
      <c r="A9" s="40" t="s">
        <v>59</v>
      </c>
      <c r="F9" s="33" t="s">
        <v>116</v>
      </c>
      <c r="G9" s="33" t="s">
        <v>112</v>
      </c>
      <c r="M9" s="32" t="s">
        <v>68</v>
      </c>
      <c r="N9" s="32" t="s">
        <v>159</v>
      </c>
      <c r="O9" s="32"/>
      <c r="P9" s="51" t="s">
        <v>371</v>
      </c>
      <c r="Q9" s="32" t="s">
        <v>168</v>
      </c>
      <c r="R9" s="32" t="s">
        <v>174</v>
      </c>
      <c r="T9" s="32" t="s">
        <v>185</v>
      </c>
    </row>
    <row r="10" spans="1:23" x14ac:dyDescent="0.2">
      <c r="A10" s="35" t="s">
        <v>322</v>
      </c>
      <c r="F10" s="33" t="s">
        <v>117</v>
      </c>
      <c r="G10" s="33" t="s">
        <v>113</v>
      </c>
      <c r="M10" s="32" t="s">
        <v>69</v>
      </c>
      <c r="N10" s="32" t="s">
        <v>159</v>
      </c>
      <c r="O10" s="32"/>
      <c r="P10" s="51" t="s">
        <v>372</v>
      </c>
      <c r="Q10" s="32" t="s">
        <v>169</v>
      </c>
      <c r="T10" s="32" t="s">
        <v>85</v>
      </c>
    </row>
    <row r="11" spans="1:23" ht="38.25" x14ac:dyDescent="0.2">
      <c r="A11" s="40" t="s">
        <v>323</v>
      </c>
      <c r="F11" s="33" t="s">
        <v>128</v>
      </c>
      <c r="G11" s="33"/>
      <c r="M11" s="32" t="s">
        <v>63</v>
      </c>
      <c r="N11" s="32" t="s">
        <v>159</v>
      </c>
      <c r="O11" s="32"/>
      <c r="P11" s="51" t="s">
        <v>373</v>
      </c>
      <c r="T11" s="32" t="s">
        <v>84</v>
      </c>
    </row>
    <row r="12" spans="1:23" x14ac:dyDescent="0.2">
      <c r="A12" s="35" t="s">
        <v>324</v>
      </c>
      <c r="F12" s="33" t="s">
        <v>125</v>
      </c>
      <c r="G12" s="33"/>
      <c r="M12" s="32" t="s">
        <v>136</v>
      </c>
      <c r="N12" s="32" t="s">
        <v>159</v>
      </c>
      <c r="O12" s="32"/>
      <c r="P12" s="51"/>
      <c r="T12" s="32" t="s">
        <v>79</v>
      </c>
    </row>
    <row r="13" spans="1:23" x14ac:dyDescent="0.2">
      <c r="A13" s="40" t="s">
        <v>325</v>
      </c>
      <c r="F13" s="33" t="s">
        <v>126</v>
      </c>
      <c r="G13" s="33"/>
      <c r="M13" s="32" t="s">
        <v>137</v>
      </c>
      <c r="N13" s="32" t="s">
        <v>159</v>
      </c>
      <c r="O13" s="32"/>
      <c r="P13" s="51"/>
      <c r="T13" s="32" t="s">
        <v>83</v>
      </c>
    </row>
    <row r="14" spans="1:23" x14ac:dyDescent="0.2">
      <c r="A14" s="35" t="s">
        <v>326</v>
      </c>
      <c r="F14" s="33"/>
      <c r="M14" s="32" t="s">
        <v>50</v>
      </c>
      <c r="N14" s="32" t="s">
        <v>159</v>
      </c>
      <c r="O14" s="32"/>
      <c r="P14" s="51"/>
      <c r="T14" s="32" t="s">
        <v>87</v>
      </c>
    </row>
    <row r="15" spans="1:23" x14ac:dyDescent="0.2">
      <c r="A15" s="40" t="s">
        <v>327</v>
      </c>
      <c r="F15" s="33"/>
      <c r="M15" s="32" t="s">
        <v>49</v>
      </c>
      <c r="N15" s="32" t="s">
        <v>159</v>
      </c>
      <c r="O15" s="32"/>
      <c r="P15" s="51"/>
      <c r="T15" s="32" t="s">
        <v>88</v>
      </c>
    </row>
    <row r="16" spans="1:23" x14ac:dyDescent="0.2">
      <c r="A16" s="35" t="s">
        <v>328</v>
      </c>
      <c r="F16" s="33"/>
      <c r="M16" s="32" t="s">
        <v>138</v>
      </c>
      <c r="N16" s="32" t="s">
        <v>160</v>
      </c>
      <c r="O16" s="32"/>
      <c r="P16" s="51"/>
      <c r="T16" s="32" t="s">
        <v>81</v>
      </c>
    </row>
    <row r="17" spans="1:20" x14ac:dyDescent="0.2">
      <c r="A17" s="40" t="s">
        <v>329</v>
      </c>
      <c r="F17" s="33"/>
      <c r="M17" s="32" t="s">
        <v>44</v>
      </c>
      <c r="N17" s="32" t="s">
        <v>159</v>
      </c>
      <c r="O17" s="32"/>
      <c r="P17" s="51"/>
      <c r="T17" s="32" t="s">
        <v>75</v>
      </c>
    </row>
    <row r="18" spans="1:20" x14ac:dyDescent="0.2">
      <c r="A18" s="35" t="s">
        <v>330</v>
      </c>
      <c r="F18" s="33"/>
      <c r="M18" s="32" t="s">
        <v>70</v>
      </c>
      <c r="N18" s="32" t="s">
        <v>159</v>
      </c>
      <c r="O18" s="32"/>
      <c r="P18" s="51"/>
      <c r="T18" s="32" t="s">
        <v>90</v>
      </c>
    </row>
    <row r="19" spans="1:20" x14ac:dyDescent="0.2">
      <c r="A19" s="40" t="s">
        <v>331</v>
      </c>
      <c r="F19" s="33"/>
      <c r="M19" s="32" t="s">
        <v>71</v>
      </c>
      <c r="N19" s="32" t="s">
        <v>159</v>
      </c>
      <c r="O19" s="32"/>
      <c r="P19" s="51"/>
      <c r="T19" s="32" t="s">
        <v>78</v>
      </c>
    </row>
    <row r="20" spans="1:20" x14ac:dyDescent="0.2">
      <c r="A20" s="35" t="s">
        <v>332</v>
      </c>
      <c r="F20" s="33"/>
      <c r="M20" s="32" t="s">
        <v>139</v>
      </c>
      <c r="N20" s="32" t="s">
        <v>159</v>
      </c>
      <c r="O20" s="32"/>
      <c r="P20" s="51"/>
      <c r="T20" s="32" t="s">
        <v>80</v>
      </c>
    </row>
    <row r="21" spans="1:20" x14ac:dyDescent="0.2">
      <c r="A21" s="34"/>
      <c r="F21" s="33"/>
      <c r="M21" s="32" t="s">
        <v>140</v>
      </c>
      <c r="N21" s="32" t="s">
        <v>159</v>
      </c>
      <c r="O21" s="32"/>
      <c r="P21" s="51"/>
      <c r="T21" s="32" t="s">
        <v>186</v>
      </c>
    </row>
    <row r="22" spans="1:20" x14ac:dyDescent="0.2">
      <c r="A22" s="34"/>
      <c r="F22" s="33"/>
      <c r="M22" s="32" t="s">
        <v>141</v>
      </c>
      <c r="N22" s="32" t="s">
        <v>159</v>
      </c>
      <c r="O22" s="32"/>
      <c r="P22" s="51"/>
      <c r="T22" s="32" t="s">
        <v>91</v>
      </c>
    </row>
    <row r="23" spans="1:20" x14ac:dyDescent="0.2">
      <c r="A23" s="34"/>
      <c r="F23" s="33"/>
      <c r="M23" s="32" t="s">
        <v>142</v>
      </c>
      <c r="N23" s="32" t="s">
        <v>159</v>
      </c>
      <c r="O23" s="32"/>
      <c r="P23" s="51"/>
      <c r="T23" s="32" t="s">
        <v>187</v>
      </c>
    </row>
    <row r="24" spans="1:20" x14ac:dyDescent="0.2">
      <c r="A24" s="34"/>
      <c r="F24" s="33"/>
      <c r="M24" s="32" t="s">
        <v>51</v>
      </c>
      <c r="N24" s="32" t="s">
        <v>159</v>
      </c>
      <c r="O24" s="32"/>
      <c r="P24" s="51"/>
      <c r="T24" s="32" t="s">
        <v>188</v>
      </c>
    </row>
    <row r="25" spans="1:20" x14ac:dyDescent="0.2">
      <c r="A25" s="34"/>
      <c r="F25" s="33"/>
      <c r="M25" s="32" t="s">
        <v>143</v>
      </c>
      <c r="N25" s="32" t="s">
        <v>159</v>
      </c>
      <c r="O25" s="32"/>
      <c r="P25" s="51"/>
      <c r="T25" s="32" t="s">
        <v>189</v>
      </c>
    </row>
    <row r="26" spans="1:20" x14ac:dyDescent="0.2">
      <c r="A26" s="34"/>
      <c r="F26" s="33"/>
      <c r="M26" s="32" t="s">
        <v>144</v>
      </c>
      <c r="N26" s="32" t="s">
        <v>159</v>
      </c>
      <c r="O26" s="32"/>
      <c r="P26" s="51"/>
      <c r="T26" s="32" t="s">
        <v>190</v>
      </c>
    </row>
    <row r="27" spans="1:20" x14ac:dyDescent="0.2">
      <c r="A27" s="34"/>
      <c r="F27" s="33"/>
      <c r="M27" s="32" t="s">
        <v>66</v>
      </c>
      <c r="N27" s="32" t="s">
        <v>159</v>
      </c>
      <c r="O27" s="32"/>
      <c r="P27" s="51"/>
      <c r="T27" s="32" t="s">
        <v>191</v>
      </c>
    </row>
    <row r="28" spans="1:20" x14ac:dyDescent="0.2">
      <c r="A28" s="34"/>
      <c r="F28" s="33"/>
      <c r="M28" s="32" t="s">
        <v>48</v>
      </c>
      <c r="N28" s="32" t="s">
        <v>159</v>
      </c>
      <c r="O28" s="32"/>
      <c r="P28" s="51"/>
      <c r="T28" s="32" t="s">
        <v>86</v>
      </c>
    </row>
    <row r="29" spans="1:20" x14ac:dyDescent="0.2">
      <c r="A29" s="34"/>
      <c r="F29" s="33"/>
      <c r="M29" s="32" t="s">
        <v>145</v>
      </c>
      <c r="N29" s="32" t="s">
        <v>159</v>
      </c>
      <c r="O29" s="32"/>
      <c r="P29" s="51"/>
      <c r="T29" s="32" t="s">
        <v>192</v>
      </c>
    </row>
    <row r="30" spans="1:20" x14ac:dyDescent="0.2">
      <c r="A30" s="34"/>
      <c r="F30" s="33"/>
      <c r="M30" s="32" t="s">
        <v>146</v>
      </c>
      <c r="N30" s="32" t="s">
        <v>159</v>
      </c>
      <c r="O30" s="32"/>
      <c r="P30" s="51"/>
      <c r="T30" s="32" t="s">
        <v>193</v>
      </c>
    </row>
    <row r="31" spans="1:20" x14ac:dyDescent="0.2">
      <c r="A31" s="34"/>
      <c r="F31" s="33"/>
      <c r="M31" s="32" t="s">
        <v>147</v>
      </c>
      <c r="N31" s="32" t="s">
        <v>159</v>
      </c>
      <c r="O31" s="32"/>
      <c r="P31" s="51"/>
      <c r="T31" s="32" t="s">
        <v>194</v>
      </c>
    </row>
    <row r="32" spans="1:20" x14ac:dyDescent="0.2">
      <c r="A32" s="34"/>
      <c r="F32" s="33"/>
      <c r="M32" s="32" t="s">
        <v>148</v>
      </c>
      <c r="N32" s="32" t="s">
        <v>159</v>
      </c>
      <c r="O32" s="32"/>
      <c r="P32" s="51"/>
      <c r="T32" s="32" t="s">
        <v>195</v>
      </c>
    </row>
    <row r="33" spans="1:20" x14ac:dyDescent="0.2">
      <c r="A33" s="34"/>
      <c r="F33" s="33"/>
      <c r="M33" s="32" t="s">
        <v>149</v>
      </c>
      <c r="N33" s="32" t="s">
        <v>159</v>
      </c>
      <c r="O33" s="32"/>
      <c r="P33" s="51"/>
      <c r="T33" s="32" t="s">
        <v>196</v>
      </c>
    </row>
    <row r="34" spans="1:20" x14ac:dyDescent="0.2">
      <c r="A34" s="34"/>
      <c r="F34" s="33"/>
      <c r="M34" s="32" t="s">
        <v>64</v>
      </c>
      <c r="N34" s="32" t="s">
        <v>159</v>
      </c>
      <c r="O34" s="32"/>
      <c r="P34" s="32"/>
      <c r="T34" s="32" t="s">
        <v>197</v>
      </c>
    </row>
    <row r="35" spans="1:20" x14ac:dyDescent="0.2">
      <c r="A35" s="34"/>
      <c r="F35" s="33"/>
      <c r="M35" s="32" t="s">
        <v>150</v>
      </c>
      <c r="N35" s="32" t="s">
        <v>159</v>
      </c>
      <c r="O35" s="32"/>
      <c r="P35" s="32"/>
      <c r="T35" s="32" t="s">
        <v>92</v>
      </c>
    </row>
    <row r="36" spans="1:20" x14ac:dyDescent="0.2">
      <c r="A36" s="34"/>
      <c r="F36" s="33"/>
      <c r="M36" s="32" t="s">
        <v>151</v>
      </c>
      <c r="N36" s="32" t="s">
        <v>159</v>
      </c>
      <c r="O36" s="32"/>
      <c r="P36" s="32"/>
      <c r="T36" s="32" t="s">
        <v>198</v>
      </c>
    </row>
    <row r="37" spans="1:20" x14ac:dyDescent="0.2">
      <c r="A37" s="34"/>
      <c r="F37" s="33"/>
      <c r="M37" s="32" t="s">
        <v>152</v>
      </c>
      <c r="N37" s="32" t="s">
        <v>159</v>
      </c>
      <c r="O37" s="32"/>
      <c r="P37" s="32"/>
      <c r="T37" s="32" t="s">
        <v>199</v>
      </c>
    </row>
    <row r="38" spans="1:20" x14ac:dyDescent="0.2">
      <c r="A38" s="34"/>
      <c r="F38" s="33"/>
      <c r="M38" s="32" t="s">
        <v>153</v>
      </c>
      <c r="N38" s="32" t="s">
        <v>159</v>
      </c>
      <c r="O38" s="32"/>
      <c r="P38" s="32"/>
      <c r="T38" s="32" t="s">
        <v>126</v>
      </c>
    </row>
    <row r="39" spans="1:20" x14ac:dyDescent="0.2">
      <c r="A39" s="34"/>
      <c r="F39" s="33"/>
      <c r="M39" s="32" t="s">
        <v>154</v>
      </c>
      <c r="N39" s="32" t="s">
        <v>159</v>
      </c>
      <c r="O39" s="32"/>
      <c r="P39" s="32"/>
      <c r="T39" s="32" t="s">
        <v>200</v>
      </c>
    </row>
    <row r="40" spans="1:20" x14ac:dyDescent="0.2">
      <c r="F40" s="33"/>
      <c r="M40" s="32" t="s">
        <v>73</v>
      </c>
      <c r="N40" s="32" t="s">
        <v>159</v>
      </c>
      <c r="O40" s="32"/>
      <c r="P40" s="32"/>
      <c r="T40" s="32" t="s">
        <v>201</v>
      </c>
    </row>
    <row r="41" spans="1:20" x14ac:dyDescent="0.2">
      <c r="F41" s="33"/>
      <c r="M41" s="32" t="s">
        <v>155</v>
      </c>
      <c r="N41" s="32" t="s">
        <v>159</v>
      </c>
      <c r="O41" s="32"/>
      <c r="P41" s="32"/>
      <c r="T41" s="32" t="s">
        <v>202</v>
      </c>
    </row>
    <row r="42" spans="1:20" x14ac:dyDescent="0.2">
      <c r="F42" s="33"/>
      <c r="M42" s="32" t="s">
        <v>156</v>
      </c>
      <c r="N42" s="32" t="s">
        <v>159</v>
      </c>
      <c r="O42" s="32"/>
      <c r="P42" s="32"/>
      <c r="T42" s="32" t="s">
        <v>203</v>
      </c>
    </row>
    <row r="43" spans="1:20" x14ac:dyDescent="0.2">
      <c r="F43" s="33"/>
      <c r="M43" s="32" t="s">
        <v>157</v>
      </c>
      <c r="N43" s="32" t="s">
        <v>159</v>
      </c>
      <c r="O43" s="32"/>
      <c r="P43" s="32"/>
      <c r="T43" s="32" t="s">
        <v>204</v>
      </c>
    </row>
    <row r="44" spans="1:20" x14ac:dyDescent="0.2">
      <c r="F44" s="26"/>
      <c r="M44" s="32" t="s">
        <v>62</v>
      </c>
      <c r="N44" s="32" t="s">
        <v>159</v>
      </c>
      <c r="O44" s="32"/>
      <c r="P44" s="32"/>
      <c r="T44" s="32" t="s">
        <v>205</v>
      </c>
    </row>
    <row r="45" spans="1:20" x14ac:dyDescent="0.2">
      <c r="F45" s="32"/>
      <c r="M45" s="32" t="s">
        <v>52</v>
      </c>
      <c r="N45" s="32" t="s">
        <v>159</v>
      </c>
      <c r="O45" s="32"/>
      <c r="P45" s="32"/>
      <c r="T45" s="32" t="s">
        <v>206</v>
      </c>
    </row>
    <row r="46" spans="1:20" x14ac:dyDescent="0.2">
      <c r="F46" s="32"/>
      <c r="M46" s="32" t="s">
        <v>72</v>
      </c>
      <c r="N46" s="32" t="s">
        <v>159</v>
      </c>
      <c r="O46" s="32"/>
      <c r="P46" s="32"/>
      <c r="T46" s="32" t="s">
        <v>207</v>
      </c>
    </row>
    <row r="47" spans="1:20" x14ac:dyDescent="0.2">
      <c r="F47" s="32"/>
      <c r="M47" s="32"/>
      <c r="N47" s="32"/>
      <c r="O47" s="32"/>
      <c r="P47" s="32"/>
      <c r="T47" s="32" t="s">
        <v>208</v>
      </c>
    </row>
    <row r="48" spans="1:20" x14ac:dyDescent="0.2">
      <c r="F48" s="32"/>
      <c r="M48" s="32"/>
      <c r="N48" s="32"/>
      <c r="O48" s="32"/>
      <c r="P48" s="32"/>
      <c r="T48" s="32" t="s">
        <v>209</v>
      </c>
    </row>
    <row r="49" spans="6:20" x14ac:dyDescent="0.2">
      <c r="F49" s="32"/>
      <c r="M49" s="32"/>
      <c r="N49" s="32"/>
      <c r="O49" s="32"/>
      <c r="P49" s="32"/>
      <c r="T49" s="32" t="s">
        <v>210</v>
      </c>
    </row>
    <row r="50" spans="6:20" x14ac:dyDescent="0.2">
      <c r="F50" s="32"/>
      <c r="M50" s="32"/>
      <c r="N50" s="32"/>
      <c r="O50" s="32"/>
      <c r="P50" s="32"/>
      <c r="T50" s="32" t="s">
        <v>211</v>
      </c>
    </row>
    <row r="51" spans="6:20" x14ac:dyDescent="0.2">
      <c r="F51" s="32"/>
      <c r="M51" s="32"/>
      <c r="N51" s="32"/>
      <c r="O51" s="32"/>
      <c r="P51" s="32"/>
      <c r="T51" s="32" t="s">
        <v>212</v>
      </c>
    </row>
    <row r="52" spans="6:20" x14ac:dyDescent="0.2">
      <c r="F52" s="32"/>
      <c r="M52" s="32"/>
      <c r="N52" s="32"/>
      <c r="O52" s="32"/>
      <c r="P52" s="32"/>
      <c r="T52" s="32" t="s">
        <v>213</v>
      </c>
    </row>
    <row r="53" spans="6:20" x14ac:dyDescent="0.2">
      <c r="F53" s="32"/>
      <c r="M53" s="32"/>
      <c r="N53" s="32"/>
      <c r="O53" s="32"/>
      <c r="P53" s="32"/>
      <c r="T53" s="32" t="s">
        <v>214</v>
      </c>
    </row>
    <row r="54" spans="6:20" x14ac:dyDescent="0.2">
      <c r="F54" s="32"/>
      <c r="M54" s="32"/>
      <c r="N54" s="32"/>
      <c r="O54" s="32"/>
      <c r="P54" s="32"/>
      <c r="T54" s="32" t="s">
        <v>215</v>
      </c>
    </row>
    <row r="55" spans="6:20" x14ac:dyDescent="0.2">
      <c r="F55" s="26"/>
      <c r="M55" s="32"/>
      <c r="N55" s="32"/>
      <c r="O55" s="32"/>
      <c r="P55" s="32"/>
      <c r="T55" s="32" t="s">
        <v>216</v>
      </c>
    </row>
    <row r="56" spans="6:20" x14ac:dyDescent="0.2">
      <c r="F56" s="32"/>
      <c r="M56" s="32"/>
      <c r="N56" s="32"/>
      <c r="O56" s="32"/>
      <c r="P56" s="32"/>
      <c r="T56" s="32" t="s">
        <v>217</v>
      </c>
    </row>
    <row r="57" spans="6:20" x14ac:dyDescent="0.2">
      <c r="F57" s="26"/>
      <c r="M57" s="32"/>
      <c r="N57" s="32"/>
      <c r="O57" s="32"/>
      <c r="P57" s="32"/>
      <c r="T57" s="32" t="s">
        <v>218</v>
      </c>
    </row>
    <row r="58" spans="6:20" x14ac:dyDescent="0.2">
      <c r="F58" s="32"/>
      <c r="M58" s="32"/>
      <c r="N58" s="32"/>
      <c r="O58" s="32"/>
      <c r="P58" s="32"/>
      <c r="T58" s="32" t="s">
        <v>219</v>
      </c>
    </row>
    <row r="59" spans="6:20" x14ac:dyDescent="0.2">
      <c r="F59" s="32"/>
      <c r="M59" s="32"/>
      <c r="N59" s="32"/>
      <c r="O59" s="32"/>
      <c r="P59" s="32"/>
      <c r="T59" s="32" t="s">
        <v>220</v>
      </c>
    </row>
    <row r="60" spans="6:20" x14ac:dyDescent="0.2">
      <c r="F60" s="26"/>
      <c r="M60" s="32"/>
      <c r="N60" s="32"/>
      <c r="O60" s="32"/>
      <c r="P60" s="32"/>
      <c r="T60" s="32" t="s">
        <v>221</v>
      </c>
    </row>
    <row r="61" spans="6:20" x14ac:dyDescent="0.2">
      <c r="F61" s="26"/>
      <c r="M61" s="32"/>
      <c r="N61" s="32"/>
      <c r="O61" s="32"/>
      <c r="P61" s="32"/>
      <c r="T61" s="32" t="s">
        <v>222</v>
      </c>
    </row>
    <row r="62" spans="6:20" x14ac:dyDescent="0.2">
      <c r="F62" s="26"/>
      <c r="M62" s="32"/>
      <c r="N62" s="32"/>
      <c r="O62" s="32"/>
      <c r="P62" s="32"/>
      <c r="T62" s="32" t="s">
        <v>223</v>
      </c>
    </row>
    <row r="63" spans="6:20" x14ac:dyDescent="0.2">
      <c r="F63" s="26"/>
      <c r="M63" s="32"/>
      <c r="N63" s="32"/>
      <c r="O63" s="32"/>
      <c r="P63" s="32"/>
      <c r="T63" s="32" t="s">
        <v>224</v>
      </c>
    </row>
    <row r="64" spans="6:20" x14ac:dyDescent="0.2">
      <c r="M64" s="32"/>
      <c r="N64" s="32"/>
      <c r="O64" s="32"/>
      <c r="P64" s="32"/>
      <c r="T64" s="32" t="s">
        <v>225</v>
      </c>
    </row>
    <row r="65" spans="13:20" x14ac:dyDescent="0.2">
      <c r="M65" s="32"/>
      <c r="N65" s="32"/>
      <c r="O65" s="32"/>
      <c r="P65" s="32"/>
      <c r="T65" s="32" t="s">
        <v>226</v>
      </c>
    </row>
    <row r="66" spans="13:20" x14ac:dyDescent="0.2">
      <c r="M66" s="32"/>
      <c r="N66" s="32"/>
      <c r="O66" s="32"/>
      <c r="P66" s="32"/>
      <c r="T66" s="32" t="s">
        <v>227</v>
      </c>
    </row>
    <row r="67" spans="13:20" x14ac:dyDescent="0.2">
      <c r="M67" s="32"/>
      <c r="N67" s="32"/>
      <c r="O67" s="32"/>
      <c r="P67" s="32"/>
      <c r="T67" s="32" t="s">
        <v>228</v>
      </c>
    </row>
    <row r="68" spans="13:20" x14ac:dyDescent="0.2">
      <c r="M68" s="32"/>
      <c r="N68" s="32"/>
      <c r="O68" s="32"/>
      <c r="P68" s="32"/>
      <c r="T68" s="32" t="s">
        <v>229</v>
      </c>
    </row>
    <row r="69" spans="13:20" x14ac:dyDescent="0.2">
      <c r="M69" s="32"/>
      <c r="N69" s="32"/>
      <c r="O69" s="32"/>
      <c r="P69" s="32"/>
      <c r="T69" s="32" t="s">
        <v>230</v>
      </c>
    </row>
    <row r="70" spans="13:20" x14ac:dyDescent="0.2">
      <c r="M70" s="32"/>
      <c r="N70" s="32"/>
      <c r="O70" s="32"/>
      <c r="P70" s="32"/>
      <c r="T70" s="32" t="s">
        <v>231</v>
      </c>
    </row>
    <row r="71" spans="13:20" x14ac:dyDescent="0.2">
      <c r="M71" s="32"/>
      <c r="N71" s="32"/>
      <c r="O71" s="32"/>
      <c r="P71" s="32"/>
      <c r="T71" s="32" t="s">
        <v>232</v>
      </c>
    </row>
    <row r="72" spans="13:20" x14ac:dyDescent="0.2">
      <c r="M72" s="32"/>
      <c r="N72" s="32"/>
      <c r="O72" s="32"/>
      <c r="P72" s="32"/>
      <c r="T72" s="32" t="s">
        <v>233</v>
      </c>
    </row>
    <row r="73" spans="13:20" x14ac:dyDescent="0.2">
      <c r="M73" s="32"/>
      <c r="N73" s="32"/>
      <c r="O73" s="32"/>
      <c r="P73" s="32"/>
      <c r="T73" s="32" t="s">
        <v>234</v>
      </c>
    </row>
    <row r="74" spans="13:20" x14ac:dyDescent="0.2">
      <c r="M74" s="32"/>
      <c r="N74" s="32"/>
      <c r="O74" s="32"/>
      <c r="P74" s="32"/>
      <c r="T74" s="32" t="s">
        <v>235</v>
      </c>
    </row>
    <row r="75" spans="13:20" x14ac:dyDescent="0.2">
      <c r="M75" s="32"/>
      <c r="N75" s="32"/>
      <c r="O75" s="32"/>
      <c r="P75" s="32"/>
      <c r="T75" s="32" t="s">
        <v>236</v>
      </c>
    </row>
    <row r="76" spans="13:20" x14ac:dyDescent="0.2">
      <c r="M76" s="32"/>
      <c r="N76" s="32"/>
      <c r="O76" s="32"/>
      <c r="P76" s="32"/>
      <c r="T76" s="32" t="s">
        <v>237</v>
      </c>
    </row>
    <row r="77" spans="13:20" x14ac:dyDescent="0.2">
      <c r="M77" s="32"/>
      <c r="N77" s="32"/>
      <c r="O77" s="32"/>
      <c r="P77" s="32"/>
      <c r="T77" s="32" t="s">
        <v>238</v>
      </c>
    </row>
    <row r="78" spans="13:20" x14ac:dyDescent="0.2">
      <c r="M78" s="32"/>
      <c r="N78" s="32"/>
      <c r="O78" s="32"/>
      <c r="P78" s="32"/>
      <c r="T78" s="32" t="s">
        <v>239</v>
      </c>
    </row>
    <row r="79" spans="13:20" x14ac:dyDescent="0.2">
      <c r="M79" s="32"/>
      <c r="N79" s="32"/>
      <c r="O79" s="32"/>
      <c r="P79" s="32"/>
      <c r="T79" s="32" t="s">
        <v>240</v>
      </c>
    </row>
    <row r="80" spans="13:20" x14ac:dyDescent="0.2">
      <c r="M80" s="32"/>
      <c r="N80" s="32"/>
      <c r="O80" s="32"/>
      <c r="P80" s="32"/>
      <c r="T80" s="32" t="s">
        <v>241</v>
      </c>
    </row>
    <row r="81" spans="13:20" x14ac:dyDescent="0.2">
      <c r="M81" s="32"/>
      <c r="N81" s="32"/>
      <c r="O81" s="32"/>
      <c r="P81" s="32"/>
      <c r="T81" s="32" t="s">
        <v>242</v>
      </c>
    </row>
    <row r="82" spans="13:20" x14ac:dyDescent="0.2">
      <c r="M82" s="32"/>
      <c r="N82" s="32"/>
      <c r="O82" s="32"/>
      <c r="P82" s="32"/>
      <c r="T82" s="32" t="s">
        <v>243</v>
      </c>
    </row>
    <row r="83" spans="13:20" x14ac:dyDescent="0.2">
      <c r="M83" s="32"/>
      <c r="N83" s="32"/>
      <c r="O83" s="32"/>
      <c r="P83" s="32"/>
      <c r="T83" s="32" t="s">
        <v>244</v>
      </c>
    </row>
    <row r="84" spans="13:20" x14ac:dyDescent="0.2">
      <c r="M84" s="32"/>
      <c r="N84" s="32"/>
      <c r="O84" s="32"/>
      <c r="P84" s="32"/>
      <c r="T84" s="32" t="s">
        <v>245</v>
      </c>
    </row>
    <row r="85" spans="13:20" x14ac:dyDescent="0.2">
      <c r="M85" s="32"/>
      <c r="N85" s="32"/>
      <c r="O85" s="32"/>
      <c r="P85" s="32"/>
      <c r="T85" s="32" t="s">
        <v>246</v>
      </c>
    </row>
    <row r="86" spans="13:20" x14ac:dyDescent="0.2">
      <c r="M86" s="32"/>
      <c r="N86" s="32"/>
      <c r="O86" s="32"/>
      <c r="P86" s="32"/>
      <c r="T86" s="32" t="s">
        <v>247</v>
      </c>
    </row>
    <row r="87" spans="13:20" x14ac:dyDescent="0.2">
      <c r="M87" s="32"/>
      <c r="N87" s="32"/>
      <c r="O87" s="32"/>
      <c r="P87" s="32"/>
      <c r="T87" s="32" t="s">
        <v>248</v>
      </c>
    </row>
    <row r="88" spans="13:20" x14ac:dyDescent="0.2">
      <c r="M88" s="32"/>
      <c r="N88" s="32"/>
      <c r="O88" s="32"/>
      <c r="P88" s="32"/>
      <c r="T88" s="32" t="s">
        <v>249</v>
      </c>
    </row>
    <row r="89" spans="13:20" x14ac:dyDescent="0.2">
      <c r="M89" s="32"/>
      <c r="N89" s="32"/>
      <c r="O89" s="32"/>
      <c r="P89" s="32"/>
      <c r="T89" s="32" t="s">
        <v>250</v>
      </c>
    </row>
    <row r="90" spans="13:20" x14ac:dyDescent="0.2">
      <c r="M90" s="32"/>
      <c r="N90" s="32"/>
      <c r="O90" s="32"/>
      <c r="P90" s="32"/>
      <c r="T90" s="32" t="s">
        <v>251</v>
      </c>
    </row>
    <row r="91" spans="13:20" x14ac:dyDescent="0.2">
      <c r="M91" s="32"/>
      <c r="N91" s="32"/>
      <c r="O91" s="32"/>
      <c r="P91" s="32"/>
      <c r="T91" s="32" t="s">
        <v>252</v>
      </c>
    </row>
    <row r="92" spans="13:20" x14ac:dyDescent="0.2">
      <c r="M92" s="32"/>
      <c r="N92" s="32"/>
      <c r="O92" s="32"/>
      <c r="P92" s="32"/>
      <c r="T92" s="32" t="s">
        <v>253</v>
      </c>
    </row>
    <row r="93" spans="13:20" x14ac:dyDescent="0.2">
      <c r="M93" s="32"/>
      <c r="N93" s="32"/>
      <c r="O93" s="32"/>
      <c r="P93" s="32"/>
      <c r="T93" s="32" t="s">
        <v>254</v>
      </c>
    </row>
    <row r="94" spans="13:20" x14ac:dyDescent="0.2">
      <c r="M94" s="32"/>
      <c r="N94" s="32"/>
      <c r="O94" s="32"/>
      <c r="P94" s="32"/>
      <c r="T94" s="32" t="s">
        <v>255</v>
      </c>
    </row>
    <row r="95" spans="13:20" x14ac:dyDescent="0.2">
      <c r="M95" s="32"/>
      <c r="N95" s="32"/>
      <c r="O95" s="32"/>
      <c r="P95" s="32"/>
      <c r="T95" s="32" t="s">
        <v>256</v>
      </c>
    </row>
    <row r="96" spans="13:20" x14ac:dyDescent="0.2">
      <c r="M96" s="32"/>
      <c r="N96" s="32"/>
      <c r="O96" s="32"/>
      <c r="P96" s="32"/>
      <c r="T96" s="32" t="s">
        <v>257</v>
      </c>
    </row>
    <row r="97" spans="13:20" x14ac:dyDescent="0.2">
      <c r="M97" s="32"/>
      <c r="N97" s="32"/>
      <c r="O97" s="32"/>
      <c r="P97" s="32"/>
      <c r="T97" s="32" t="s">
        <v>258</v>
      </c>
    </row>
    <row r="98" spans="13:20" x14ac:dyDescent="0.2">
      <c r="M98" s="32"/>
      <c r="N98" s="32"/>
      <c r="O98" s="32"/>
      <c r="P98" s="32"/>
      <c r="T98" s="32" t="s">
        <v>259</v>
      </c>
    </row>
    <row r="99" spans="13:20" x14ac:dyDescent="0.2">
      <c r="M99" s="32"/>
      <c r="N99" s="32"/>
      <c r="O99" s="32"/>
      <c r="P99" s="32"/>
      <c r="T99" s="32" t="s">
        <v>260</v>
      </c>
    </row>
    <row r="100" spans="13:20" x14ac:dyDescent="0.2">
      <c r="M100" s="32"/>
      <c r="N100" s="32"/>
      <c r="O100" s="32"/>
      <c r="P100" s="32"/>
      <c r="T100" s="32" t="s">
        <v>261</v>
      </c>
    </row>
    <row r="101" spans="13:20" x14ac:dyDescent="0.2">
      <c r="M101" s="32"/>
      <c r="N101" s="32"/>
      <c r="O101" s="32"/>
      <c r="P101" s="32"/>
      <c r="T101" s="32" t="s">
        <v>262</v>
      </c>
    </row>
    <row r="102" spans="13:20" x14ac:dyDescent="0.2">
      <c r="M102" s="32"/>
      <c r="N102" s="32"/>
      <c r="O102" s="32"/>
      <c r="P102" s="32"/>
      <c r="T102" s="32" t="s">
        <v>263</v>
      </c>
    </row>
    <row r="103" spans="13:20" x14ac:dyDescent="0.2">
      <c r="M103" s="32"/>
      <c r="N103" s="32"/>
      <c r="O103" s="32"/>
      <c r="P103" s="32"/>
      <c r="T103" s="32" t="s">
        <v>264</v>
      </c>
    </row>
    <row r="104" spans="13:20" x14ac:dyDescent="0.2">
      <c r="M104" s="32"/>
      <c r="N104" s="32"/>
      <c r="O104" s="32"/>
      <c r="P104" s="32"/>
      <c r="T104" s="32" t="s">
        <v>265</v>
      </c>
    </row>
    <row r="105" spans="13:20" x14ac:dyDescent="0.2">
      <c r="M105" s="32"/>
      <c r="N105" s="32"/>
      <c r="O105" s="32"/>
      <c r="P105" s="32"/>
      <c r="T105" s="32" t="s">
        <v>266</v>
      </c>
    </row>
    <row r="106" spans="13:20" x14ac:dyDescent="0.2">
      <c r="M106" s="32"/>
      <c r="N106" s="32"/>
      <c r="O106" s="32"/>
      <c r="P106" s="32"/>
      <c r="T106" s="32" t="s">
        <v>267</v>
      </c>
    </row>
    <row r="107" spans="13:20" x14ac:dyDescent="0.2">
      <c r="M107" s="32"/>
      <c r="N107" s="32"/>
      <c r="O107" s="32"/>
      <c r="P107" s="32"/>
      <c r="T107" s="32" t="s">
        <v>268</v>
      </c>
    </row>
    <row r="108" spans="13:20" x14ac:dyDescent="0.2">
      <c r="M108" s="32"/>
      <c r="N108" s="32"/>
      <c r="O108" s="32"/>
      <c r="P108" s="32"/>
      <c r="T108" s="32" t="s">
        <v>269</v>
      </c>
    </row>
    <row r="109" spans="13:20" x14ac:dyDescent="0.2">
      <c r="M109" s="32"/>
      <c r="N109" s="32"/>
      <c r="O109" s="32"/>
      <c r="P109" s="32"/>
      <c r="T109" s="32" t="s">
        <v>270</v>
      </c>
    </row>
    <row r="110" spans="13:20" x14ac:dyDescent="0.2">
      <c r="M110" s="32"/>
      <c r="N110" s="32"/>
      <c r="O110" s="32"/>
      <c r="P110" s="32"/>
      <c r="T110" s="32" t="s">
        <v>271</v>
      </c>
    </row>
    <row r="111" spans="13:20" x14ac:dyDescent="0.2">
      <c r="M111" s="32"/>
      <c r="N111" s="32"/>
      <c r="O111" s="32"/>
      <c r="P111" s="32"/>
      <c r="T111" s="32" t="s">
        <v>272</v>
      </c>
    </row>
    <row r="112" spans="13:20" x14ac:dyDescent="0.2">
      <c r="M112" s="32"/>
      <c r="N112" s="32"/>
      <c r="O112" s="32"/>
      <c r="P112" s="32"/>
      <c r="T112" s="32" t="s">
        <v>273</v>
      </c>
    </row>
    <row r="113" spans="13:20" x14ac:dyDescent="0.2">
      <c r="M113" s="32"/>
      <c r="N113" s="32"/>
      <c r="O113" s="32"/>
      <c r="P113" s="32"/>
      <c r="T113" s="32" t="s">
        <v>274</v>
      </c>
    </row>
    <row r="114" spans="13:20" x14ac:dyDescent="0.2">
      <c r="M114" s="32"/>
      <c r="N114" s="32"/>
      <c r="O114" s="32"/>
      <c r="P114" s="32"/>
      <c r="T114" s="32" t="s">
        <v>275</v>
      </c>
    </row>
    <row r="115" spans="13:20" x14ac:dyDescent="0.2">
      <c r="M115" s="32"/>
      <c r="N115" s="32"/>
      <c r="O115" s="32"/>
      <c r="P115" s="32"/>
      <c r="T115" s="32" t="s">
        <v>276</v>
      </c>
    </row>
    <row r="116" spans="13:20" x14ac:dyDescent="0.2">
      <c r="M116" s="32"/>
      <c r="N116" s="32"/>
      <c r="O116" s="32"/>
      <c r="P116" s="32"/>
      <c r="T116" s="32" t="s">
        <v>277</v>
      </c>
    </row>
    <row r="117" spans="13:20" x14ac:dyDescent="0.2">
      <c r="M117" s="32"/>
      <c r="N117" s="32"/>
      <c r="O117" s="32"/>
      <c r="P117" s="32"/>
      <c r="T117" s="32" t="s">
        <v>278</v>
      </c>
    </row>
    <row r="118" spans="13:20" x14ac:dyDescent="0.2">
      <c r="M118" s="32"/>
      <c r="N118" s="32"/>
      <c r="O118" s="32"/>
      <c r="P118" s="32"/>
      <c r="T118" s="32" t="s">
        <v>279</v>
      </c>
    </row>
    <row r="119" spans="13:20" x14ac:dyDescent="0.2">
      <c r="M119" s="32"/>
      <c r="N119" s="32"/>
      <c r="O119" s="32"/>
      <c r="P119" s="32"/>
      <c r="T119" s="32" t="s">
        <v>280</v>
      </c>
    </row>
    <row r="120" spans="13:20" x14ac:dyDescent="0.2">
      <c r="M120" s="32"/>
      <c r="N120" s="32"/>
      <c r="O120" s="32"/>
      <c r="P120" s="32"/>
      <c r="T120" s="32" t="s">
        <v>281</v>
      </c>
    </row>
    <row r="121" spans="13:20" x14ac:dyDescent="0.2">
      <c r="M121" s="32"/>
      <c r="N121" s="32"/>
      <c r="O121" s="32"/>
      <c r="P121" s="32"/>
      <c r="T121" s="32" t="s">
        <v>282</v>
      </c>
    </row>
    <row r="122" spans="13:20" x14ac:dyDescent="0.2">
      <c r="M122" s="32"/>
      <c r="N122" s="32"/>
      <c r="O122" s="32"/>
      <c r="P122" s="32"/>
      <c r="T122" s="32" t="s">
        <v>283</v>
      </c>
    </row>
    <row r="123" spans="13:20" x14ac:dyDescent="0.2">
      <c r="M123" s="32"/>
      <c r="N123" s="32"/>
      <c r="O123" s="32"/>
      <c r="P123" s="32"/>
      <c r="T123" s="32" t="s">
        <v>284</v>
      </c>
    </row>
    <row r="124" spans="13:20" x14ac:dyDescent="0.2">
      <c r="M124" s="32"/>
      <c r="N124" s="32"/>
      <c r="O124" s="32"/>
      <c r="P124" s="32"/>
      <c r="T124" s="32" t="s">
        <v>285</v>
      </c>
    </row>
    <row r="125" spans="13:20" x14ac:dyDescent="0.2">
      <c r="M125" s="32"/>
      <c r="N125" s="32"/>
      <c r="O125" s="32"/>
      <c r="P125" s="32"/>
      <c r="T125" s="32" t="s">
        <v>286</v>
      </c>
    </row>
    <row r="126" spans="13:20" x14ac:dyDescent="0.2">
      <c r="M126" s="32"/>
      <c r="N126" s="32"/>
      <c r="O126" s="32"/>
      <c r="P126" s="32"/>
      <c r="T126" s="32" t="s">
        <v>287</v>
      </c>
    </row>
    <row r="127" spans="13:20" x14ac:dyDescent="0.2">
      <c r="M127" s="32"/>
      <c r="N127" s="32"/>
      <c r="O127" s="32"/>
      <c r="P127" s="32"/>
      <c r="T127" s="32" t="s">
        <v>288</v>
      </c>
    </row>
    <row r="128" spans="13:20" x14ac:dyDescent="0.2">
      <c r="M128" s="32"/>
      <c r="N128" s="32"/>
      <c r="O128" s="32"/>
      <c r="P128" s="32"/>
      <c r="T128" s="32" t="s">
        <v>289</v>
      </c>
    </row>
    <row r="129" spans="13:20" x14ac:dyDescent="0.2">
      <c r="M129" s="32"/>
      <c r="N129" s="32"/>
      <c r="O129" s="32"/>
      <c r="P129" s="32"/>
      <c r="T129" s="32" t="s">
        <v>290</v>
      </c>
    </row>
    <row r="130" spans="13:20" x14ac:dyDescent="0.2">
      <c r="M130" s="32"/>
      <c r="N130" s="32"/>
      <c r="O130" s="32"/>
      <c r="P130" s="32"/>
      <c r="T130" s="32" t="s">
        <v>291</v>
      </c>
    </row>
    <row r="131" spans="13:20" x14ac:dyDescent="0.2">
      <c r="M131" s="32"/>
      <c r="N131" s="32"/>
      <c r="O131" s="32"/>
      <c r="P131" s="32"/>
      <c r="T131" s="32" t="s">
        <v>292</v>
      </c>
    </row>
    <row r="132" spans="13:20" x14ac:dyDescent="0.2">
      <c r="M132" s="32"/>
      <c r="N132" s="32"/>
      <c r="O132" s="32"/>
      <c r="P132" s="32"/>
      <c r="T132" s="32" t="s">
        <v>293</v>
      </c>
    </row>
    <row r="133" spans="13:20" x14ac:dyDescent="0.2">
      <c r="M133" s="32"/>
      <c r="N133" s="32"/>
      <c r="O133" s="32"/>
      <c r="P133" s="32"/>
      <c r="T133" s="32" t="s">
        <v>294</v>
      </c>
    </row>
    <row r="134" spans="13:20" x14ac:dyDescent="0.2">
      <c r="M134" s="32"/>
      <c r="N134" s="32"/>
      <c r="O134" s="32"/>
      <c r="P134" s="32"/>
      <c r="T134" s="32" t="s">
        <v>295</v>
      </c>
    </row>
    <row r="135" spans="13:20" x14ac:dyDescent="0.2">
      <c r="M135" s="32"/>
      <c r="N135" s="32"/>
      <c r="O135" s="32"/>
      <c r="P135" s="32"/>
      <c r="T135" s="32" t="s">
        <v>296</v>
      </c>
    </row>
    <row r="136" spans="13:20" x14ac:dyDescent="0.2">
      <c r="M136" s="32"/>
      <c r="N136" s="32"/>
      <c r="O136" s="32"/>
      <c r="P136" s="32"/>
      <c r="T136" s="32" t="s">
        <v>297</v>
      </c>
    </row>
    <row r="137" spans="13:20" x14ac:dyDescent="0.2">
      <c r="M137" s="32"/>
      <c r="N137" s="32"/>
      <c r="O137" s="32"/>
      <c r="P137" s="32"/>
      <c r="T137" s="32" t="s">
        <v>298</v>
      </c>
    </row>
    <row r="138" spans="13:20" x14ac:dyDescent="0.2">
      <c r="M138" s="32"/>
      <c r="N138" s="32"/>
      <c r="O138" s="32"/>
      <c r="P138" s="32"/>
      <c r="T138" s="32" t="s">
        <v>299</v>
      </c>
    </row>
    <row r="139" spans="13:20" x14ac:dyDescent="0.2">
      <c r="M139" s="32"/>
      <c r="N139" s="32"/>
      <c r="O139" s="32"/>
      <c r="P139" s="32"/>
      <c r="T139" s="32" t="s">
        <v>300</v>
      </c>
    </row>
    <row r="140" spans="13:20" x14ac:dyDescent="0.2">
      <c r="M140" s="32"/>
      <c r="N140" s="32"/>
      <c r="O140" s="32"/>
      <c r="P140" s="32"/>
      <c r="T140" s="32" t="s">
        <v>301</v>
      </c>
    </row>
    <row r="141" spans="13:20" x14ac:dyDescent="0.2">
      <c r="M141" s="32"/>
      <c r="N141" s="32"/>
      <c r="O141" s="32"/>
      <c r="P141" s="32"/>
      <c r="T141" s="32" t="s">
        <v>302</v>
      </c>
    </row>
    <row r="142" spans="13:20" x14ac:dyDescent="0.2">
      <c r="M142" s="32"/>
      <c r="N142" s="32"/>
      <c r="O142" s="32"/>
      <c r="P142" s="32"/>
      <c r="T142" s="32" t="s">
        <v>303</v>
      </c>
    </row>
    <row r="143" spans="13:20" x14ac:dyDescent="0.2">
      <c r="M143" s="32"/>
      <c r="N143" s="32"/>
      <c r="O143" s="32"/>
      <c r="P143" s="32"/>
      <c r="T143" s="32" t="s">
        <v>304</v>
      </c>
    </row>
    <row r="144" spans="13:20" x14ac:dyDescent="0.2">
      <c r="M144" s="32"/>
      <c r="N144" s="32"/>
      <c r="O144" s="32"/>
      <c r="P144" s="32"/>
      <c r="T144" s="32" t="s">
        <v>305</v>
      </c>
    </row>
    <row r="145" spans="13:20" x14ac:dyDescent="0.2">
      <c r="M145" s="32"/>
      <c r="N145" s="32"/>
      <c r="O145" s="32"/>
      <c r="P145" s="32"/>
      <c r="T145" s="32" t="s">
        <v>306</v>
      </c>
    </row>
    <row r="146" spans="13:20" x14ac:dyDescent="0.2">
      <c r="M146" s="32"/>
      <c r="N146" s="32"/>
      <c r="O146" s="32"/>
      <c r="P146" s="32"/>
      <c r="T146" s="32" t="s">
        <v>307</v>
      </c>
    </row>
    <row r="147" spans="13:20" x14ac:dyDescent="0.2">
      <c r="M147" s="32"/>
      <c r="N147" s="32"/>
      <c r="O147" s="32"/>
      <c r="P147" s="32"/>
      <c r="T147" s="32" t="s">
        <v>308</v>
      </c>
    </row>
    <row r="148" spans="13:20" x14ac:dyDescent="0.2">
      <c r="M148" s="32"/>
      <c r="N148" s="32"/>
      <c r="O148" s="32"/>
      <c r="P148" s="32"/>
      <c r="T148" s="32" t="s">
        <v>309</v>
      </c>
    </row>
    <row r="149" spans="13:20" x14ac:dyDescent="0.2">
      <c r="M149" s="32"/>
      <c r="N149" s="32"/>
      <c r="O149" s="32"/>
      <c r="P149" s="32"/>
      <c r="T149" s="32" t="s">
        <v>310</v>
      </c>
    </row>
    <row r="150" spans="13:20" x14ac:dyDescent="0.2">
      <c r="M150" s="32"/>
      <c r="N150" s="32"/>
      <c r="O150" s="32"/>
      <c r="P150" s="32"/>
      <c r="T150" s="32" t="s">
        <v>311</v>
      </c>
    </row>
    <row r="151" spans="13:20" x14ac:dyDescent="0.2">
      <c r="M151" s="32"/>
      <c r="N151" s="32"/>
      <c r="O151" s="32"/>
      <c r="P151" s="32"/>
      <c r="T151" s="32" t="s">
        <v>312</v>
      </c>
    </row>
    <row r="152" spans="13:20" x14ac:dyDescent="0.2">
      <c r="M152" s="32"/>
      <c r="N152" s="32"/>
      <c r="O152" s="32"/>
      <c r="P152" s="32"/>
      <c r="T152" s="32" t="s">
        <v>313</v>
      </c>
    </row>
    <row r="153" spans="13:20" x14ac:dyDescent="0.2">
      <c r="M153" s="32"/>
      <c r="N153" s="32"/>
      <c r="O153" s="32"/>
      <c r="P153" s="32"/>
      <c r="T153" s="32" t="s">
        <v>314</v>
      </c>
    </row>
    <row r="154" spans="13:20" x14ac:dyDescent="0.2">
      <c r="M154" s="32"/>
      <c r="N154" s="32"/>
      <c r="O154" s="32"/>
      <c r="P154" s="32"/>
      <c r="T154" s="32" t="s">
        <v>315</v>
      </c>
    </row>
    <row r="155" spans="13:20" x14ac:dyDescent="0.2">
      <c r="M155" s="32"/>
      <c r="N155" s="32"/>
      <c r="O155" s="32"/>
      <c r="P155" s="32"/>
      <c r="T155" s="32" t="s">
        <v>316</v>
      </c>
    </row>
    <row r="156" spans="13:20" x14ac:dyDescent="0.2">
      <c r="M156" s="32"/>
      <c r="N156" s="32"/>
      <c r="O156" s="32"/>
      <c r="P156" s="32"/>
      <c r="T156" s="32" t="s">
        <v>317</v>
      </c>
    </row>
    <row r="157" spans="13:20" x14ac:dyDescent="0.2">
      <c r="M157" s="32"/>
      <c r="N157" s="32"/>
      <c r="O157" s="32"/>
      <c r="P157" s="32"/>
    </row>
    <row r="158" spans="13:20" x14ac:dyDescent="0.2">
      <c r="M158" s="32"/>
      <c r="N158" s="32"/>
      <c r="O158" s="32"/>
      <c r="P158" s="32"/>
    </row>
    <row r="159" spans="13:20" x14ac:dyDescent="0.2">
      <c r="M159" s="32"/>
      <c r="N159" s="32"/>
      <c r="O159" s="32"/>
      <c r="P159" s="32"/>
    </row>
    <row r="160" spans="13:20" x14ac:dyDescent="0.2">
      <c r="M160" s="32"/>
      <c r="N160" s="32"/>
      <c r="O160" s="32"/>
      <c r="P160" s="32"/>
    </row>
    <row r="161" spans="13:16" x14ac:dyDescent="0.2">
      <c r="M161" s="32"/>
      <c r="N161" s="32"/>
      <c r="O161" s="32"/>
      <c r="P161" s="32"/>
    </row>
    <row r="162" spans="13:16" x14ac:dyDescent="0.2">
      <c r="M162" s="32"/>
      <c r="N162" s="32"/>
      <c r="O162" s="32"/>
      <c r="P162" s="32"/>
    </row>
    <row r="163" spans="13:16" x14ac:dyDescent="0.2">
      <c r="M163" s="32"/>
      <c r="N163" s="32"/>
      <c r="O163" s="32"/>
      <c r="P163" s="32"/>
    </row>
    <row r="164" spans="13:16" x14ac:dyDescent="0.2">
      <c r="M164" s="32"/>
      <c r="N164" s="32"/>
      <c r="O164" s="32"/>
      <c r="P164" s="32"/>
    </row>
    <row r="165" spans="13:16" x14ac:dyDescent="0.2">
      <c r="M165" s="32"/>
      <c r="N165" s="32"/>
      <c r="O165" s="32"/>
      <c r="P165" s="32"/>
    </row>
    <row r="166" spans="13:16" x14ac:dyDescent="0.2">
      <c r="M166" s="32"/>
      <c r="N166" s="32"/>
      <c r="O166" s="32"/>
      <c r="P166" s="32"/>
    </row>
    <row r="167" spans="13:16" x14ac:dyDescent="0.2">
      <c r="M167" s="32"/>
      <c r="N167" s="32"/>
      <c r="O167" s="32"/>
      <c r="P167" s="32"/>
    </row>
    <row r="168" spans="13:16" x14ac:dyDescent="0.2">
      <c r="M168" s="32"/>
      <c r="N168" s="32"/>
      <c r="O168" s="32"/>
      <c r="P168" s="32"/>
    </row>
    <row r="169" spans="13:16" x14ac:dyDescent="0.2">
      <c r="M169" s="32"/>
      <c r="N169" s="32"/>
      <c r="O169" s="32"/>
      <c r="P169" s="32"/>
    </row>
    <row r="170" spans="13:16" x14ac:dyDescent="0.2">
      <c r="M170" s="32"/>
      <c r="N170" s="32"/>
      <c r="O170" s="32"/>
      <c r="P170" s="32"/>
    </row>
    <row r="171" spans="13:16" x14ac:dyDescent="0.2">
      <c r="M171" s="32"/>
      <c r="N171" s="32"/>
      <c r="O171" s="32"/>
      <c r="P171" s="32"/>
    </row>
    <row r="172" spans="13:16" x14ac:dyDescent="0.2">
      <c r="M172" s="32"/>
      <c r="N172" s="32"/>
      <c r="O172" s="32"/>
      <c r="P172" s="32"/>
    </row>
    <row r="173" spans="13:16" x14ac:dyDescent="0.2">
      <c r="M173" s="32"/>
      <c r="N173" s="32"/>
      <c r="O173" s="32"/>
      <c r="P173" s="32"/>
    </row>
    <row r="174" spans="13:16" x14ac:dyDescent="0.2">
      <c r="M174" s="32"/>
      <c r="N174" s="32"/>
      <c r="O174" s="32"/>
      <c r="P174" s="32"/>
    </row>
    <row r="175" spans="13:16" x14ac:dyDescent="0.2">
      <c r="M175" s="32"/>
      <c r="N175" s="32"/>
      <c r="O175" s="32"/>
      <c r="P175" s="32"/>
    </row>
    <row r="176" spans="13:16" x14ac:dyDescent="0.2">
      <c r="M176" s="32"/>
      <c r="N176" s="32"/>
      <c r="O176" s="32"/>
      <c r="P176" s="32"/>
    </row>
    <row r="177" spans="13:16" x14ac:dyDescent="0.2">
      <c r="M177" s="32"/>
      <c r="N177" s="32"/>
      <c r="O177" s="32"/>
      <c r="P177" s="32"/>
    </row>
    <row r="178" spans="13:16" x14ac:dyDescent="0.2">
      <c r="M178" s="32"/>
      <c r="N178" s="32"/>
      <c r="O178" s="32"/>
      <c r="P178" s="32"/>
    </row>
    <row r="179" spans="13:16" x14ac:dyDescent="0.2">
      <c r="M179" s="32"/>
      <c r="N179" s="32"/>
      <c r="O179" s="32"/>
      <c r="P179" s="32"/>
    </row>
    <row r="180" spans="13:16" x14ac:dyDescent="0.2">
      <c r="M180" s="32"/>
      <c r="N180" s="32"/>
      <c r="O180" s="32"/>
      <c r="P180" s="32"/>
    </row>
    <row r="181" spans="13:16" x14ac:dyDescent="0.2">
      <c r="M181" s="32"/>
      <c r="N181" s="32"/>
      <c r="O181" s="32"/>
      <c r="P181" s="32"/>
    </row>
    <row r="182" spans="13:16" x14ac:dyDescent="0.2">
      <c r="M182" s="32"/>
      <c r="N182" s="32"/>
      <c r="O182" s="32"/>
      <c r="P182" s="32"/>
    </row>
    <row r="183" spans="13:16" x14ac:dyDescent="0.2">
      <c r="M183" s="32"/>
      <c r="N183" s="32"/>
      <c r="O183" s="32"/>
      <c r="P183" s="32"/>
    </row>
    <row r="184" spans="13:16" x14ac:dyDescent="0.2">
      <c r="M184" s="32"/>
      <c r="N184" s="32"/>
      <c r="O184" s="32"/>
      <c r="P184" s="32"/>
    </row>
    <row r="185" spans="13:16" x14ac:dyDescent="0.2">
      <c r="M185" s="32"/>
      <c r="N185" s="32"/>
      <c r="O185" s="32"/>
      <c r="P185" s="32"/>
    </row>
    <row r="186" spans="13:16" x14ac:dyDescent="0.2">
      <c r="M186" s="32"/>
      <c r="N186" s="32"/>
      <c r="O186" s="32"/>
      <c r="P186" s="32"/>
    </row>
    <row r="187" spans="13:16" x14ac:dyDescent="0.2">
      <c r="M187" s="32"/>
      <c r="N187" s="32"/>
      <c r="O187" s="32"/>
      <c r="P187" s="32"/>
    </row>
    <row r="188" spans="13:16" x14ac:dyDescent="0.2">
      <c r="M188" s="32"/>
      <c r="N188" s="32"/>
      <c r="O188" s="32"/>
      <c r="P188" s="32"/>
    </row>
    <row r="189" spans="13:16" x14ac:dyDescent="0.2">
      <c r="M189" s="32"/>
      <c r="N189" s="32"/>
      <c r="O189" s="32"/>
      <c r="P189" s="32"/>
    </row>
    <row r="190" spans="13:16" x14ac:dyDescent="0.2">
      <c r="M190" s="32"/>
      <c r="N190" s="32"/>
      <c r="O190" s="32"/>
      <c r="P190" s="32"/>
    </row>
    <row r="191" spans="13:16" x14ac:dyDescent="0.2">
      <c r="M191" s="32"/>
      <c r="N191" s="32"/>
      <c r="O191" s="32"/>
      <c r="P191" s="32"/>
    </row>
    <row r="192" spans="13:16" x14ac:dyDescent="0.2">
      <c r="M192" s="32"/>
      <c r="N192" s="32"/>
      <c r="O192" s="32"/>
      <c r="P192" s="32"/>
    </row>
    <row r="193" spans="13:16" x14ac:dyDescent="0.2">
      <c r="M193" s="32"/>
      <c r="N193" s="32"/>
      <c r="O193" s="32"/>
      <c r="P193" s="32"/>
    </row>
    <row r="194" spans="13:16" x14ac:dyDescent="0.2">
      <c r="M194" s="32"/>
      <c r="N194" s="32"/>
      <c r="O194" s="32"/>
      <c r="P194" s="32"/>
    </row>
    <row r="195" spans="13:16" x14ac:dyDescent="0.2">
      <c r="M195" s="32"/>
      <c r="N195" s="32"/>
      <c r="O195" s="32"/>
      <c r="P195" s="32"/>
    </row>
    <row r="196" spans="13:16" x14ac:dyDescent="0.2">
      <c r="M196" s="32"/>
      <c r="N196" s="32"/>
      <c r="O196" s="32"/>
      <c r="P196" s="32"/>
    </row>
    <row r="197" spans="13:16" x14ac:dyDescent="0.2">
      <c r="M197" s="32"/>
      <c r="N197" s="32"/>
      <c r="O197" s="32"/>
      <c r="P197" s="32"/>
    </row>
    <row r="198" spans="13:16" x14ac:dyDescent="0.2">
      <c r="M198" s="32"/>
      <c r="N198" s="32"/>
      <c r="O198" s="32"/>
      <c r="P198" s="32"/>
    </row>
    <row r="199" spans="13:16" x14ac:dyDescent="0.2">
      <c r="M199" s="32"/>
      <c r="N199" s="32"/>
      <c r="O199" s="32"/>
      <c r="P199" s="32"/>
    </row>
    <row r="200" spans="13:16" x14ac:dyDescent="0.2">
      <c r="M200" s="32"/>
      <c r="N200" s="32"/>
      <c r="O200" s="32"/>
      <c r="P200" s="32"/>
    </row>
    <row r="201" spans="13:16" x14ac:dyDescent="0.2">
      <c r="M201" s="32"/>
      <c r="N201" s="32"/>
      <c r="O201" s="32"/>
      <c r="P201" s="32"/>
    </row>
    <row r="202" spans="13:16" x14ac:dyDescent="0.2">
      <c r="M202" s="32"/>
      <c r="N202" s="32"/>
      <c r="O202" s="32"/>
      <c r="P202" s="32"/>
    </row>
    <row r="203" spans="13:16" x14ac:dyDescent="0.2">
      <c r="M203" s="32"/>
      <c r="N203" s="32"/>
      <c r="O203" s="32"/>
      <c r="P203" s="32"/>
    </row>
    <row r="204" spans="13:16" x14ac:dyDescent="0.2">
      <c r="M204" s="32"/>
      <c r="N204" s="32"/>
      <c r="O204" s="32"/>
      <c r="P204" s="32"/>
    </row>
    <row r="205" spans="13:16" x14ac:dyDescent="0.2">
      <c r="M205" s="32"/>
      <c r="N205" s="32"/>
      <c r="O205" s="32"/>
      <c r="P205" s="32"/>
    </row>
    <row r="206" spans="13:16" x14ac:dyDescent="0.2">
      <c r="M206" s="32"/>
      <c r="N206" s="32"/>
      <c r="O206" s="32"/>
      <c r="P206" s="32"/>
    </row>
    <row r="207" spans="13:16" x14ac:dyDescent="0.2">
      <c r="M207" s="32"/>
      <c r="N207" s="32"/>
      <c r="O207" s="32"/>
      <c r="P207" s="32"/>
    </row>
    <row r="208" spans="13:16" x14ac:dyDescent="0.2">
      <c r="M208" s="32"/>
      <c r="N208" s="32"/>
      <c r="O208" s="32"/>
      <c r="P208" s="32"/>
    </row>
    <row r="209" spans="13:16" x14ac:dyDescent="0.2">
      <c r="M209" s="32"/>
      <c r="N209" s="32"/>
      <c r="O209" s="32"/>
      <c r="P209" s="32"/>
    </row>
    <row r="210" spans="13:16" x14ac:dyDescent="0.2">
      <c r="M210" s="32"/>
      <c r="N210" s="32"/>
      <c r="O210" s="32"/>
      <c r="P210" s="32"/>
    </row>
    <row r="211" spans="13:16" x14ac:dyDescent="0.2">
      <c r="M211" s="32"/>
      <c r="N211" s="32"/>
      <c r="O211" s="32"/>
      <c r="P211" s="32"/>
    </row>
    <row r="212" spans="13:16" x14ac:dyDescent="0.2">
      <c r="M212" s="32"/>
      <c r="N212" s="32"/>
      <c r="O212" s="32"/>
      <c r="P212" s="32"/>
    </row>
    <row r="213" spans="13:16" x14ac:dyDescent="0.2">
      <c r="M213" s="32"/>
      <c r="N213" s="32"/>
      <c r="O213" s="32"/>
      <c r="P213" s="32"/>
    </row>
    <row r="214" spans="13:16" x14ac:dyDescent="0.2">
      <c r="M214" s="32"/>
      <c r="N214" s="32"/>
      <c r="O214" s="32"/>
      <c r="P214" s="32"/>
    </row>
    <row r="215" spans="13:16" x14ac:dyDescent="0.2">
      <c r="M215" s="32"/>
      <c r="N215" s="32"/>
      <c r="O215" s="32"/>
      <c r="P215" s="32"/>
    </row>
    <row r="216" spans="13:16" x14ac:dyDescent="0.2">
      <c r="M216" s="32"/>
      <c r="N216" s="32"/>
      <c r="O216" s="32"/>
      <c r="P216" s="32"/>
    </row>
    <row r="217" spans="13:16" x14ac:dyDescent="0.2">
      <c r="M217" s="32"/>
      <c r="N217" s="32"/>
      <c r="O217" s="32"/>
      <c r="P217" s="32"/>
    </row>
    <row r="218" spans="13:16" x14ac:dyDescent="0.2">
      <c r="M218" s="32"/>
      <c r="N218" s="32"/>
      <c r="O218" s="32"/>
      <c r="P218" s="32"/>
    </row>
    <row r="219" spans="13:16" x14ac:dyDescent="0.2">
      <c r="M219" s="32"/>
      <c r="N219" s="32"/>
      <c r="O219" s="32"/>
      <c r="P219" s="32"/>
    </row>
    <row r="220" spans="13:16" x14ac:dyDescent="0.2">
      <c r="M220" s="32"/>
      <c r="N220" s="32"/>
      <c r="O220" s="32"/>
      <c r="P220" s="32"/>
    </row>
    <row r="221" spans="13:16" x14ac:dyDescent="0.2">
      <c r="M221" s="32"/>
      <c r="N221" s="32"/>
      <c r="O221" s="32"/>
      <c r="P221" s="32"/>
    </row>
    <row r="222" spans="13:16" x14ac:dyDescent="0.2">
      <c r="M222" s="32"/>
      <c r="N222" s="32"/>
      <c r="O222" s="32"/>
      <c r="P222" s="32"/>
    </row>
    <row r="223" spans="13:16" x14ac:dyDescent="0.2">
      <c r="M223" s="32"/>
      <c r="N223" s="32"/>
      <c r="O223" s="32"/>
      <c r="P223" s="32"/>
    </row>
    <row r="224" spans="13:16" x14ac:dyDescent="0.2">
      <c r="M224" s="32"/>
      <c r="N224" s="32"/>
      <c r="O224" s="32"/>
      <c r="P224" s="32"/>
    </row>
    <row r="225" spans="13:16" x14ac:dyDescent="0.2">
      <c r="M225" s="32"/>
      <c r="N225" s="32"/>
      <c r="O225" s="32"/>
      <c r="P225" s="32"/>
    </row>
    <row r="226" spans="13:16" x14ac:dyDescent="0.2">
      <c r="M226" s="32"/>
      <c r="N226" s="32"/>
      <c r="O226" s="32"/>
      <c r="P226" s="32"/>
    </row>
    <row r="227" spans="13:16" x14ac:dyDescent="0.2">
      <c r="M227" s="32"/>
      <c r="N227" s="32"/>
      <c r="O227" s="32"/>
      <c r="P227" s="32"/>
    </row>
    <row r="228" spans="13:16" x14ac:dyDescent="0.2">
      <c r="M228" s="32"/>
      <c r="N228" s="32"/>
      <c r="O228" s="32"/>
      <c r="P228" s="32"/>
    </row>
    <row r="229" spans="13:16" x14ac:dyDescent="0.2">
      <c r="M229" s="32"/>
      <c r="N229" s="32"/>
      <c r="O229" s="32"/>
      <c r="P229" s="32"/>
    </row>
    <row r="230" spans="13:16" x14ac:dyDescent="0.2">
      <c r="M230" s="32"/>
      <c r="N230" s="32"/>
      <c r="O230" s="32"/>
      <c r="P230" s="32"/>
    </row>
    <row r="231" spans="13:16" x14ac:dyDescent="0.2">
      <c r="M231" s="32"/>
      <c r="N231" s="32"/>
      <c r="O231" s="32"/>
      <c r="P231" s="32"/>
    </row>
    <row r="232" spans="13:16" x14ac:dyDescent="0.2">
      <c r="M232" s="32"/>
      <c r="N232" s="32"/>
      <c r="O232" s="32"/>
      <c r="P232" s="32"/>
    </row>
    <row r="233" spans="13:16" x14ac:dyDescent="0.2">
      <c r="M233" s="32"/>
      <c r="N233" s="32"/>
      <c r="O233" s="32"/>
      <c r="P233" s="32"/>
    </row>
    <row r="234" spans="13:16" x14ac:dyDescent="0.2">
      <c r="M234" s="32"/>
      <c r="N234" s="32"/>
      <c r="O234" s="32"/>
      <c r="P234" s="32"/>
    </row>
    <row r="235" spans="13:16" x14ac:dyDescent="0.2">
      <c r="M235" s="32"/>
      <c r="N235" s="32"/>
      <c r="O235" s="32"/>
      <c r="P235" s="32"/>
    </row>
    <row r="236" spans="13:16" x14ac:dyDescent="0.2">
      <c r="M236" s="32"/>
      <c r="N236" s="32"/>
      <c r="O236" s="32"/>
      <c r="P236" s="32"/>
    </row>
    <row r="237" spans="13:16" x14ac:dyDescent="0.2">
      <c r="M237" s="32"/>
      <c r="N237" s="32"/>
      <c r="O237" s="32"/>
      <c r="P237" s="32"/>
    </row>
    <row r="238" spans="13:16" x14ac:dyDescent="0.2">
      <c r="M238" s="32"/>
      <c r="N238" s="32"/>
      <c r="O238" s="32"/>
      <c r="P238" s="32"/>
    </row>
    <row r="239" spans="13:16" x14ac:dyDescent="0.2">
      <c r="M239" s="32"/>
      <c r="N239" s="32"/>
      <c r="O239" s="32"/>
      <c r="P239" s="32"/>
    </row>
    <row r="240" spans="13:16" x14ac:dyDescent="0.2">
      <c r="M240" s="32"/>
      <c r="N240" s="32"/>
      <c r="O240" s="32"/>
      <c r="P240" s="32"/>
    </row>
    <row r="241" spans="13:16" x14ac:dyDescent="0.2">
      <c r="M241" s="32"/>
      <c r="N241" s="32"/>
      <c r="O241" s="32"/>
      <c r="P241" s="32"/>
    </row>
    <row r="242" spans="13:16" x14ac:dyDescent="0.2">
      <c r="M242" s="32"/>
      <c r="N242" s="32"/>
      <c r="O242" s="32"/>
      <c r="P242" s="32"/>
    </row>
    <row r="243" spans="13:16" x14ac:dyDescent="0.2">
      <c r="M243" s="32"/>
      <c r="N243" s="32"/>
      <c r="O243" s="32"/>
      <c r="P243" s="32"/>
    </row>
    <row r="244" spans="13:16" x14ac:dyDescent="0.2">
      <c r="M244" s="32"/>
      <c r="N244" s="32"/>
      <c r="O244" s="32"/>
      <c r="P244" s="32"/>
    </row>
    <row r="245" spans="13:16" x14ac:dyDescent="0.2">
      <c r="M245" s="32"/>
      <c r="N245" s="32"/>
      <c r="O245" s="32"/>
      <c r="P245" s="32"/>
    </row>
    <row r="246" spans="13:16" x14ac:dyDescent="0.2">
      <c r="M246" s="32"/>
      <c r="N246" s="32"/>
      <c r="O246" s="32"/>
      <c r="P246" s="32"/>
    </row>
    <row r="247" spans="13:16" x14ac:dyDescent="0.2">
      <c r="M247" s="32"/>
      <c r="N247" s="32"/>
      <c r="O247" s="32"/>
      <c r="P247" s="32"/>
    </row>
    <row r="248" spans="13:16" x14ac:dyDescent="0.2">
      <c r="M248" s="32"/>
      <c r="N248" s="32"/>
      <c r="O248" s="32"/>
      <c r="P248" s="32"/>
    </row>
    <row r="249" spans="13:16" x14ac:dyDescent="0.2">
      <c r="M249" s="32"/>
      <c r="N249" s="32"/>
      <c r="O249" s="32"/>
      <c r="P249" s="32"/>
    </row>
    <row r="250" spans="13:16" x14ac:dyDescent="0.2">
      <c r="M250" s="32"/>
      <c r="N250" s="32"/>
      <c r="O250" s="32"/>
      <c r="P250" s="32"/>
    </row>
    <row r="251" spans="13:16" x14ac:dyDescent="0.2">
      <c r="M251" s="32"/>
      <c r="N251" s="32"/>
      <c r="O251" s="32"/>
      <c r="P251" s="32"/>
    </row>
    <row r="252" spans="13:16" x14ac:dyDescent="0.2">
      <c r="M252" s="32"/>
      <c r="N252" s="32"/>
      <c r="O252" s="32"/>
      <c r="P252" s="32"/>
    </row>
    <row r="253" spans="13:16" x14ac:dyDescent="0.2">
      <c r="M253" s="32"/>
      <c r="N253" s="32"/>
      <c r="O253" s="32"/>
      <c r="P253" s="32"/>
    </row>
    <row r="254" spans="13:16" x14ac:dyDescent="0.2">
      <c r="M254" s="32"/>
      <c r="N254" s="32"/>
      <c r="O254" s="32"/>
      <c r="P254" s="32"/>
    </row>
    <row r="255" spans="13:16" x14ac:dyDescent="0.2">
      <c r="M255" s="32"/>
      <c r="N255" s="32"/>
      <c r="O255" s="32"/>
      <c r="P255" s="32"/>
    </row>
    <row r="256" spans="13:16" x14ac:dyDescent="0.2">
      <c r="M256" s="32"/>
      <c r="N256" s="32"/>
      <c r="O256" s="32"/>
      <c r="P256" s="32"/>
    </row>
    <row r="257" spans="13:16" x14ac:dyDescent="0.2">
      <c r="M257" s="32"/>
      <c r="N257" s="32"/>
      <c r="O257" s="32"/>
      <c r="P257" s="32"/>
    </row>
    <row r="258" spans="13:16" x14ac:dyDescent="0.2">
      <c r="M258" s="32"/>
      <c r="N258" s="32"/>
      <c r="O258" s="32"/>
      <c r="P258" s="32"/>
    </row>
    <row r="259" spans="13:16" x14ac:dyDescent="0.2">
      <c r="M259" s="32"/>
      <c r="N259" s="32"/>
      <c r="O259" s="32"/>
      <c r="P259" s="32"/>
    </row>
    <row r="260" spans="13:16" x14ac:dyDescent="0.2">
      <c r="M260" s="32"/>
      <c r="N260" s="32"/>
      <c r="O260" s="32"/>
      <c r="P260" s="32"/>
    </row>
    <row r="261" spans="13:16" x14ac:dyDescent="0.2">
      <c r="M261" s="32"/>
      <c r="N261" s="32"/>
      <c r="O261" s="32"/>
      <c r="P261" s="32"/>
    </row>
    <row r="262" spans="13:16" x14ac:dyDescent="0.2">
      <c r="M262" s="32"/>
      <c r="N262" s="32"/>
      <c r="O262" s="32"/>
      <c r="P262" s="32"/>
    </row>
    <row r="263" spans="13:16" x14ac:dyDescent="0.2">
      <c r="M263" s="32"/>
      <c r="N263" s="32"/>
      <c r="O263" s="32"/>
      <c r="P263" s="32"/>
    </row>
    <row r="264" spans="13:16" x14ac:dyDescent="0.2">
      <c r="M264" s="32"/>
      <c r="N264" s="32"/>
      <c r="O264" s="32"/>
      <c r="P264" s="32"/>
    </row>
    <row r="265" spans="13:16" x14ac:dyDescent="0.2">
      <c r="M265" s="32"/>
      <c r="N265" s="32"/>
      <c r="O265" s="32"/>
      <c r="P265" s="32"/>
    </row>
    <row r="266" spans="13:16" x14ac:dyDescent="0.2">
      <c r="M266" s="32"/>
      <c r="N266" s="32"/>
      <c r="O266" s="32"/>
      <c r="P266" s="32"/>
    </row>
    <row r="267" spans="13:16" x14ac:dyDescent="0.2">
      <c r="M267" s="32"/>
      <c r="N267" s="32"/>
      <c r="O267" s="32"/>
      <c r="P267" s="32"/>
    </row>
    <row r="268" spans="13:16" x14ac:dyDescent="0.2">
      <c r="M268" s="32"/>
      <c r="N268" s="32"/>
      <c r="O268" s="32"/>
      <c r="P268" s="32"/>
    </row>
    <row r="269" spans="13:16" x14ac:dyDescent="0.2">
      <c r="M269" s="32"/>
      <c r="N269" s="32"/>
      <c r="O269" s="32"/>
      <c r="P269" s="32"/>
    </row>
    <row r="270" spans="13:16" x14ac:dyDescent="0.2">
      <c r="M270" s="32"/>
      <c r="N270" s="32"/>
      <c r="O270" s="32"/>
      <c r="P270" s="32"/>
    </row>
    <row r="271" spans="13:16" x14ac:dyDescent="0.2">
      <c r="M271" s="32"/>
      <c r="N271" s="32"/>
      <c r="O271" s="32"/>
      <c r="P271" s="32"/>
    </row>
    <row r="272" spans="13:16" x14ac:dyDescent="0.2">
      <c r="M272" s="32"/>
      <c r="N272" s="32"/>
      <c r="O272" s="32"/>
      <c r="P272" s="32"/>
    </row>
    <row r="273" spans="13:16" x14ac:dyDescent="0.2">
      <c r="M273" s="32"/>
      <c r="N273" s="32"/>
      <c r="O273" s="32"/>
      <c r="P273" s="32"/>
    </row>
    <row r="274" spans="13:16" x14ac:dyDescent="0.2">
      <c r="M274" s="32"/>
      <c r="N274" s="32"/>
      <c r="O274" s="32"/>
      <c r="P274" s="32"/>
    </row>
    <row r="275" spans="13:16" x14ac:dyDescent="0.2">
      <c r="M275" s="32"/>
      <c r="N275" s="32"/>
      <c r="O275" s="32"/>
      <c r="P275" s="32"/>
    </row>
    <row r="276" spans="13:16" x14ac:dyDescent="0.2">
      <c r="M276" s="32"/>
      <c r="N276" s="32"/>
      <c r="O276" s="32"/>
      <c r="P276" s="32"/>
    </row>
    <row r="277" spans="13:16" x14ac:dyDescent="0.2">
      <c r="M277" s="32"/>
      <c r="N277" s="32"/>
      <c r="O277" s="32"/>
      <c r="P277" s="32"/>
    </row>
    <row r="278" spans="13:16" x14ac:dyDescent="0.2">
      <c r="M278" s="32"/>
      <c r="N278" s="32"/>
      <c r="O278" s="32"/>
      <c r="P278" s="32"/>
    </row>
    <row r="279" spans="13:16" x14ac:dyDescent="0.2">
      <c r="M279" s="32"/>
      <c r="N279" s="32"/>
      <c r="O279" s="32"/>
      <c r="P279" s="32"/>
    </row>
    <row r="280" spans="13:16" x14ac:dyDescent="0.2">
      <c r="M280" s="32"/>
      <c r="N280" s="32"/>
      <c r="O280" s="32"/>
      <c r="P280" s="32"/>
    </row>
    <row r="281" spans="13:16" x14ac:dyDescent="0.2">
      <c r="M281" s="32"/>
      <c r="N281" s="32"/>
      <c r="O281" s="32"/>
      <c r="P281" s="32"/>
    </row>
    <row r="282" spans="13:16" x14ac:dyDescent="0.2">
      <c r="M282" s="32"/>
      <c r="N282" s="32"/>
      <c r="O282" s="32"/>
      <c r="P282" s="32"/>
    </row>
    <row r="283" spans="13:16" x14ac:dyDescent="0.2">
      <c r="M283" s="32"/>
      <c r="N283" s="32"/>
      <c r="O283" s="32"/>
      <c r="P283" s="32"/>
    </row>
    <row r="284" spans="13:16" x14ac:dyDescent="0.2">
      <c r="M284" s="32"/>
      <c r="N284" s="32"/>
      <c r="O284" s="32"/>
      <c r="P284" s="32"/>
    </row>
    <row r="285" spans="13:16" x14ac:dyDescent="0.2">
      <c r="M285" s="32"/>
      <c r="N285" s="32"/>
      <c r="O285" s="32"/>
      <c r="P285" s="32"/>
    </row>
    <row r="286" spans="13:16" x14ac:dyDescent="0.2">
      <c r="M286" s="32"/>
      <c r="N286" s="32"/>
      <c r="O286" s="32"/>
      <c r="P286" s="32"/>
    </row>
    <row r="287" spans="13:16" x14ac:dyDescent="0.2">
      <c r="M287" s="32"/>
      <c r="N287" s="32"/>
      <c r="O287" s="32"/>
      <c r="P287" s="32"/>
    </row>
    <row r="288" spans="13:16" x14ac:dyDescent="0.2">
      <c r="M288" s="32"/>
      <c r="N288" s="32"/>
      <c r="O288" s="32"/>
      <c r="P288" s="32"/>
    </row>
    <row r="289" spans="13:16" x14ac:dyDescent="0.2">
      <c r="M289" s="32"/>
      <c r="N289" s="32"/>
      <c r="O289" s="32"/>
      <c r="P289" s="32"/>
    </row>
    <row r="290" spans="13:16" x14ac:dyDescent="0.2">
      <c r="M290" s="32"/>
      <c r="N290" s="32"/>
      <c r="O290" s="32"/>
      <c r="P290" s="32"/>
    </row>
    <row r="291" spans="13:16" x14ac:dyDescent="0.2">
      <c r="M291" s="32"/>
      <c r="N291" s="32"/>
      <c r="O291" s="32"/>
      <c r="P291" s="32"/>
    </row>
    <row r="292" spans="13:16" x14ac:dyDescent="0.2">
      <c r="M292" s="32"/>
      <c r="N292" s="32"/>
      <c r="O292" s="32"/>
      <c r="P292" s="32"/>
    </row>
    <row r="293" spans="13:16" x14ac:dyDescent="0.2">
      <c r="M293" s="32"/>
      <c r="N293" s="32"/>
      <c r="O293" s="32"/>
      <c r="P293" s="32"/>
    </row>
    <row r="294" spans="13:16" x14ac:dyDescent="0.2">
      <c r="M294" s="32"/>
      <c r="N294" s="32"/>
      <c r="O294" s="32"/>
      <c r="P294" s="32"/>
    </row>
    <row r="295" spans="13:16" x14ac:dyDescent="0.2">
      <c r="M295" s="32"/>
      <c r="N295" s="32"/>
      <c r="O295" s="32"/>
      <c r="P295" s="32"/>
    </row>
    <row r="296" spans="13:16" x14ac:dyDescent="0.2">
      <c r="M296" s="32"/>
      <c r="N296" s="32"/>
      <c r="O296" s="32"/>
      <c r="P296" s="32"/>
    </row>
    <row r="297" spans="13:16" x14ac:dyDescent="0.2">
      <c r="M297" s="32"/>
      <c r="N297" s="32"/>
      <c r="O297" s="32"/>
      <c r="P297" s="32"/>
    </row>
    <row r="298" spans="13:16" x14ac:dyDescent="0.2">
      <c r="M298" s="32"/>
      <c r="N298" s="32"/>
      <c r="O298" s="32"/>
      <c r="P298" s="32"/>
    </row>
    <row r="299" spans="13:16" x14ac:dyDescent="0.2">
      <c r="M299" s="32"/>
      <c r="N299" s="32"/>
      <c r="O299" s="32"/>
      <c r="P299" s="32"/>
    </row>
    <row r="300" spans="13:16" x14ac:dyDescent="0.2">
      <c r="M300" s="32"/>
      <c r="N300" s="32"/>
      <c r="O300" s="32"/>
      <c r="P300" s="32"/>
    </row>
    <row r="301" spans="13:16" x14ac:dyDescent="0.2">
      <c r="M301" s="32"/>
      <c r="N301" s="32"/>
      <c r="O301" s="32"/>
      <c r="P301" s="32"/>
    </row>
    <row r="302" spans="13:16" x14ac:dyDescent="0.2">
      <c r="M302" s="32"/>
      <c r="N302" s="32"/>
      <c r="O302" s="32"/>
      <c r="P302" s="32"/>
    </row>
    <row r="303" spans="13:16" x14ac:dyDescent="0.2">
      <c r="M303" s="32"/>
      <c r="N303" s="32"/>
      <c r="O303" s="32"/>
      <c r="P303" s="32"/>
    </row>
    <row r="304" spans="13:16" x14ac:dyDescent="0.2">
      <c r="M304" s="32"/>
      <c r="N304" s="32"/>
      <c r="O304" s="32"/>
      <c r="P304" s="32"/>
    </row>
    <row r="305" spans="13:16" x14ac:dyDescent="0.2">
      <c r="M305" s="32"/>
      <c r="N305" s="32"/>
      <c r="O305" s="32"/>
      <c r="P305" s="32"/>
    </row>
    <row r="306" spans="13:16" x14ac:dyDescent="0.2">
      <c r="M306" s="32"/>
      <c r="N306" s="32"/>
      <c r="O306" s="32"/>
      <c r="P306" s="32"/>
    </row>
    <row r="307" spans="13:16" x14ac:dyDescent="0.2">
      <c r="M307" s="32"/>
      <c r="N307" s="32"/>
      <c r="O307" s="32"/>
      <c r="P307" s="32"/>
    </row>
    <row r="308" spans="13:16" x14ac:dyDescent="0.2">
      <c r="M308" s="32"/>
      <c r="N308" s="32"/>
      <c r="O308" s="32"/>
      <c r="P308" s="32"/>
    </row>
    <row r="309" spans="13:16" x14ac:dyDescent="0.2">
      <c r="M309" s="32"/>
      <c r="N309" s="32"/>
      <c r="O309" s="32"/>
      <c r="P309" s="32"/>
    </row>
    <row r="310" spans="13:16" x14ac:dyDescent="0.2">
      <c r="M310" s="32"/>
      <c r="N310" s="32"/>
      <c r="O310" s="32"/>
      <c r="P310" s="32"/>
    </row>
    <row r="311" spans="13:16" x14ac:dyDescent="0.2">
      <c r="M311" s="32"/>
      <c r="N311" s="32"/>
      <c r="O311" s="32"/>
      <c r="P311" s="32"/>
    </row>
    <row r="312" spans="13:16" x14ac:dyDescent="0.2">
      <c r="M312" s="32"/>
      <c r="N312" s="32"/>
      <c r="O312" s="32"/>
      <c r="P312" s="32"/>
    </row>
    <row r="313" spans="13:16" x14ac:dyDescent="0.2">
      <c r="M313" s="32"/>
      <c r="N313" s="32"/>
      <c r="O313" s="32"/>
      <c r="P313" s="32"/>
    </row>
    <row r="314" spans="13:16" x14ac:dyDescent="0.2">
      <c r="M314" s="32"/>
      <c r="N314" s="32"/>
      <c r="O314" s="32"/>
      <c r="P314" s="32"/>
    </row>
    <row r="315" spans="13:16" x14ac:dyDescent="0.2">
      <c r="M315" s="32"/>
      <c r="N315" s="32"/>
      <c r="O315" s="32"/>
      <c r="P315" s="32"/>
    </row>
    <row r="316" spans="13:16" x14ac:dyDescent="0.2">
      <c r="M316" s="32"/>
      <c r="N316" s="32"/>
      <c r="O316" s="32"/>
      <c r="P316" s="32"/>
    </row>
    <row r="317" spans="13:16" x14ac:dyDescent="0.2">
      <c r="M317" s="32"/>
      <c r="N317" s="32"/>
      <c r="O317" s="32"/>
      <c r="P317" s="32"/>
    </row>
    <row r="318" spans="13:16" x14ac:dyDescent="0.2">
      <c r="M318" s="32"/>
      <c r="N318" s="32"/>
      <c r="O318" s="32"/>
      <c r="P318" s="32"/>
    </row>
    <row r="319" spans="13:16" x14ac:dyDescent="0.2">
      <c r="M319" s="32"/>
      <c r="N319" s="32"/>
      <c r="O319" s="32"/>
      <c r="P319" s="32"/>
    </row>
    <row r="320" spans="13:16" x14ac:dyDescent="0.2">
      <c r="M320" s="32"/>
      <c r="N320" s="32"/>
      <c r="O320" s="32"/>
      <c r="P320" s="32"/>
    </row>
    <row r="321" spans="13:16" x14ac:dyDescent="0.2">
      <c r="M321" s="32"/>
      <c r="N321" s="32"/>
      <c r="O321" s="32"/>
      <c r="P321" s="32"/>
    </row>
    <row r="322" spans="13:16" x14ac:dyDescent="0.2">
      <c r="M322" s="32"/>
      <c r="N322" s="32"/>
      <c r="O322" s="32"/>
      <c r="P322" s="32"/>
    </row>
    <row r="323" spans="13:16" x14ac:dyDescent="0.2">
      <c r="M323" s="32"/>
      <c r="N323" s="32"/>
      <c r="O323" s="32"/>
      <c r="P323" s="32"/>
    </row>
    <row r="324" spans="13:16" x14ac:dyDescent="0.2">
      <c r="M324" s="32"/>
      <c r="N324" s="32"/>
      <c r="O324" s="32"/>
      <c r="P324" s="32"/>
    </row>
    <row r="325" spans="13:16" x14ac:dyDescent="0.2">
      <c r="M325" s="32"/>
      <c r="N325" s="32"/>
      <c r="O325" s="32"/>
      <c r="P325" s="32"/>
    </row>
    <row r="326" spans="13:16" x14ac:dyDescent="0.2">
      <c r="M326" s="32"/>
      <c r="N326" s="32"/>
      <c r="O326" s="32"/>
      <c r="P326" s="32"/>
    </row>
    <row r="327" spans="13:16" x14ac:dyDescent="0.2">
      <c r="M327" s="32"/>
      <c r="N327" s="32"/>
      <c r="O327" s="32"/>
      <c r="P327" s="32"/>
    </row>
    <row r="328" spans="13:16" x14ac:dyDescent="0.2">
      <c r="M328" s="32"/>
      <c r="N328" s="32"/>
      <c r="O328" s="32"/>
      <c r="P328" s="32"/>
    </row>
    <row r="329" spans="13:16" x14ac:dyDescent="0.2">
      <c r="M329" s="32"/>
      <c r="N329" s="32"/>
      <c r="O329" s="32"/>
      <c r="P329" s="32"/>
    </row>
    <row r="330" spans="13:16" x14ac:dyDescent="0.2">
      <c r="M330" s="32"/>
      <c r="N330" s="32"/>
      <c r="O330" s="32"/>
      <c r="P330" s="32"/>
    </row>
    <row r="331" spans="13:16" x14ac:dyDescent="0.2">
      <c r="M331" s="32"/>
      <c r="N331" s="32"/>
      <c r="O331" s="32"/>
      <c r="P331" s="32"/>
    </row>
    <row r="332" spans="13:16" x14ac:dyDescent="0.2">
      <c r="M332" s="32"/>
      <c r="N332" s="32"/>
      <c r="O332" s="32"/>
      <c r="P332" s="32"/>
    </row>
    <row r="333" spans="13:16" x14ac:dyDescent="0.2">
      <c r="M333" s="32"/>
      <c r="N333" s="32"/>
      <c r="O333" s="32"/>
      <c r="P333" s="32"/>
    </row>
    <row r="334" spans="13:16" x14ac:dyDescent="0.2">
      <c r="M334" s="32"/>
      <c r="N334" s="32"/>
      <c r="O334" s="32"/>
      <c r="P334" s="32"/>
    </row>
    <row r="335" spans="13:16" x14ac:dyDescent="0.2">
      <c r="M335" s="32"/>
      <c r="N335" s="32"/>
      <c r="O335" s="32"/>
      <c r="P335" s="32"/>
    </row>
    <row r="336" spans="13:16" x14ac:dyDescent="0.2">
      <c r="M336" s="32"/>
      <c r="N336" s="32"/>
      <c r="O336" s="32"/>
      <c r="P336" s="32"/>
    </row>
    <row r="337" spans="13:16" x14ac:dyDescent="0.2">
      <c r="M337" s="32"/>
      <c r="N337" s="32"/>
      <c r="O337" s="32"/>
      <c r="P337" s="32"/>
    </row>
    <row r="338" spans="13:16" x14ac:dyDescent="0.2">
      <c r="M338" s="32"/>
      <c r="N338" s="32"/>
      <c r="O338" s="32"/>
      <c r="P338" s="32"/>
    </row>
    <row r="339" spans="13:16" x14ac:dyDescent="0.2">
      <c r="M339" s="32"/>
      <c r="N339" s="32"/>
      <c r="O339" s="32"/>
      <c r="P339" s="32"/>
    </row>
    <row r="340" spans="13:16" x14ac:dyDescent="0.2">
      <c r="M340" s="32"/>
      <c r="N340" s="32"/>
      <c r="O340" s="32"/>
      <c r="P340" s="32"/>
    </row>
    <row r="341" spans="13:16" x14ac:dyDescent="0.2">
      <c r="M341" s="32"/>
      <c r="N341" s="32"/>
      <c r="O341" s="32"/>
      <c r="P341" s="32"/>
    </row>
    <row r="342" spans="13:16" x14ac:dyDescent="0.2">
      <c r="M342" s="32"/>
      <c r="N342" s="32"/>
      <c r="O342" s="32"/>
      <c r="P342" s="32"/>
    </row>
    <row r="343" spans="13:16" x14ac:dyDescent="0.2">
      <c r="M343" s="32"/>
      <c r="N343" s="32"/>
      <c r="O343" s="32"/>
      <c r="P343" s="32"/>
    </row>
    <row r="344" spans="13:16" x14ac:dyDescent="0.2">
      <c r="M344" s="32"/>
      <c r="N344" s="32"/>
      <c r="O344" s="32"/>
      <c r="P344" s="32"/>
    </row>
    <row r="345" spans="13:16" x14ac:dyDescent="0.2">
      <c r="M345" s="32"/>
      <c r="N345" s="32"/>
      <c r="O345" s="32"/>
      <c r="P345" s="32"/>
    </row>
    <row r="346" spans="13:16" x14ac:dyDescent="0.2">
      <c r="M346" s="32"/>
      <c r="N346" s="32"/>
      <c r="O346" s="32"/>
      <c r="P346" s="32"/>
    </row>
    <row r="347" spans="13:16" x14ac:dyDescent="0.2">
      <c r="M347" s="32"/>
      <c r="N347" s="32"/>
      <c r="O347" s="32"/>
      <c r="P347" s="32"/>
    </row>
    <row r="348" spans="13:16" x14ac:dyDescent="0.2">
      <c r="M348" s="32"/>
      <c r="N348" s="32"/>
      <c r="O348" s="32"/>
      <c r="P348" s="32"/>
    </row>
    <row r="349" spans="13:16" x14ac:dyDescent="0.2">
      <c r="M349" s="32"/>
      <c r="N349" s="32"/>
      <c r="O349" s="32"/>
      <c r="P349" s="32"/>
    </row>
    <row r="350" spans="13:16" x14ac:dyDescent="0.2">
      <c r="M350" s="32"/>
      <c r="N350" s="32"/>
      <c r="O350" s="32"/>
      <c r="P350" s="32"/>
    </row>
    <row r="351" spans="13:16" x14ac:dyDescent="0.2">
      <c r="M351" s="32"/>
      <c r="N351" s="32"/>
      <c r="O351" s="32"/>
      <c r="P351" s="32"/>
    </row>
    <row r="352" spans="13:16" x14ac:dyDescent="0.2">
      <c r="M352" s="32"/>
      <c r="N352" s="32"/>
      <c r="O352" s="32"/>
      <c r="P352" s="32"/>
    </row>
    <row r="353" spans="13:16" x14ac:dyDescent="0.2">
      <c r="M353" s="32"/>
      <c r="N353" s="32"/>
      <c r="O353" s="32"/>
      <c r="P353" s="32"/>
    </row>
    <row r="354" spans="13:16" x14ac:dyDescent="0.2">
      <c r="M354" s="32"/>
      <c r="N354" s="32"/>
      <c r="O354" s="32"/>
      <c r="P354" s="32"/>
    </row>
    <row r="355" spans="13:16" x14ac:dyDescent="0.2">
      <c r="M355" s="32"/>
      <c r="N355" s="32"/>
      <c r="O355" s="32"/>
      <c r="P355" s="32"/>
    </row>
    <row r="356" spans="13:16" x14ac:dyDescent="0.2">
      <c r="M356" s="32"/>
      <c r="N356" s="32"/>
      <c r="O356" s="32"/>
      <c r="P356" s="32"/>
    </row>
    <row r="357" spans="13:16" x14ac:dyDescent="0.2">
      <c r="M357" s="32"/>
      <c r="N357" s="32"/>
      <c r="O357" s="32"/>
      <c r="P357" s="32"/>
    </row>
    <row r="358" spans="13:16" x14ac:dyDescent="0.2">
      <c r="M358" s="32"/>
      <c r="N358" s="32"/>
      <c r="O358" s="32"/>
      <c r="P358" s="32"/>
    </row>
    <row r="359" spans="13:16" x14ac:dyDescent="0.2">
      <c r="M359" s="32"/>
      <c r="N359" s="32"/>
      <c r="O359" s="32"/>
      <c r="P359" s="32"/>
    </row>
    <row r="360" spans="13:16" x14ac:dyDescent="0.2">
      <c r="M360" s="32"/>
      <c r="N360" s="32"/>
      <c r="O360" s="32"/>
      <c r="P360" s="32"/>
    </row>
    <row r="361" spans="13:16" x14ac:dyDescent="0.2">
      <c r="M361" s="32"/>
      <c r="N361" s="32"/>
      <c r="O361" s="32"/>
      <c r="P361" s="32"/>
    </row>
    <row r="362" spans="13:16" x14ac:dyDescent="0.2">
      <c r="M362" s="32"/>
      <c r="N362" s="32"/>
      <c r="O362" s="32"/>
      <c r="P362" s="32"/>
    </row>
    <row r="363" spans="13:16" x14ac:dyDescent="0.2">
      <c r="M363" s="32"/>
      <c r="N363" s="32"/>
      <c r="O363" s="32"/>
      <c r="P363" s="32"/>
    </row>
    <row r="364" spans="13:16" x14ac:dyDescent="0.2">
      <c r="M364" s="32"/>
      <c r="N364" s="32"/>
      <c r="O364" s="32"/>
      <c r="P364" s="32"/>
    </row>
    <row r="365" spans="13:16" x14ac:dyDescent="0.2">
      <c r="M365" s="32"/>
      <c r="N365" s="32"/>
      <c r="O365" s="32"/>
      <c r="P365" s="32"/>
    </row>
    <row r="366" spans="13:16" x14ac:dyDescent="0.2">
      <c r="M366" s="32"/>
      <c r="N366" s="32"/>
      <c r="O366" s="32"/>
      <c r="P366" s="32"/>
    </row>
    <row r="367" spans="13:16" x14ac:dyDescent="0.2">
      <c r="M367" s="32"/>
      <c r="N367" s="32"/>
      <c r="O367" s="32"/>
      <c r="P367" s="32"/>
    </row>
    <row r="368" spans="13:16" x14ac:dyDescent="0.2">
      <c r="M368" s="32"/>
      <c r="N368" s="32"/>
      <c r="O368" s="32"/>
      <c r="P368" s="32"/>
    </row>
    <row r="369" spans="13:16" x14ac:dyDescent="0.2">
      <c r="M369" s="32"/>
      <c r="N369" s="32"/>
      <c r="O369" s="32"/>
      <c r="P369" s="32"/>
    </row>
    <row r="370" spans="13:16" x14ac:dyDescent="0.2">
      <c r="M370" s="32"/>
      <c r="N370" s="32"/>
      <c r="O370" s="32"/>
      <c r="P370" s="32"/>
    </row>
    <row r="371" spans="13:16" x14ac:dyDescent="0.2">
      <c r="M371" s="32"/>
      <c r="N371" s="32"/>
      <c r="O371" s="32"/>
      <c r="P371" s="32"/>
    </row>
    <row r="372" spans="13:16" x14ac:dyDescent="0.2">
      <c r="M372" s="32"/>
      <c r="N372" s="32"/>
      <c r="O372" s="32"/>
      <c r="P372" s="32"/>
    </row>
    <row r="373" spans="13:16" x14ac:dyDescent="0.2">
      <c r="M373" s="32"/>
      <c r="N373" s="32"/>
      <c r="O373" s="32"/>
      <c r="P373" s="32"/>
    </row>
    <row r="374" spans="13:16" x14ac:dyDescent="0.2">
      <c r="M374" s="32"/>
      <c r="N374" s="32"/>
      <c r="O374" s="32"/>
      <c r="P374" s="32"/>
    </row>
    <row r="375" spans="13:16" x14ac:dyDescent="0.2">
      <c r="M375" s="32"/>
      <c r="N375" s="32"/>
      <c r="O375" s="32"/>
      <c r="P375" s="32"/>
    </row>
    <row r="376" spans="13:16" x14ac:dyDescent="0.2">
      <c r="M376" s="32"/>
      <c r="N376" s="32"/>
      <c r="O376" s="32"/>
      <c r="P376" s="32"/>
    </row>
    <row r="377" spans="13:16" x14ac:dyDescent="0.2">
      <c r="M377" s="32"/>
      <c r="N377" s="32"/>
      <c r="O377" s="32"/>
      <c r="P377" s="32"/>
    </row>
    <row r="378" spans="13:16" x14ac:dyDescent="0.2">
      <c r="M378" s="32"/>
      <c r="N378" s="32"/>
      <c r="O378" s="32"/>
      <c r="P378" s="32"/>
    </row>
    <row r="379" spans="13:16" x14ac:dyDescent="0.2">
      <c r="M379" s="32"/>
      <c r="N379" s="32"/>
      <c r="O379" s="32"/>
      <c r="P379" s="32"/>
    </row>
    <row r="380" spans="13:16" x14ac:dyDescent="0.2">
      <c r="M380" s="32"/>
      <c r="N380" s="32"/>
      <c r="O380" s="32"/>
      <c r="P380" s="32"/>
    </row>
    <row r="381" spans="13:16" x14ac:dyDescent="0.2">
      <c r="M381" s="32"/>
      <c r="N381" s="32"/>
      <c r="O381" s="32"/>
      <c r="P381" s="32"/>
    </row>
    <row r="382" spans="13:16" x14ac:dyDescent="0.2">
      <c r="M382" s="32"/>
      <c r="N382" s="32"/>
      <c r="O382" s="32"/>
      <c r="P382" s="32"/>
    </row>
    <row r="383" spans="13:16" x14ac:dyDescent="0.2">
      <c r="M383" s="32"/>
      <c r="N383" s="32"/>
      <c r="O383" s="32"/>
      <c r="P383" s="32"/>
    </row>
    <row r="384" spans="13:16" x14ac:dyDescent="0.2">
      <c r="M384" s="32"/>
      <c r="N384" s="32"/>
      <c r="O384" s="32"/>
      <c r="P384" s="32"/>
    </row>
    <row r="385" spans="13:16" x14ac:dyDescent="0.2">
      <c r="M385" s="32"/>
      <c r="N385" s="32"/>
      <c r="O385" s="32"/>
      <c r="P385" s="32"/>
    </row>
    <row r="386" spans="13:16" x14ac:dyDescent="0.2">
      <c r="M386" s="32"/>
      <c r="N386" s="32"/>
      <c r="O386" s="32"/>
      <c r="P386" s="32"/>
    </row>
    <row r="387" spans="13:16" x14ac:dyDescent="0.2">
      <c r="M387" s="32"/>
      <c r="N387" s="32"/>
      <c r="O387" s="32"/>
      <c r="P387" s="32"/>
    </row>
    <row r="388" spans="13:16" x14ac:dyDescent="0.2">
      <c r="M388" s="32"/>
      <c r="N388" s="32"/>
      <c r="O388" s="32"/>
      <c r="P388" s="32"/>
    </row>
    <row r="389" spans="13:16" x14ac:dyDescent="0.2">
      <c r="M389" s="32"/>
      <c r="N389" s="32"/>
      <c r="O389" s="32"/>
      <c r="P389" s="32"/>
    </row>
    <row r="390" spans="13:16" x14ac:dyDescent="0.2">
      <c r="M390" s="32"/>
      <c r="N390" s="32"/>
      <c r="O390" s="32"/>
      <c r="P390" s="32"/>
    </row>
    <row r="391" spans="13:16" x14ac:dyDescent="0.2">
      <c r="M391" s="32"/>
      <c r="N391" s="32"/>
      <c r="O391" s="32"/>
      <c r="P391" s="32"/>
    </row>
    <row r="392" spans="13:16" x14ac:dyDescent="0.2">
      <c r="M392" s="32"/>
      <c r="N392" s="32"/>
      <c r="O392" s="32"/>
      <c r="P392" s="32"/>
    </row>
    <row r="393" spans="13:16" x14ac:dyDescent="0.2">
      <c r="M393" s="32"/>
      <c r="N393" s="32"/>
      <c r="O393" s="32"/>
      <c r="P393" s="32"/>
    </row>
    <row r="394" spans="13:16" x14ac:dyDescent="0.2">
      <c r="M394" s="32"/>
      <c r="N394" s="32"/>
      <c r="O394" s="32"/>
      <c r="P394" s="32"/>
    </row>
    <row r="395" spans="13:16" x14ac:dyDescent="0.2">
      <c r="M395" s="32"/>
      <c r="N395" s="32"/>
      <c r="O395" s="32"/>
      <c r="P395" s="32"/>
    </row>
    <row r="396" spans="13:16" x14ac:dyDescent="0.2">
      <c r="M396" s="32"/>
      <c r="N396" s="32"/>
      <c r="O396" s="32"/>
      <c r="P396" s="32"/>
    </row>
    <row r="397" spans="13:16" x14ac:dyDescent="0.2">
      <c r="M397" s="32"/>
      <c r="N397" s="32"/>
      <c r="O397" s="32"/>
      <c r="P397" s="32"/>
    </row>
    <row r="398" spans="13:16" x14ac:dyDescent="0.2">
      <c r="M398" s="32"/>
      <c r="N398" s="32"/>
      <c r="O398" s="32"/>
      <c r="P398" s="32"/>
    </row>
    <row r="399" spans="13:16" x14ac:dyDescent="0.2">
      <c r="M399" s="32"/>
      <c r="N399" s="32"/>
      <c r="O399" s="32"/>
      <c r="P399" s="32"/>
    </row>
    <row r="400" spans="13:16" x14ac:dyDescent="0.2">
      <c r="M400" s="32"/>
      <c r="N400" s="32"/>
      <c r="O400" s="32"/>
      <c r="P400" s="32"/>
    </row>
    <row r="401" spans="13:16" x14ac:dyDescent="0.2">
      <c r="M401" s="32"/>
      <c r="N401" s="32"/>
      <c r="O401" s="32"/>
      <c r="P401" s="32"/>
    </row>
    <row r="402" spans="13:16" x14ac:dyDescent="0.2">
      <c r="M402" s="32"/>
      <c r="N402" s="32"/>
      <c r="O402" s="32"/>
      <c r="P402" s="32"/>
    </row>
    <row r="403" spans="13:16" x14ac:dyDescent="0.2">
      <c r="M403" s="32"/>
      <c r="N403" s="32"/>
      <c r="O403" s="32"/>
      <c r="P403" s="32"/>
    </row>
    <row r="404" spans="13:16" x14ac:dyDescent="0.2">
      <c r="M404" s="32"/>
      <c r="N404" s="32"/>
      <c r="O404" s="32"/>
      <c r="P404" s="32"/>
    </row>
    <row r="405" spans="13:16" x14ac:dyDescent="0.2">
      <c r="M405" s="32"/>
      <c r="N405" s="32"/>
      <c r="O405" s="32"/>
      <c r="P405" s="32"/>
    </row>
    <row r="406" spans="13:16" x14ac:dyDescent="0.2">
      <c r="M406" s="32"/>
      <c r="N406" s="32"/>
      <c r="O406" s="32"/>
      <c r="P406" s="32"/>
    </row>
    <row r="407" spans="13:16" x14ac:dyDescent="0.2">
      <c r="M407" s="32"/>
      <c r="N407" s="32"/>
      <c r="O407" s="32"/>
      <c r="P407" s="32"/>
    </row>
    <row r="408" spans="13:16" x14ac:dyDescent="0.2">
      <c r="M408" s="32"/>
      <c r="N408" s="32"/>
      <c r="O408" s="32"/>
      <c r="P408" s="32"/>
    </row>
    <row r="409" spans="13:16" x14ac:dyDescent="0.2">
      <c r="M409" s="32"/>
      <c r="N409" s="32"/>
      <c r="O409" s="32"/>
      <c r="P409" s="32"/>
    </row>
    <row r="410" spans="13:16" x14ac:dyDescent="0.2">
      <c r="M410" s="32"/>
      <c r="N410" s="32"/>
      <c r="O410" s="32"/>
      <c r="P410" s="32"/>
    </row>
    <row r="411" spans="13:16" x14ac:dyDescent="0.2">
      <c r="M411" s="32"/>
      <c r="N411" s="32"/>
      <c r="O411" s="32"/>
      <c r="P411" s="32"/>
    </row>
    <row r="412" spans="13:16" x14ac:dyDescent="0.2">
      <c r="M412" s="32"/>
      <c r="N412" s="32"/>
      <c r="O412" s="32"/>
      <c r="P412" s="32"/>
    </row>
    <row r="413" spans="13:16" x14ac:dyDescent="0.2">
      <c r="M413" s="32"/>
      <c r="N413" s="32"/>
      <c r="O413" s="32"/>
      <c r="P413" s="32"/>
    </row>
    <row r="414" spans="13:16" x14ac:dyDescent="0.2">
      <c r="M414" s="32"/>
      <c r="N414" s="32"/>
      <c r="O414" s="32"/>
      <c r="P414" s="32"/>
    </row>
    <row r="415" spans="13:16" x14ac:dyDescent="0.2">
      <c r="M415" s="32"/>
      <c r="N415" s="32"/>
      <c r="O415" s="32"/>
      <c r="P415" s="32"/>
    </row>
    <row r="416" spans="13:16" x14ac:dyDescent="0.2">
      <c r="M416" s="32"/>
      <c r="N416" s="32"/>
      <c r="O416" s="32"/>
      <c r="P416" s="32"/>
    </row>
    <row r="417" spans="13:16" x14ac:dyDescent="0.2">
      <c r="M417" s="32"/>
      <c r="N417" s="32"/>
      <c r="O417" s="32"/>
      <c r="P417" s="32"/>
    </row>
    <row r="418" spans="13:16" x14ac:dyDescent="0.2">
      <c r="M418" s="32"/>
      <c r="N418" s="32"/>
      <c r="O418" s="32"/>
      <c r="P418" s="32"/>
    </row>
    <row r="419" spans="13:16" x14ac:dyDescent="0.2">
      <c r="M419" s="32"/>
      <c r="N419" s="32"/>
      <c r="O419" s="32"/>
      <c r="P419" s="32"/>
    </row>
    <row r="420" spans="13:16" x14ac:dyDescent="0.2">
      <c r="M420" s="32"/>
      <c r="N420" s="32"/>
      <c r="O420" s="32"/>
      <c r="P420" s="32"/>
    </row>
    <row r="421" spans="13:16" x14ac:dyDescent="0.2">
      <c r="M421" s="32"/>
      <c r="N421" s="32"/>
      <c r="O421" s="32"/>
      <c r="P421" s="32"/>
    </row>
    <row r="422" spans="13:16" x14ac:dyDescent="0.2">
      <c r="M422" s="32"/>
      <c r="N422" s="32"/>
      <c r="O422" s="32"/>
      <c r="P422" s="32"/>
    </row>
    <row r="423" spans="13:16" x14ac:dyDescent="0.2">
      <c r="M423" s="32"/>
      <c r="N423" s="32"/>
      <c r="O423" s="32"/>
      <c r="P423" s="32"/>
    </row>
    <row r="424" spans="13:16" x14ac:dyDescent="0.2">
      <c r="M424" s="32"/>
      <c r="N424" s="32"/>
      <c r="O424" s="32"/>
      <c r="P424" s="32"/>
    </row>
    <row r="425" spans="13:16" x14ac:dyDescent="0.2">
      <c r="M425" s="32"/>
      <c r="N425" s="32"/>
      <c r="O425" s="32"/>
      <c r="P425" s="32"/>
    </row>
    <row r="426" spans="13:16" x14ac:dyDescent="0.2">
      <c r="M426" s="32"/>
      <c r="N426" s="32"/>
      <c r="O426" s="32"/>
      <c r="P426" s="32"/>
    </row>
    <row r="427" spans="13:16" x14ac:dyDescent="0.2">
      <c r="M427" s="32"/>
      <c r="N427" s="32"/>
      <c r="O427" s="32"/>
      <c r="P427" s="32"/>
    </row>
    <row r="428" spans="13:16" x14ac:dyDescent="0.2">
      <c r="M428" s="32"/>
      <c r="N428" s="32"/>
      <c r="O428" s="32"/>
      <c r="P428" s="32"/>
    </row>
    <row r="429" spans="13:16" x14ac:dyDescent="0.2">
      <c r="M429" s="32"/>
      <c r="N429" s="32"/>
      <c r="O429" s="32"/>
      <c r="P429" s="32"/>
    </row>
    <row r="430" spans="13:16" x14ac:dyDescent="0.2">
      <c r="M430" s="32"/>
      <c r="N430" s="32"/>
      <c r="O430" s="32"/>
      <c r="P430" s="32"/>
    </row>
    <row r="431" spans="13:16" x14ac:dyDescent="0.2">
      <c r="M431" s="32"/>
      <c r="N431" s="32"/>
      <c r="O431" s="32"/>
      <c r="P431" s="32"/>
    </row>
    <row r="432" spans="13:16" x14ac:dyDescent="0.2">
      <c r="M432" s="32"/>
      <c r="N432" s="32"/>
      <c r="O432" s="32"/>
      <c r="P432" s="32"/>
    </row>
    <row r="433" spans="13:16" x14ac:dyDescent="0.2">
      <c r="M433" s="32"/>
      <c r="N433" s="32"/>
      <c r="O433" s="32"/>
      <c r="P433" s="32"/>
    </row>
    <row r="434" spans="13:16" x14ac:dyDescent="0.2">
      <c r="M434" s="32"/>
      <c r="N434" s="32"/>
      <c r="O434" s="32"/>
      <c r="P434" s="32"/>
    </row>
    <row r="435" spans="13:16" x14ac:dyDescent="0.2">
      <c r="M435" s="32"/>
      <c r="N435" s="32"/>
      <c r="O435" s="32"/>
      <c r="P435" s="32"/>
    </row>
    <row r="436" spans="13:16" x14ac:dyDescent="0.2">
      <c r="M436" s="32"/>
      <c r="N436" s="32"/>
      <c r="O436" s="32"/>
      <c r="P436" s="32"/>
    </row>
    <row r="437" spans="13:16" x14ac:dyDescent="0.2">
      <c r="M437" s="32"/>
      <c r="N437" s="32"/>
      <c r="O437" s="32"/>
      <c r="P437" s="32"/>
    </row>
    <row r="438" spans="13:16" x14ac:dyDescent="0.2">
      <c r="M438" s="32"/>
      <c r="N438" s="32"/>
      <c r="O438" s="32"/>
      <c r="P438" s="32"/>
    </row>
    <row r="439" spans="13:16" x14ac:dyDescent="0.2">
      <c r="M439" s="32"/>
      <c r="N439" s="32"/>
      <c r="O439" s="32"/>
      <c r="P439" s="32"/>
    </row>
    <row r="440" spans="13:16" x14ac:dyDescent="0.2">
      <c r="M440" s="32"/>
      <c r="N440" s="32"/>
      <c r="O440" s="32"/>
      <c r="P440" s="32"/>
    </row>
    <row r="441" spans="13:16" x14ac:dyDescent="0.2">
      <c r="M441" s="32"/>
      <c r="N441" s="32"/>
      <c r="O441" s="32"/>
      <c r="P441" s="32"/>
    </row>
    <row r="442" spans="13:16" x14ac:dyDescent="0.2">
      <c r="M442" s="32"/>
      <c r="N442" s="32"/>
      <c r="O442" s="32"/>
      <c r="P442" s="32"/>
    </row>
    <row r="443" spans="13:16" x14ac:dyDescent="0.2">
      <c r="M443" s="32"/>
      <c r="N443" s="32"/>
      <c r="O443" s="32"/>
      <c r="P443" s="32"/>
    </row>
    <row r="444" spans="13:16" x14ac:dyDescent="0.2">
      <c r="M444" s="32"/>
      <c r="N444" s="32"/>
      <c r="O444" s="32"/>
      <c r="P444" s="32"/>
    </row>
    <row r="445" spans="13:16" x14ac:dyDescent="0.2">
      <c r="M445" s="32"/>
      <c r="N445" s="32"/>
      <c r="O445" s="32"/>
      <c r="P445" s="32"/>
    </row>
    <row r="446" spans="13:16" x14ac:dyDescent="0.2">
      <c r="M446" s="32"/>
      <c r="N446" s="32"/>
      <c r="O446" s="32"/>
      <c r="P446" s="32"/>
    </row>
    <row r="447" spans="13:16" x14ac:dyDescent="0.2">
      <c r="M447" s="32"/>
      <c r="N447" s="32"/>
      <c r="O447" s="32"/>
      <c r="P447" s="32"/>
    </row>
    <row r="448" spans="13:16" x14ac:dyDescent="0.2">
      <c r="M448" s="32"/>
      <c r="N448" s="32"/>
      <c r="O448" s="32"/>
      <c r="P448" s="32"/>
    </row>
    <row r="449" spans="13:16" x14ac:dyDescent="0.2">
      <c r="M449" s="32"/>
      <c r="N449" s="32"/>
      <c r="O449" s="32"/>
      <c r="P449" s="32"/>
    </row>
    <row r="450" spans="13:16" x14ac:dyDescent="0.2">
      <c r="M450" s="32"/>
      <c r="N450" s="32"/>
      <c r="O450" s="32"/>
      <c r="P450" s="32"/>
    </row>
    <row r="451" spans="13:16" x14ac:dyDescent="0.2">
      <c r="M451" s="32"/>
      <c r="N451" s="32"/>
      <c r="O451" s="32"/>
      <c r="P451" s="32"/>
    </row>
    <row r="452" spans="13:16" x14ac:dyDescent="0.2">
      <c r="M452" s="32"/>
      <c r="N452" s="32"/>
      <c r="O452" s="32"/>
      <c r="P452" s="32"/>
    </row>
    <row r="453" spans="13:16" x14ac:dyDescent="0.2">
      <c r="M453" s="32"/>
      <c r="N453" s="32"/>
      <c r="O453" s="32"/>
      <c r="P453" s="32"/>
    </row>
    <row r="454" spans="13:16" x14ac:dyDescent="0.2">
      <c r="M454" s="32"/>
      <c r="N454" s="32"/>
      <c r="O454" s="32"/>
      <c r="P454" s="32"/>
    </row>
    <row r="455" spans="13:16" x14ac:dyDescent="0.2">
      <c r="M455" s="32"/>
      <c r="N455" s="32"/>
      <c r="O455" s="32"/>
      <c r="P455" s="32"/>
    </row>
    <row r="456" spans="13:16" x14ac:dyDescent="0.2">
      <c r="M456" s="32"/>
      <c r="N456" s="32"/>
      <c r="O456" s="32"/>
      <c r="P456" s="32"/>
    </row>
    <row r="457" spans="13:16" x14ac:dyDescent="0.2">
      <c r="M457" s="32"/>
      <c r="N457" s="32"/>
      <c r="O457" s="32"/>
      <c r="P457" s="32"/>
    </row>
    <row r="458" spans="13:16" x14ac:dyDescent="0.2">
      <c r="M458" s="32"/>
      <c r="N458" s="32"/>
      <c r="O458" s="32"/>
      <c r="P458" s="32"/>
    </row>
    <row r="459" spans="13:16" x14ac:dyDescent="0.2">
      <c r="M459" s="32"/>
      <c r="N459" s="32"/>
      <c r="O459" s="32"/>
      <c r="P459" s="32"/>
    </row>
    <row r="460" spans="13:16" x14ac:dyDescent="0.2">
      <c r="M460" s="32"/>
      <c r="N460" s="32"/>
      <c r="O460" s="32"/>
      <c r="P460" s="32"/>
    </row>
    <row r="461" spans="13:16" x14ac:dyDescent="0.2">
      <c r="M461" s="32"/>
      <c r="N461" s="32"/>
      <c r="O461" s="32"/>
      <c r="P461" s="32"/>
    </row>
    <row r="462" spans="13:16" x14ac:dyDescent="0.2">
      <c r="M462" s="32"/>
      <c r="N462" s="32"/>
      <c r="O462" s="32"/>
      <c r="P462" s="32"/>
    </row>
    <row r="463" spans="13:16" x14ac:dyDescent="0.2">
      <c r="M463" s="32"/>
      <c r="N463" s="32"/>
      <c r="O463" s="32"/>
      <c r="P463" s="32"/>
    </row>
    <row r="464" spans="13:16" x14ac:dyDescent="0.2">
      <c r="M464" s="32"/>
      <c r="N464" s="32"/>
      <c r="O464" s="32"/>
      <c r="P464" s="32"/>
    </row>
    <row r="465" spans="13:16" x14ac:dyDescent="0.2">
      <c r="M465" s="32"/>
      <c r="N465" s="32"/>
      <c r="O465" s="32"/>
      <c r="P465" s="32"/>
    </row>
    <row r="466" spans="13:16" x14ac:dyDescent="0.2">
      <c r="M466" s="32"/>
      <c r="N466" s="32"/>
      <c r="O466" s="32"/>
      <c r="P466" s="32"/>
    </row>
    <row r="467" spans="13:16" x14ac:dyDescent="0.2">
      <c r="M467" s="32"/>
      <c r="N467" s="32"/>
      <c r="O467" s="32"/>
      <c r="P467" s="32"/>
    </row>
    <row r="468" spans="13:16" x14ac:dyDescent="0.2">
      <c r="M468" s="32"/>
      <c r="N468" s="32"/>
      <c r="O468" s="32"/>
      <c r="P468" s="32"/>
    </row>
    <row r="469" spans="13:16" x14ac:dyDescent="0.2">
      <c r="M469" s="32"/>
      <c r="N469" s="32"/>
      <c r="O469" s="32"/>
      <c r="P469" s="32"/>
    </row>
    <row r="470" spans="13:16" x14ac:dyDescent="0.2">
      <c r="M470" s="32"/>
      <c r="N470" s="32"/>
      <c r="O470" s="32"/>
      <c r="P470" s="32"/>
    </row>
    <row r="471" spans="13:16" x14ac:dyDescent="0.2">
      <c r="M471" s="32"/>
      <c r="N471" s="32"/>
      <c r="O471" s="32"/>
      <c r="P471" s="32"/>
    </row>
    <row r="472" spans="13:16" x14ac:dyDescent="0.2">
      <c r="M472" s="32"/>
      <c r="N472" s="32"/>
      <c r="O472" s="32"/>
      <c r="P472" s="32"/>
    </row>
    <row r="473" spans="13:16" x14ac:dyDescent="0.2">
      <c r="M473" s="32"/>
      <c r="N473" s="32"/>
      <c r="O473" s="32"/>
      <c r="P473" s="32"/>
    </row>
    <row r="474" spans="13:16" x14ac:dyDescent="0.2">
      <c r="M474" s="32"/>
      <c r="N474" s="32"/>
      <c r="O474" s="32"/>
      <c r="P474" s="32"/>
    </row>
    <row r="475" spans="13:16" x14ac:dyDescent="0.2">
      <c r="M475" s="32"/>
      <c r="N475" s="32"/>
      <c r="O475" s="32"/>
      <c r="P475" s="32"/>
    </row>
    <row r="476" spans="13:16" x14ac:dyDescent="0.2">
      <c r="M476" s="32"/>
      <c r="N476" s="32"/>
      <c r="O476" s="32"/>
      <c r="P476" s="32"/>
    </row>
    <row r="477" spans="13:16" x14ac:dyDescent="0.2">
      <c r="M477" s="32"/>
      <c r="N477" s="32"/>
      <c r="O477" s="32"/>
      <c r="P477" s="32"/>
    </row>
    <row r="478" spans="13:16" x14ac:dyDescent="0.2">
      <c r="M478" s="32"/>
      <c r="N478" s="32"/>
      <c r="O478" s="32"/>
      <c r="P478" s="32"/>
    </row>
    <row r="479" spans="13:16" x14ac:dyDescent="0.2">
      <c r="M479" s="32"/>
      <c r="N479" s="32"/>
      <c r="O479" s="32"/>
      <c r="P479" s="32"/>
    </row>
    <row r="480" spans="13:16" x14ac:dyDescent="0.2">
      <c r="M480" s="32"/>
      <c r="N480" s="32"/>
      <c r="O480" s="32"/>
      <c r="P480" s="32"/>
    </row>
    <row r="481" spans="13:16" x14ac:dyDescent="0.2">
      <c r="M481" s="32"/>
      <c r="N481" s="32"/>
      <c r="O481" s="32"/>
      <c r="P481" s="32"/>
    </row>
    <row r="482" spans="13:16" x14ac:dyDescent="0.2">
      <c r="M482" s="32"/>
      <c r="N482" s="32"/>
      <c r="O482" s="32"/>
      <c r="P482" s="32"/>
    </row>
    <row r="483" spans="13:16" x14ac:dyDescent="0.2">
      <c r="M483" s="32"/>
      <c r="N483" s="32"/>
      <c r="O483" s="32"/>
      <c r="P483" s="32"/>
    </row>
    <row r="484" spans="13:16" x14ac:dyDescent="0.2">
      <c r="M484" s="32"/>
      <c r="N484" s="32"/>
      <c r="O484" s="32"/>
      <c r="P484" s="32"/>
    </row>
    <row r="485" spans="13:16" x14ac:dyDescent="0.2">
      <c r="M485" s="32"/>
      <c r="N485" s="32"/>
      <c r="O485" s="32"/>
      <c r="P485" s="32"/>
    </row>
    <row r="486" spans="13:16" x14ac:dyDescent="0.2">
      <c r="M486" s="32"/>
      <c r="N486" s="32"/>
      <c r="O486" s="32"/>
      <c r="P486" s="32"/>
    </row>
    <row r="487" spans="13:16" x14ac:dyDescent="0.2">
      <c r="M487" s="32"/>
      <c r="N487" s="32"/>
      <c r="O487" s="32"/>
      <c r="P487" s="32"/>
    </row>
    <row r="488" spans="13:16" x14ac:dyDescent="0.2">
      <c r="M488" s="32"/>
      <c r="N488" s="32"/>
      <c r="O488" s="32"/>
      <c r="P488" s="32"/>
    </row>
    <row r="489" spans="13:16" x14ac:dyDescent="0.2">
      <c r="M489" s="32"/>
      <c r="N489" s="32"/>
      <c r="O489" s="32"/>
      <c r="P489" s="32"/>
    </row>
    <row r="490" spans="13:16" x14ac:dyDescent="0.2">
      <c r="M490" s="32"/>
      <c r="N490" s="32"/>
      <c r="O490" s="32"/>
      <c r="P490" s="32"/>
    </row>
    <row r="491" spans="13:16" x14ac:dyDescent="0.2">
      <c r="M491" s="32"/>
      <c r="N491" s="32"/>
      <c r="O491" s="32"/>
      <c r="P491" s="32"/>
    </row>
    <row r="492" spans="13:16" x14ac:dyDescent="0.2">
      <c r="M492" s="32"/>
      <c r="N492" s="32"/>
      <c r="O492" s="32"/>
      <c r="P492" s="32"/>
    </row>
    <row r="493" spans="13:16" x14ac:dyDescent="0.2">
      <c r="M493" s="32"/>
      <c r="N493" s="32"/>
      <c r="O493" s="32"/>
      <c r="P493" s="32"/>
    </row>
    <row r="494" spans="13:16" x14ac:dyDescent="0.2">
      <c r="M494" s="32"/>
      <c r="N494" s="32"/>
      <c r="O494" s="32"/>
      <c r="P494" s="32"/>
    </row>
    <row r="495" spans="13:16" x14ac:dyDescent="0.2">
      <c r="M495" s="32"/>
      <c r="N495" s="32"/>
      <c r="O495" s="32"/>
      <c r="P495" s="32"/>
    </row>
    <row r="496" spans="13:16" x14ac:dyDescent="0.2">
      <c r="M496" s="32"/>
      <c r="N496" s="32"/>
      <c r="O496" s="32"/>
      <c r="P496" s="32"/>
    </row>
    <row r="497" spans="13:16" x14ac:dyDescent="0.2">
      <c r="M497" s="32"/>
      <c r="N497" s="32"/>
      <c r="O497" s="32"/>
      <c r="P497" s="32"/>
    </row>
    <row r="498" spans="13:16" x14ac:dyDescent="0.2">
      <c r="M498" s="32"/>
      <c r="N498" s="32"/>
      <c r="O498" s="32"/>
      <c r="P498" s="32"/>
    </row>
    <row r="499" spans="13:16" x14ac:dyDescent="0.2">
      <c r="M499" s="32"/>
      <c r="N499" s="32"/>
      <c r="O499" s="32"/>
      <c r="P499" s="32"/>
    </row>
    <row r="500" spans="13:16" x14ac:dyDescent="0.2">
      <c r="M500" s="32"/>
      <c r="N500" s="32"/>
      <c r="O500" s="32"/>
      <c r="P500" s="32"/>
    </row>
    <row r="501" spans="13:16" x14ac:dyDescent="0.2">
      <c r="M501" s="32"/>
      <c r="N501" s="32"/>
      <c r="O501" s="32"/>
      <c r="P501" s="32"/>
    </row>
    <row r="502" spans="13:16" x14ac:dyDescent="0.2">
      <c r="M502" s="32"/>
      <c r="N502" s="32"/>
      <c r="O502" s="32"/>
      <c r="P502" s="32"/>
    </row>
    <row r="503" spans="13:16" x14ac:dyDescent="0.2">
      <c r="M503" s="32"/>
      <c r="N503" s="32"/>
      <c r="O503" s="32"/>
      <c r="P503" s="32"/>
    </row>
    <row r="504" spans="13:16" x14ac:dyDescent="0.2">
      <c r="M504" s="32"/>
      <c r="N504" s="32"/>
      <c r="O504" s="32"/>
      <c r="P504" s="32"/>
    </row>
    <row r="505" spans="13:16" x14ac:dyDescent="0.2">
      <c r="M505" s="32"/>
      <c r="N505" s="32"/>
      <c r="O505" s="32"/>
      <c r="P505" s="32"/>
    </row>
    <row r="506" spans="13:16" x14ac:dyDescent="0.2">
      <c r="M506" s="32"/>
      <c r="N506" s="32"/>
      <c r="O506" s="32"/>
      <c r="P506" s="32"/>
    </row>
    <row r="507" spans="13:16" x14ac:dyDescent="0.2">
      <c r="M507" s="32"/>
      <c r="N507" s="32"/>
      <c r="O507" s="32"/>
      <c r="P507" s="32"/>
    </row>
    <row r="508" spans="13:16" x14ac:dyDescent="0.2">
      <c r="M508" s="32"/>
      <c r="N508" s="32"/>
      <c r="O508" s="32"/>
      <c r="P508" s="32"/>
    </row>
    <row r="509" spans="13:16" x14ac:dyDescent="0.2">
      <c r="M509" s="32"/>
      <c r="N509" s="32"/>
      <c r="O509" s="32"/>
      <c r="P509" s="32"/>
    </row>
    <row r="510" spans="13:16" x14ac:dyDescent="0.2">
      <c r="M510" s="32"/>
      <c r="N510" s="32"/>
      <c r="O510" s="32"/>
      <c r="P510" s="32"/>
    </row>
    <row r="511" spans="13:16" x14ac:dyDescent="0.2">
      <c r="M511" s="32"/>
      <c r="N511" s="32"/>
      <c r="O511" s="32"/>
      <c r="P511" s="32"/>
    </row>
    <row r="512" spans="13:16" x14ac:dyDescent="0.2">
      <c r="M512" s="32"/>
      <c r="N512" s="32"/>
      <c r="O512" s="32"/>
      <c r="P512" s="32"/>
    </row>
    <row r="513" spans="13:16" x14ac:dyDescent="0.2">
      <c r="M513" s="32"/>
      <c r="N513" s="32"/>
      <c r="O513" s="32"/>
      <c r="P513" s="32"/>
    </row>
    <row r="514" spans="13:16" x14ac:dyDescent="0.2">
      <c r="M514" s="32"/>
      <c r="N514" s="32"/>
      <c r="O514" s="32"/>
      <c r="P514" s="32"/>
    </row>
    <row r="515" spans="13:16" x14ac:dyDescent="0.2">
      <c r="M515" s="32"/>
      <c r="N515" s="32"/>
      <c r="O515" s="32"/>
      <c r="P515" s="32"/>
    </row>
    <row r="516" spans="13:16" x14ac:dyDescent="0.2">
      <c r="M516" s="32"/>
      <c r="N516" s="32"/>
      <c r="O516" s="32"/>
      <c r="P516" s="32"/>
    </row>
    <row r="517" spans="13:16" x14ac:dyDescent="0.2">
      <c r="M517" s="32"/>
      <c r="N517" s="32"/>
      <c r="O517" s="32"/>
      <c r="P517" s="32"/>
    </row>
    <row r="518" spans="13:16" x14ac:dyDescent="0.2">
      <c r="M518" s="32"/>
      <c r="N518" s="32"/>
      <c r="O518" s="32"/>
      <c r="P518" s="32"/>
    </row>
    <row r="519" spans="13:16" x14ac:dyDescent="0.2">
      <c r="M519" s="32"/>
      <c r="N519" s="32"/>
      <c r="O519" s="32"/>
      <c r="P519" s="32"/>
    </row>
    <row r="520" spans="13:16" x14ac:dyDescent="0.2">
      <c r="M520" s="32"/>
      <c r="N520" s="32"/>
      <c r="O520" s="32"/>
      <c r="P520" s="32"/>
    </row>
    <row r="521" spans="13:16" x14ac:dyDescent="0.2">
      <c r="M521" s="32"/>
      <c r="N521" s="32"/>
      <c r="O521" s="32"/>
      <c r="P521" s="32"/>
    </row>
    <row r="522" spans="13:16" x14ac:dyDescent="0.2">
      <c r="M522" s="32"/>
      <c r="N522" s="32"/>
      <c r="O522" s="32"/>
      <c r="P522" s="32"/>
    </row>
    <row r="523" spans="13:16" x14ac:dyDescent="0.2">
      <c r="M523" s="32"/>
      <c r="N523" s="32"/>
      <c r="O523" s="32"/>
      <c r="P523" s="32"/>
    </row>
    <row r="524" spans="13:16" x14ac:dyDescent="0.2">
      <c r="M524" s="32"/>
      <c r="N524" s="32"/>
      <c r="O524" s="32"/>
      <c r="P524" s="32"/>
    </row>
    <row r="525" spans="13:16" x14ac:dyDescent="0.2">
      <c r="M525" s="32"/>
      <c r="N525" s="32"/>
      <c r="O525" s="32"/>
      <c r="P525" s="32"/>
    </row>
    <row r="526" spans="13:16" x14ac:dyDescent="0.2">
      <c r="M526" s="32"/>
      <c r="N526" s="32"/>
      <c r="O526" s="32"/>
      <c r="P526" s="32"/>
    </row>
    <row r="527" spans="13:16" x14ac:dyDescent="0.2">
      <c r="M527" s="32"/>
      <c r="N527" s="32"/>
      <c r="O527" s="32"/>
      <c r="P527" s="32"/>
    </row>
    <row r="528" spans="13:16" x14ac:dyDescent="0.2">
      <c r="M528" s="32"/>
      <c r="N528" s="32"/>
      <c r="O528" s="32"/>
      <c r="P528" s="32"/>
    </row>
    <row r="529" spans="13:16" x14ac:dyDescent="0.2">
      <c r="M529" s="32"/>
      <c r="N529" s="32"/>
      <c r="O529" s="32"/>
      <c r="P529" s="32"/>
    </row>
    <row r="530" spans="13:16" x14ac:dyDescent="0.2">
      <c r="M530" s="32"/>
      <c r="N530" s="32"/>
      <c r="O530" s="32"/>
      <c r="P530" s="32"/>
    </row>
    <row r="531" spans="13:16" x14ac:dyDescent="0.2">
      <c r="M531" s="32"/>
      <c r="N531" s="32"/>
      <c r="O531" s="32"/>
      <c r="P531" s="32"/>
    </row>
    <row r="532" spans="13:16" x14ac:dyDescent="0.2">
      <c r="M532" s="32"/>
      <c r="N532" s="32"/>
      <c r="O532" s="32"/>
      <c r="P532" s="32"/>
    </row>
    <row r="533" spans="13:16" x14ac:dyDescent="0.2">
      <c r="M533" s="32"/>
      <c r="N533" s="32"/>
      <c r="O533" s="32"/>
      <c r="P533" s="32"/>
    </row>
    <row r="534" spans="13:16" x14ac:dyDescent="0.2">
      <c r="M534" s="32"/>
      <c r="N534" s="32"/>
      <c r="O534" s="32"/>
      <c r="P534" s="32"/>
    </row>
    <row r="535" spans="13:16" x14ac:dyDescent="0.2">
      <c r="M535" s="32"/>
      <c r="N535" s="32"/>
      <c r="O535" s="32"/>
      <c r="P535" s="32"/>
    </row>
    <row r="536" spans="13:16" x14ac:dyDescent="0.2">
      <c r="M536" s="32"/>
      <c r="N536" s="32"/>
      <c r="O536" s="32"/>
      <c r="P536" s="32"/>
    </row>
    <row r="537" spans="13:16" x14ac:dyDescent="0.2">
      <c r="M537" s="32"/>
      <c r="N537" s="32"/>
      <c r="O537" s="32"/>
      <c r="P537" s="32"/>
    </row>
    <row r="538" spans="13:16" x14ac:dyDescent="0.2">
      <c r="M538" s="32"/>
      <c r="N538" s="32"/>
      <c r="O538" s="32"/>
      <c r="P538" s="32"/>
    </row>
    <row r="539" spans="13:16" x14ac:dyDescent="0.2">
      <c r="M539" s="32"/>
      <c r="N539" s="32"/>
      <c r="O539" s="32"/>
      <c r="P539" s="32"/>
    </row>
    <row r="540" spans="13:16" x14ac:dyDescent="0.2">
      <c r="M540" s="32"/>
      <c r="N540" s="32"/>
      <c r="O540" s="32"/>
      <c r="P540" s="32"/>
    </row>
    <row r="541" spans="13:16" x14ac:dyDescent="0.2">
      <c r="M541" s="32"/>
      <c r="N541" s="32"/>
      <c r="O541" s="32"/>
      <c r="P541" s="32"/>
    </row>
    <row r="542" spans="13:16" x14ac:dyDescent="0.2">
      <c r="M542" s="32"/>
      <c r="N542" s="32"/>
      <c r="O542" s="32"/>
      <c r="P542" s="32"/>
    </row>
    <row r="543" spans="13:16" x14ac:dyDescent="0.2">
      <c r="M543" s="32"/>
      <c r="N543" s="32"/>
      <c r="O543" s="32"/>
      <c r="P543" s="32"/>
    </row>
    <row r="544" spans="13:16" x14ac:dyDescent="0.2">
      <c r="M544" s="32"/>
      <c r="N544" s="32"/>
      <c r="O544" s="32"/>
      <c r="P544" s="32"/>
    </row>
    <row r="545" spans="13:16" x14ac:dyDescent="0.2">
      <c r="M545" s="32"/>
      <c r="N545" s="32"/>
      <c r="O545" s="32"/>
      <c r="P545" s="32"/>
    </row>
    <row r="546" spans="13:16" x14ac:dyDescent="0.2">
      <c r="M546" s="32"/>
      <c r="N546" s="32"/>
      <c r="O546" s="32"/>
      <c r="P546" s="32"/>
    </row>
    <row r="547" spans="13:16" x14ac:dyDescent="0.2">
      <c r="M547" s="32"/>
      <c r="N547" s="32"/>
      <c r="O547" s="32"/>
      <c r="P547" s="32"/>
    </row>
    <row r="548" spans="13:16" x14ac:dyDescent="0.2">
      <c r="M548" s="32"/>
      <c r="N548" s="32"/>
      <c r="O548" s="32"/>
      <c r="P548" s="32"/>
    </row>
    <row r="549" spans="13:16" x14ac:dyDescent="0.2">
      <c r="M549" s="32"/>
      <c r="N549" s="32"/>
      <c r="O549" s="32"/>
      <c r="P549" s="32"/>
    </row>
    <row r="550" spans="13:16" x14ac:dyDescent="0.2">
      <c r="M550" s="32"/>
      <c r="N550" s="32"/>
      <c r="O550" s="32"/>
      <c r="P550" s="32"/>
    </row>
    <row r="551" spans="13:16" x14ac:dyDescent="0.2">
      <c r="M551" s="32"/>
      <c r="N551" s="32"/>
      <c r="O551" s="32"/>
      <c r="P551" s="32"/>
    </row>
    <row r="552" spans="13:16" x14ac:dyDescent="0.2">
      <c r="M552" s="32"/>
      <c r="N552" s="32"/>
      <c r="O552" s="32"/>
      <c r="P552" s="32"/>
    </row>
    <row r="553" spans="13:16" x14ac:dyDescent="0.2">
      <c r="M553" s="32"/>
      <c r="N553" s="32"/>
      <c r="O553" s="32"/>
      <c r="P553" s="32"/>
    </row>
    <row r="554" spans="13:16" x14ac:dyDescent="0.2">
      <c r="M554" s="32"/>
      <c r="N554" s="32"/>
      <c r="O554" s="32"/>
      <c r="P554" s="32"/>
    </row>
    <row r="555" spans="13:16" x14ac:dyDescent="0.2">
      <c r="M555" s="32"/>
      <c r="N555" s="32"/>
      <c r="O555" s="32"/>
      <c r="P555" s="32"/>
    </row>
    <row r="556" spans="13:16" x14ac:dyDescent="0.2">
      <c r="M556" s="32"/>
      <c r="N556" s="32"/>
      <c r="O556" s="32"/>
      <c r="P556" s="32"/>
    </row>
    <row r="557" spans="13:16" x14ac:dyDescent="0.2">
      <c r="M557" s="32"/>
      <c r="N557" s="32"/>
      <c r="O557" s="32"/>
      <c r="P557" s="32"/>
    </row>
    <row r="558" spans="13:16" x14ac:dyDescent="0.2">
      <c r="M558" s="32"/>
      <c r="N558" s="32"/>
      <c r="O558" s="32"/>
      <c r="P558" s="32"/>
    </row>
    <row r="559" spans="13:16" x14ac:dyDescent="0.2">
      <c r="M559" s="32"/>
      <c r="N559" s="32"/>
      <c r="O559" s="32"/>
      <c r="P559" s="32"/>
    </row>
    <row r="560" spans="13:16" x14ac:dyDescent="0.2">
      <c r="M560" s="32"/>
      <c r="N560" s="32"/>
      <c r="O560" s="32"/>
      <c r="P560" s="32"/>
    </row>
    <row r="561" spans="13:16" x14ac:dyDescent="0.2">
      <c r="M561" s="32"/>
      <c r="N561" s="32"/>
      <c r="O561" s="32"/>
      <c r="P561" s="32"/>
    </row>
    <row r="562" spans="13:16" x14ac:dyDescent="0.2">
      <c r="M562" s="32"/>
      <c r="N562" s="32"/>
      <c r="O562" s="32"/>
      <c r="P562" s="32"/>
    </row>
    <row r="563" spans="13:16" x14ac:dyDescent="0.2">
      <c r="M563" s="32"/>
      <c r="N563" s="32"/>
      <c r="O563" s="32"/>
      <c r="P563" s="32"/>
    </row>
    <row r="564" spans="13:16" x14ac:dyDescent="0.2">
      <c r="M564" s="32"/>
      <c r="N564" s="32"/>
      <c r="O564" s="32"/>
      <c r="P564" s="32"/>
    </row>
    <row r="565" spans="13:16" x14ac:dyDescent="0.2">
      <c r="M565" s="32"/>
      <c r="N565" s="32"/>
      <c r="O565" s="32"/>
      <c r="P565" s="32"/>
    </row>
    <row r="566" spans="13:16" x14ac:dyDescent="0.2">
      <c r="M566" s="32"/>
      <c r="N566" s="32"/>
      <c r="O566" s="32"/>
      <c r="P566" s="32"/>
    </row>
    <row r="567" spans="13:16" x14ac:dyDescent="0.2">
      <c r="M567" s="32"/>
      <c r="N567" s="32"/>
      <c r="O567" s="32"/>
      <c r="P567" s="32"/>
    </row>
    <row r="568" spans="13:16" x14ac:dyDescent="0.2">
      <c r="M568" s="32"/>
      <c r="N568" s="32"/>
      <c r="O568" s="32"/>
      <c r="P568" s="32"/>
    </row>
    <row r="569" spans="13:16" x14ac:dyDescent="0.2">
      <c r="M569" s="32"/>
      <c r="N569" s="32"/>
      <c r="O569" s="32"/>
      <c r="P569" s="32"/>
    </row>
    <row r="570" spans="13:16" x14ac:dyDescent="0.2">
      <c r="M570" s="32"/>
      <c r="N570" s="32"/>
      <c r="O570" s="32"/>
      <c r="P570" s="32"/>
    </row>
    <row r="571" spans="13:16" x14ac:dyDescent="0.2">
      <c r="M571" s="32"/>
      <c r="N571" s="32"/>
      <c r="O571" s="32"/>
      <c r="P571" s="32"/>
    </row>
    <row r="572" spans="13:16" x14ac:dyDescent="0.2">
      <c r="M572" s="32"/>
      <c r="N572" s="32"/>
      <c r="O572" s="32"/>
      <c r="P572" s="32"/>
    </row>
    <row r="573" spans="13:16" x14ac:dyDescent="0.2">
      <c r="M573" s="32"/>
      <c r="N573" s="32"/>
      <c r="O573" s="32"/>
      <c r="P573" s="32"/>
    </row>
    <row r="574" spans="13:16" x14ac:dyDescent="0.2">
      <c r="M574" s="32"/>
      <c r="N574" s="32"/>
      <c r="O574" s="32"/>
      <c r="P574" s="32"/>
    </row>
    <row r="575" spans="13:16" x14ac:dyDescent="0.2">
      <c r="M575" s="32"/>
      <c r="N575" s="32"/>
      <c r="O575" s="32"/>
      <c r="P575" s="32"/>
    </row>
    <row r="576" spans="13:16" x14ac:dyDescent="0.2">
      <c r="M576" s="32"/>
      <c r="N576" s="32"/>
      <c r="O576" s="32"/>
      <c r="P576" s="32"/>
    </row>
    <row r="577" spans="13:16" x14ac:dyDescent="0.2">
      <c r="M577" s="32"/>
      <c r="N577" s="32"/>
      <c r="O577" s="32"/>
      <c r="P577" s="32"/>
    </row>
    <row r="578" spans="13:16" x14ac:dyDescent="0.2">
      <c r="M578" s="32"/>
      <c r="N578" s="32"/>
      <c r="O578" s="32"/>
      <c r="P578" s="32"/>
    </row>
    <row r="579" spans="13:16" x14ac:dyDescent="0.2">
      <c r="M579" s="32"/>
      <c r="N579" s="32"/>
      <c r="O579" s="32"/>
      <c r="P579" s="32"/>
    </row>
    <row r="580" spans="13:16" x14ac:dyDescent="0.2">
      <c r="M580" s="32"/>
      <c r="N580" s="32"/>
      <c r="O580" s="32"/>
      <c r="P580" s="32"/>
    </row>
    <row r="581" spans="13:16" x14ac:dyDescent="0.2">
      <c r="M581" s="32"/>
      <c r="N581" s="32"/>
      <c r="O581" s="32"/>
      <c r="P581" s="32"/>
    </row>
    <row r="582" spans="13:16" x14ac:dyDescent="0.2">
      <c r="M582" s="32"/>
      <c r="N582" s="32"/>
      <c r="O582" s="32"/>
      <c r="P582" s="32"/>
    </row>
    <row r="583" spans="13:16" x14ac:dyDescent="0.2">
      <c r="M583" s="32"/>
      <c r="N583" s="32"/>
      <c r="O583" s="32"/>
      <c r="P583" s="32"/>
    </row>
    <row r="584" spans="13:16" x14ac:dyDescent="0.2">
      <c r="M584" s="32"/>
      <c r="N584" s="32"/>
      <c r="O584" s="32"/>
      <c r="P584" s="32"/>
    </row>
    <row r="585" spans="13:16" x14ac:dyDescent="0.2">
      <c r="M585" s="32"/>
      <c r="N585" s="32"/>
      <c r="O585" s="32"/>
      <c r="P585" s="32"/>
    </row>
    <row r="586" spans="13:16" x14ac:dyDescent="0.2">
      <c r="M586" s="32"/>
      <c r="N586" s="32"/>
      <c r="O586" s="32"/>
      <c r="P586" s="32"/>
    </row>
    <row r="587" spans="13:16" x14ac:dyDescent="0.2">
      <c r="M587" s="32"/>
      <c r="N587" s="32"/>
      <c r="O587" s="32"/>
      <c r="P587" s="32"/>
    </row>
    <row r="588" spans="13:16" x14ac:dyDescent="0.2">
      <c r="M588" s="32"/>
      <c r="N588" s="32"/>
      <c r="O588" s="32"/>
      <c r="P588" s="32"/>
    </row>
    <row r="589" spans="13:16" x14ac:dyDescent="0.2">
      <c r="M589" s="32"/>
      <c r="N589" s="32"/>
      <c r="O589" s="32"/>
      <c r="P589" s="32"/>
    </row>
    <row r="590" spans="13:16" x14ac:dyDescent="0.2">
      <c r="M590" s="32"/>
      <c r="N590" s="32"/>
      <c r="O590" s="32"/>
      <c r="P590" s="32"/>
    </row>
    <row r="591" spans="13:16" x14ac:dyDescent="0.2">
      <c r="M591" s="32"/>
      <c r="N591" s="32"/>
      <c r="O591" s="32"/>
      <c r="P591" s="32"/>
    </row>
    <row r="592" spans="13:16" x14ac:dyDescent="0.2">
      <c r="M592" s="32"/>
      <c r="N592" s="32"/>
      <c r="O592" s="32"/>
      <c r="P592" s="32"/>
    </row>
    <row r="593" spans="13:16" x14ac:dyDescent="0.2">
      <c r="M593" s="32"/>
      <c r="N593" s="32"/>
      <c r="O593" s="32"/>
      <c r="P593" s="32"/>
    </row>
    <row r="594" spans="13:16" x14ac:dyDescent="0.2">
      <c r="M594" s="32"/>
      <c r="N594" s="32"/>
      <c r="O594" s="32"/>
      <c r="P594" s="32"/>
    </row>
    <row r="595" spans="13:16" x14ac:dyDescent="0.2">
      <c r="M595" s="32"/>
      <c r="N595" s="32"/>
      <c r="O595" s="32"/>
      <c r="P595" s="32"/>
    </row>
    <row r="596" spans="13:16" x14ac:dyDescent="0.2">
      <c r="M596" s="32"/>
      <c r="N596" s="32"/>
      <c r="O596" s="32"/>
      <c r="P596" s="32"/>
    </row>
    <row r="597" spans="13:16" x14ac:dyDescent="0.2">
      <c r="M597" s="32"/>
      <c r="N597" s="32"/>
      <c r="O597" s="32"/>
      <c r="P597" s="32"/>
    </row>
    <row r="598" spans="13:16" x14ac:dyDescent="0.2">
      <c r="M598" s="32"/>
      <c r="N598" s="32"/>
      <c r="O598" s="32"/>
      <c r="P598" s="32"/>
    </row>
    <row r="599" spans="13:16" x14ac:dyDescent="0.2">
      <c r="M599" s="32"/>
      <c r="N599" s="32"/>
      <c r="O599" s="32"/>
      <c r="P599" s="32"/>
    </row>
    <row r="600" spans="13:16" x14ac:dyDescent="0.2">
      <c r="M600" s="32"/>
      <c r="N600" s="32"/>
      <c r="O600" s="32"/>
      <c r="P600" s="32"/>
    </row>
    <row r="601" spans="13:16" x14ac:dyDescent="0.2">
      <c r="M601" s="32"/>
      <c r="N601" s="32"/>
      <c r="O601" s="32"/>
      <c r="P601" s="32"/>
    </row>
    <row r="602" spans="13:16" x14ac:dyDescent="0.2">
      <c r="M602" s="32"/>
      <c r="N602" s="32"/>
      <c r="O602" s="32"/>
      <c r="P602" s="32"/>
    </row>
    <row r="603" spans="13:16" x14ac:dyDescent="0.2">
      <c r="M603" s="32"/>
      <c r="N603" s="32"/>
      <c r="O603" s="32"/>
      <c r="P603" s="32"/>
    </row>
    <row r="604" spans="13:16" x14ac:dyDescent="0.2">
      <c r="M604" s="32"/>
      <c r="N604" s="32"/>
      <c r="O604" s="32"/>
      <c r="P604" s="32"/>
    </row>
    <row r="605" spans="13:16" x14ac:dyDescent="0.2">
      <c r="M605" s="32"/>
      <c r="N605" s="32"/>
      <c r="O605" s="32"/>
      <c r="P605" s="32"/>
    </row>
    <row r="606" spans="13:16" x14ac:dyDescent="0.2">
      <c r="M606" s="32"/>
      <c r="N606" s="32"/>
      <c r="O606" s="32"/>
      <c r="P606" s="32"/>
    </row>
    <row r="607" spans="13:16" x14ac:dyDescent="0.2">
      <c r="M607" s="32"/>
      <c r="N607" s="32"/>
      <c r="O607" s="32"/>
      <c r="P607" s="32"/>
    </row>
    <row r="608" spans="13:16" x14ac:dyDescent="0.2">
      <c r="M608" s="32"/>
      <c r="N608" s="32"/>
      <c r="O608" s="32"/>
      <c r="P608" s="32"/>
    </row>
    <row r="609" spans="13:16" x14ac:dyDescent="0.2">
      <c r="M609" s="32"/>
      <c r="N609" s="32"/>
      <c r="O609" s="32"/>
      <c r="P609" s="32"/>
    </row>
    <row r="610" spans="13:16" x14ac:dyDescent="0.2">
      <c r="M610" s="32"/>
      <c r="N610" s="32"/>
      <c r="O610" s="32"/>
      <c r="P610" s="32"/>
    </row>
    <row r="611" spans="13:16" x14ac:dyDescent="0.2">
      <c r="M611" s="32"/>
      <c r="N611" s="32"/>
      <c r="O611" s="32"/>
      <c r="P611" s="32"/>
    </row>
    <row r="612" spans="13:16" x14ac:dyDescent="0.2">
      <c r="M612" s="32"/>
      <c r="N612" s="32"/>
      <c r="O612" s="32"/>
      <c r="P612" s="32"/>
    </row>
    <row r="613" spans="13:16" x14ac:dyDescent="0.2">
      <c r="M613" s="32"/>
      <c r="N613" s="32"/>
      <c r="O613" s="32"/>
      <c r="P613" s="32"/>
    </row>
    <row r="614" spans="13:16" x14ac:dyDescent="0.2">
      <c r="M614" s="32"/>
      <c r="N614" s="32"/>
      <c r="O614" s="32"/>
      <c r="P614" s="32"/>
    </row>
  </sheetData>
  <sheetProtection algorithmName="SHA-512" hashValue="RYdFVKDX1PYmH7pIy+a+tVPlhAzpszo/Uhp4oZgUEBHikTBk7GzOiDfwywbgfNQNhsoL8/IFdj9hGuJ7MOipYQ==" saltValue="euyd3iFSo7gGo8qf0X51YQ==" spinCount="100000" sheet="1" sort="0" autoFilter="0" pivotTables="0"/>
  <phoneticPr fontId="6" type="noConversion"/>
  <dataValidations disablePrompts="1" count="3">
    <dataValidation type="textLength" operator="lessThanOrEqual" allowBlank="1" showInputMessage="1" showErrorMessage="1" errorTitle="Activity Depth data entry error" error="Field Length exceeded:  refer to &quot;Result Columns&quot; tab to determine the maximum field length" sqref="I1:J1" xr:uid="{BBB07AAD-8AAE-4186-BAC7-C96FEBF77F49}">
      <formula1>ActDepthMax</formula1>
    </dataValidation>
    <dataValidation type="textLength" operator="lessThanOrEqual" showInputMessage="1" showErrorMessage="1" errorTitle="Activity ID data entry error:" error="Field Length exceeded:  refer to &quot;Result Columns&quot; tab to determine the maximum field length" sqref="B1" xr:uid="{31FB0567-0496-4197-BD3D-5E2ECC6D184A}">
      <formula1>50</formula1>
    </dataValidation>
    <dataValidation operator="lessThanOrEqual" showErrorMessage="1" errorTitle="Procedure data entry error" error="Field Length exceeded:  refer to &quot;Result Columns&quot; tab to determine the maximum field length" sqref="G1:H1 K1:L1" xr:uid="{28C12534-3F77-4336-B8FF-112B302C7442}"/>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BF59-C8DD-4D15-A60D-DC62F5CF57DB}">
  <sheetPr codeName="Sheet4"/>
  <dimension ref="A1:L120"/>
  <sheetViews>
    <sheetView zoomScaleNormal="100" workbookViewId="0">
      <selection activeCell="D27" sqref="D27"/>
    </sheetView>
  </sheetViews>
  <sheetFormatPr defaultRowHeight="12.75" x14ac:dyDescent="0.2"/>
  <cols>
    <col min="1" max="1" width="30.140625" customWidth="1"/>
    <col min="2" max="2" width="13.85546875" customWidth="1"/>
    <col min="3" max="3" width="16.7109375" customWidth="1"/>
    <col min="4" max="6" width="24.5703125" customWidth="1"/>
    <col min="7" max="7" width="27.7109375" customWidth="1"/>
    <col min="8" max="8" width="13.140625" customWidth="1"/>
    <col min="9" max="9" width="17.7109375" customWidth="1"/>
    <col min="10" max="10" width="25.28515625" customWidth="1"/>
    <col min="11" max="11" width="26.42578125" customWidth="1"/>
    <col min="12" max="12" width="17.42578125" customWidth="1"/>
  </cols>
  <sheetData>
    <row r="1" spans="1:12" ht="25.5" x14ac:dyDescent="0.2">
      <c r="A1" s="44" t="s">
        <v>377</v>
      </c>
      <c r="B1" s="29" t="s">
        <v>175</v>
      </c>
      <c r="C1" s="43" t="s">
        <v>348</v>
      </c>
      <c r="D1" s="44" t="s">
        <v>349</v>
      </c>
      <c r="E1" s="44" t="s">
        <v>350</v>
      </c>
      <c r="F1" s="44" t="s">
        <v>351</v>
      </c>
      <c r="G1" s="44" t="s">
        <v>378</v>
      </c>
      <c r="H1" s="29" t="s">
        <v>175</v>
      </c>
      <c r="I1" s="43" t="s">
        <v>348</v>
      </c>
      <c r="J1" s="44" t="s">
        <v>349</v>
      </c>
      <c r="K1" s="44" t="s">
        <v>350</v>
      </c>
      <c r="L1" s="44" t="s">
        <v>351</v>
      </c>
    </row>
    <row r="2" spans="1:12" x14ac:dyDescent="0.2">
      <c r="A2" s="52" t="s">
        <v>67</v>
      </c>
      <c r="B2" s="53" t="s">
        <v>159</v>
      </c>
      <c r="C2" s="53">
        <v>0.7</v>
      </c>
      <c r="D2" s="53">
        <v>0.3</v>
      </c>
      <c r="E2" s="29"/>
      <c r="F2" s="29"/>
      <c r="G2" s="53" t="s">
        <v>50</v>
      </c>
      <c r="H2" s="53" t="s">
        <v>158</v>
      </c>
      <c r="I2" s="53">
        <v>4</v>
      </c>
      <c r="J2" s="53">
        <v>4</v>
      </c>
    </row>
    <row r="3" spans="1:12" x14ac:dyDescent="0.2">
      <c r="A3" s="54" t="s">
        <v>68</v>
      </c>
      <c r="B3" s="53" t="s">
        <v>159</v>
      </c>
      <c r="C3" s="53">
        <v>0.2</v>
      </c>
      <c r="D3" s="53">
        <v>0.2</v>
      </c>
      <c r="E3" s="29"/>
      <c r="F3" s="29"/>
      <c r="G3" s="45"/>
      <c r="H3" s="46"/>
      <c r="I3" s="29"/>
      <c r="J3" s="29"/>
      <c r="K3" s="19"/>
      <c r="L3" s="19"/>
    </row>
    <row r="4" spans="1:12" x14ac:dyDescent="0.2">
      <c r="A4" s="54" t="s">
        <v>69</v>
      </c>
      <c r="B4" s="53" t="s">
        <v>159</v>
      </c>
      <c r="C4" s="53">
        <v>3</v>
      </c>
      <c r="D4" s="53">
        <v>3</v>
      </c>
      <c r="E4" s="29"/>
      <c r="F4" s="29"/>
      <c r="G4" s="46"/>
      <c r="H4" s="19"/>
      <c r="K4" s="19"/>
      <c r="L4" s="19"/>
    </row>
    <row r="5" spans="1:12" x14ac:dyDescent="0.2">
      <c r="A5" s="54" t="s">
        <v>44</v>
      </c>
      <c r="B5" s="53" t="s">
        <v>159</v>
      </c>
      <c r="C5" s="53">
        <v>2.2000000000000002</v>
      </c>
      <c r="D5" s="53">
        <v>2.2000000000000002</v>
      </c>
      <c r="E5" s="29"/>
      <c r="F5" s="29"/>
      <c r="G5" s="46"/>
      <c r="H5" s="19"/>
      <c r="K5" s="19"/>
      <c r="L5" s="19"/>
    </row>
    <row r="6" spans="1:12" x14ac:dyDescent="0.2">
      <c r="A6" s="54" t="s">
        <v>70</v>
      </c>
      <c r="B6" s="53" t="s">
        <v>159</v>
      </c>
      <c r="C6" s="53">
        <v>0.1</v>
      </c>
      <c r="D6" s="53">
        <v>0.1</v>
      </c>
      <c r="E6" s="29"/>
      <c r="F6" s="29"/>
      <c r="G6" s="46"/>
      <c r="H6" s="34"/>
      <c r="K6" s="19"/>
      <c r="L6" s="19"/>
    </row>
    <row r="7" spans="1:12" x14ac:dyDescent="0.2">
      <c r="A7" s="54" t="s">
        <v>71</v>
      </c>
      <c r="B7" s="53" t="s">
        <v>159</v>
      </c>
      <c r="C7" s="53">
        <v>7</v>
      </c>
      <c r="D7" s="53">
        <v>3</v>
      </c>
      <c r="E7" s="29"/>
      <c r="F7" s="29"/>
      <c r="G7" s="46"/>
      <c r="H7" s="34"/>
      <c r="K7" s="19"/>
      <c r="L7" s="19"/>
    </row>
    <row r="8" spans="1:12" x14ac:dyDescent="0.2">
      <c r="A8" s="54" t="s">
        <v>72</v>
      </c>
      <c r="B8" s="53" t="s">
        <v>159</v>
      </c>
      <c r="C8" s="53">
        <v>15</v>
      </c>
      <c r="D8" s="53">
        <v>15</v>
      </c>
      <c r="E8" s="29"/>
      <c r="F8" s="29"/>
      <c r="G8" s="46"/>
      <c r="H8" s="34"/>
      <c r="K8" s="19"/>
      <c r="L8" s="19"/>
    </row>
    <row r="9" spans="1:12" x14ac:dyDescent="0.2">
      <c r="A9" s="54" t="s">
        <v>155</v>
      </c>
      <c r="B9" s="53" t="s">
        <v>159</v>
      </c>
      <c r="C9" s="53">
        <v>7</v>
      </c>
      <c r="D9" s="53">
        <v>7</v>
      </c>
      <c r="E9" s="29"/>
      <c r="F9" s="29"/>
      <c r="G9" s="46"/>
      <c r="H9" s="34"/>
      <c r="K9" s="19"/>
      <c r="L9" s="19"/>
    </row>
    <row r="10" spans="1:12" x14ac:dyDescent="0.2">
      <c r="A10" s="54" t="s">
        <v>157</v>
      </c>
      <c r="B10" s="53" t="s">
        <v>159</v>
      </c>
      <c r="C10" s="53">
        <v>0.03</v>
      </c>
      <c r="D10" s="53">
        <v>0.03</v>
      </c>
      <c r="E10" s="29"/>
      <c r="F10" s="29"/>
      <c r="G10" s="46"/>
      <c r="H10" s="34"/>
      <c r="K10" s="19"/>
      <c r="L10" s="19"/>
    </row>
    <row r="11" spans="1:12" x14ac:dyDescent="0.2">
      <c r="A11" s="54" t="s">
        <v>65</v>
      </c>
      <c r="B11" s="53" t="s">
        <v>159</v>
      </c>
      <c r="C11" s="53">
        <v>1</v>
      </c>
      <c r="D11" s="53">
        <v>0.7</v>
      </c>
      <c r="E11" s="29"/>
      <c r="F11" s="29"/>
      <c r="G11" s="46"/>
      <c r="H11" s="19"/>
      <c r="K11" s="19"/>
      <c r="L11" s="19"/>
    </row>
    <row r="12" spans="1:12" x14ac:dyDescent="0.2">
      <c r="A12" s="54" t="s">
        <v>138</v>
      </c>
      <c r="B12" s="53" t="s">
        <v>160</v>
      </c>
      <c r="C12" s="53">
        <v>35</v>
      </c>
      <c r="D12" s="53">
        <v>35</v>
      </c>
      <c r="E12" s="29"/>
      <c r="F12" s="29"/>
      <c r="G12" s="19"/>
      <c r="H12" s="19"/>
      <c r="K12" s="19"/>
      <c r="L12" s="19"/>
    </row>
    <row r="13" spans="1:12" x14ac:dyDescent="0.2">
      <c r="A13" s="32"/>
      <c r="B13" s="19"/>
      <c r="E13" s="19"/>
      <c r="F13" s="19"/>
      <c r="G13" s="19"/>
      <c r="H13" s="19"/>
      <c r="K13" s="19"/>
      <c r="L13" s="19"/>
    </row>
    <row r="14" spans="1:12" x14ac:dyDescent="0.2">
      <c r="A14" s="32"/>
      <c r="B14" s="19"/>
      <c r="E14" s="19"/>
      <c r="F14" s="19"/>
      <c r="G14" s="19"/>
      <c r="H14" s="46"/>
      <c r="K14" s="19"/>
      <c r="L14" s="19"/>
    </row>
    <row r="15" spans="1:12" x14ac:dyDescent="0.2">
      <c r="A15" s="32"/>
      <c r="B15" s="19"/>
      <c r="E15" s="19"/>
      <c r="F15" s="19"/>
      <c r="G15" s="46"/>
      <c r="H15" s="46"/>
      <c r="K15" s="19"/>
      <c r="L15" s="19"/>
    </row>
    <row r="16" spans="1:12" x14ac:dyDescent="0.2">
      <c r="A16" s="32"/>
      <c r="B16" s="19"/>
      <c r="E16" s="19"/>
      <c r="F16" s="19"/>
      <c r="G16" s="19"/>
      <c r="H16" s="34"/>
      <c r="K16" s="19"/>
      <c r="L16" s="19"/>
    </row>
    <row r="17" spans="1:12" x14ac:dyDescent="0.2">
      <c r="A17" s="32"/>
      <c r="B17" s="19"/>
      <c r="E17" s="19"/>
      <c r="F17" s="19"/>
      <c r="G17" s="19"/>
      <c r="H17" s="34"/>
      <c r="K17" s="19"/>
      <c r="L17" s="19"/>
    </row>
    <row r="18" spans="1:12" x14ac:dyDescent="0.2">
      <c r="A18" s="32"/>
      <c r="B18" s="19"/>
      <c r="E18" s="19"/>
      <c r="F18" s="19"/>
      <c r="G18" s="19"/>
      <c r="H18" s="34"/>
      <c r="K18" s="19"/>
      <c r="L18" s="19"/>
    </row>
    <row r="19" spans="1:12" x14ac:dyDescent="0.2">
      <c r="A19" s="32"/>
      <c r="B19" s="19"/>
      <c r="E19" s="19"/>
      <c r="F19" s="19"/>
      <c r="G19" s="19"/>
      <c r="H19" s="34"/>
      <c r="K19" s="19"/>
      <c r="L19" s="19"/>
    </row>
    <row r="20" spans="1:12" x14ac:dyDescent="0.2">
      <c r="A20" s="32"/>
      <c r="B20" s="19"/>
      <c r="E20" s="19"/>
      <c r="F20" s="19"/>
      <c r="G20" s="19"/>
      <c r="H20" s="34"/>
      <c r="K20" s="19"/>
      <c r="L20" s="19"/>
    </row>
    <row r="21" spans="1:12" x14ac:dyDescent="0.2">
      <c r="A21" s="32"/>
      <c r="B21" s="19"/>
      <c r="E21" s="19"/>
      <c r="F21" s="19"/>
      <c r="G21" s="19"/>
      <c r="H21" s="34"/>
      <c r="K21" s="19"/>
      <c r="L21" s="19"/>
    </row>
    <row r="22" spans="1:12" x14ac:dyDescent="0.2">
      <c r="A22" s="32"/>
      <c r="B22" s="19"/>
      <c r="E22" s="19"/>
      <c r="F22" s="19"/>
      <c r="G22" s="19"/>
      <c r="H22" s="34"/>
      <c r="K22" s="19"/>
      <c r="L22" s="19"/>
    </row>
    <row r="23" spans="1:12" x14ac:dyDescent="0.2">
      <c r="A23" s="19"/>
      <c r="B23" s="19"/>
      <c r="E23" s="19"/>
      <c r="F23" s="19"/>
      <c r="G23" s="19"/>
      <c r="H23" s="38"/>
      <c r="K23" s="19"/>
      <c r="L23" s="19"/>
    </row>
    <row r="24" spans="1:12" x14ac:dyDescent="0.2">
      <c r="A24" s="19"/>
      <c r="B24" s="19"/>
      <c r="E24" s="19"/>
      <c r="F24" s="19"/>
      <c r="G24" s="19"/>
      <c r="H24" s="38"/>
      <c r="K24" s="19"/>
      <c r="L24" s="19"/>
    </row>
    <row r="25" spans="1:12" x14ac:dyDescent="0.2">
      <c r="A25" s="19"/>
      <c r="B25" s="19"/>
      <c r="E25" s="19"/>
      <c r="F25" s="19"/>
      <c r="G25" s="19"/>
      <c r="H25" s="38"/>
      <c r="K25" s="19"/>
      <c r="L25" s="19"/>
    </row>
    <row r="26" spans="1:12" x14ac:dyDescent="0.2">
      <c r="A26" s="19"/>
      <c r="B26" s="19"/>
      <c r="E26" s="19"/>
      <c r="F26" s="19"/>
      <c r="G26" s="19"/>
      <c r="H26" s="38"/>
      <c r="K26" s="19"/>
      <c r="L26" s="19"/>
    </row>
    <row r="27" spans="1:12" x14ac:dyDescent="0.2">
      <c r="A27" s="19"/>
      <c r="B27" s="19"/>
      <c r="E27" s="19"/>
      <c r="F27" s="19"/>
      <c r="G27" s="19"/>
      <c r="H27" s="38"/>
      <c r="K27" s="19"/>
      <c r="L27" s="19"/>
    </row>
    <row r="28" spans="1:12" x14ac:dyDescent="0.2">
      <c r="A28" s="19"/>
      <c r="B28" s="19"/>
      <c r="E28" s="19"/>
      <c r="F28" s="19"/>
      <c r="G28" s="19"/>
      <c r="H28" s="38"/>
      <c r="K28" s="19"/>
      <c r="L28" s="19"/>
    </row>
    <row r="29" spans="1:12" x14ac:dyDescent="0.2">
      <c r="A29" s="19"/>
      <c r="B29" s="19"/>
      <c r="E29" s="19"/>
      <c r="F29" s="19"/>
      <c r="G29" s="19"/>
      <c r="H29" s="38"/>
      <c r="K29" s="19"/>
      <c r="L29" s="19"/>
    </row>
    <row r="30" spans="1:12" x14ac:dyDescent="0.2">
      <c r="A30" s="19"/>
      <c r="B30" s="19"/>
      <c r="E30" s="19"/>
      <c r="F30" s="19"/>
      <c r="G30" s="19"/>
      <c r="H30" s="38"/>
      <c r="K30" s="19"/>
      <c r="L30" s="19"/>
    </row>
    <row r="31" spans="1:12" x14ac:dyDescent="0.2">
      <c r="A31" s="19"/>
      <c r="B31" s="19"/>
      <c r="E31" s="19"/>
      <c r="F31" s="19"/>
      <c r="G31" s="19"/>
      <c r="H31" s="19"/>
      <c r="K31" s="19"/>
      <c r="L31" s="19"/>
    </row>
    <row r="32" spans="1:12" x14ac:dyDescent="0.2">
      <c r="A32" s="19"/>
      <c r="B32" s="19"/>
      <c r="E32" s="19"/>
      <c r="F32" s="19"/>
      <c r="G32" s="19"/>
      <c r="H32" s="19"/>
      <c r="K32" s="19"/>
      <c r="L32" s="19"/>
    </row>
    <row r="33" spans="1:12" x14ac:dyDescent="0.2">
      <c r="A33" s="19"/>
      <c r="B33" s="19"/>
      <c r="E33" s="19"/>
      <c r="F33" s="19"/>
      <c r="G33" s="19"/>
      <c r="H33" s="19"/>
      <c r="K33" s="19"/>
      <c r="L33" s="19"/>
    </row>
    <row r="34" spans="1:12" x14ac:dyDescent="0.2">
      <c r="A34" s="19"/>
      <c r="B34" s="19"/>
      <c r="E34" s="19"/>
      <c r="F34" s="19"/>
      <c r="G34" s="19"/>
      <c r="H34" s="19"/>
      <c r="K34" s="19"/>
      <c r="L34" s="19"/>
    </row>
    <row r="35" spans="1:12" x14ac:dyDescent="0.2">
      <c r="A35" s="19"/>
      <c r="B35" s="19"/>
      <c r="E35" s="19"/>
      <c r="F35" s="19"/>
      <c r="G35" s="19"/>
      <c r="H35" s="19"/>
      <c r="K35" s="19"/>
      <c r="L35" s="19"/>
    </row>
    <row r="36" spans="1:12" x14ac:dyDescent="0.2">
      <c r="A36" s="19"/>
      <c r="B36" s="19"/>
      <c r="E36" s="19"/>
      <c r="F36" s="19"/>
      <c r="G36" s="19"/>
      <c r="H36" s="19"/>
      <c r="K36" s="19"/>
      <c r="L36" s="19"/>
    </row>
    <row r="37" spans="1:12" x14ac:dyDescent="0.2">
      <c r="A37" s="19"/>
      <c r="B37" s="19"/>
      <c r="E37" s="19"/>
      <c r="F37" s="19"/>
      <c r="G37" s="19"/>
      <c r="H37" s="19"/>
      <c r="K37" s="19"/>
      <c r="L37" s="19"/>
    </row>
    <row r="38" spans="1:12" x14ac:dyDescent="0.2">
      <c r="A38" s="19"/>
      <c r="B38" s="19"/>
      <c r="E38" s="19"/>
      <c r="F38" s="19"/>
      <c r="G38" s="19"/>
      <c r="H38" s="19"/>
      <c r="K38" s="19"/>
      <c r="L38" s="19"/>
    </row>
    <row r="39" spans="1:12" x14ac:dyDescent="0.2">
      <c r="A39" s="19"/>
      <c r="B39" s="19"/>
      <c r="E39" s="19"/>
      <c r="F39" s="19"/>
      <c r="G39" s="19"/>
      <c r="H39" s="19"/>
      <c r="K39" s="19"/>
      <c r="L39" s="19"/>
    </row>
    <row r="40" spans="1:12" x14ac:dyDescent="0.2">
      <c r="A40" s="19"/>
      <c r="B40" s="19"/>
      <c r="E40" s="19"/>
      <c r="F40" s="19"/>
      <c r="G40" s="19"/>
      <c r="H40" s="19"/>
      <c r="K40" s="19"/>
      <c r="L40" s="19"/>
    </row>
    <row r="41" spans="1:12" x14ac:dyDescent="0.2">
      <c r="A41" s="19"/>
      <c r="B41" s="19"/>
      <c r="E41" s="19"/>
      <c r="F41" s="19"/>
      <c r="G41" s="19"/>
      <c r="H41" s="19"/>
      <c r="K41" s="19"/>
      <c r="L41" s="19"/>
    </row>
    <row r="42" spans="1:12" x14ac:dyDescent="0.2">
      <c r="A42" s="19"/>
      <c r="B42" s="19"/>
      <c r="E42" s="19"/>
      <c r="F42" s="19"/>
      <c r="G42" s="19"/>
      <c r="H42" s="19"/>
      <c r="K42" s="19"/>
      <c r="L42" s="19"/>
    </row>
    <row r="43" spans="1:12" x14ac:dyDescent="0.2">
      <c r="A43" s="19"/>
      <c r="B43" s="19"/>
      <c r="E43" s="19"/>
      <c r="F43" s="19"/>
      <c r="G43" s="19"/>
      <c r="H43" s="19"/>
      <c r="K43" s="19"/>
      <c r="L43" s="19"/>
    </row>
    <row r="44" spans="1:12" x14ac:dyDescent="0.2">
      <c r="A44" s="19"/>
      <c r="B44" s="19"/>
      <c r="E44" s="19"/>
      <c r="F44" s="19"/>
      <c r="G44" s="19"/>
      <c r="H44" s="19"/>
      <c r="K44" s="19"/>
      <c r="L44" s="19"/>
    </row>
    <row r="45" spans="1:12" x14ac:dyDescent="0.2">
      <c r="A45" s="19"/>
      <c r="B45" s="19"/>
      <c r="E45" s="19"/>
      <c r="F45" s="19"/>
      <c r="G45" s="19"/>
      <c r="H45" s="19"/>
      <c r="K45" s="19"/>
      <c r="L45" s="19"/>
    </row>
    <row r="46" spans="1:12" x14ac:dyDescent="0.2">
      <c r="A46" s="19"/>
      <c r="B46" s="19"/>
      <c r="E46" s="19"/>
      <c r="F46" s="19"/>
      <c r="G46" s="19"/>
      <c r="H46" s="19"/>
      <c r="K46" s="19"/>
      <c r="L46" s="19"/>
    </row>
    <row r="47" spans="1:12" x14ac:dyDescent="0.2">
      <c r="A47" s="19"/>
      <c r="B47" s="19"/>
      <c r="E47" s="19"/>
      <c r="F47" s="19"/>
      <c r="G47" s="19"/>
      <c r="H47" s="19"/>
      <c r="K47" s="19"/>
      <c r="L47" s="19"/>
    </row>
    <row r="48" spans="1:12" x14ac:dyDescent="0.2">
      <c r="A48" s="19"/>
      <c r="B48" s="19"/>
      <c r="E48" s="19"/>
      <c r="F48" s="19"/>
      <c r="G48" s="19"/>
      <c r="H48" s="19"/>
      <c r="K48" s="19"/>
      <c r="L48" s="19"/>
    </row>
    <row r="49" spans="1:12" x14ac:dyDescent="0.2">
      <c r="A49" s="19"/>
      <c r="B49" s="19"/>
      <c r="E49" s="19"/>
      <c r="F49" s="19"/>
      <c r="G49" s="19"/>
      <c r="H49" s="19"/>
      <c r="K49" s="19"/>
      <c r="L49" s="19"/>
    </row>
    <row r="50" spans="1:12" x14ac:dyDescent="0.2">
      <c r="A50" s="19"/>
      <c r="B50" s="19"/>
      <c r="E50" s="19"/>
      <c r="F50" s="19"/>
      <c r="G50" s="19"/>
      <c r="H50" s="19"/>
      <c r="K50" s="19"/>
      <c r="L50" s="19"/>
    </row>
    <row r="51" spans="1:12" x14ac:dyDescent="0.2">
      <c r="A51" s="19"/>
      <c r="B51" s="19"/>
      <c r="C51" s="19"/>
      <c r="D51" s="19"/>
      <c r="E51" s="19"/>
      <c r="F51" s="19"/>
      <c r="G51" s="19"/>
      <c r="H51" s="19"/>
      <c r="K51" s="19"/>
      <c r="L51" s="19"/>
    </row>
    <row r="52" spans="1:12" x14ac:dyDescent="0.2">
      <c r="A52" s="19"/>
      <c r="B52" s="19"/>
      <c r="C52" s="19"/>
      <c r="D52" s="19"/>
      <c r="E52" s="19"/>
      <c r="F52" s="19"/>
      <c r="G52" s="19"/>
      <c r="H52" s="19"/>
      <c r="K52" s="19"/>
      <c r="L52" s="19"/>
    </row>
    <row r="53" spans="1:12" x14ac:dyDescent="0.2">
      <c r="A53" s="19"/>
      <c r="B53" s="19"/>
      <c r="C53" s="19"/>
      <c r="D53" s="19"/>
      <c r="E53" s="19"/>
      <c r="F53" s="19"/>
      <c r="G53" s="19"/>
      <c r="H53" s="19"/>
      <c r="K53" s="19"/>
      <c r="L53" s="19"/>
    </row>
    <row r="54" spans="1:12" x14ac:dyDescent="0.2">
      <c r="A54" s="19"/>
      <c r="B54" s="19"/>
      <c r="C54" s="19"/>
      <c r="D54" s="19"/>
      <c r="E54" s="19"/>
      <c r="F54" s="19"/>
      <c r="G54" s="19"/>
      <c r="H54" s="19"/>
      <c r="K54" s="19"/>
      <c r="L54" s="19"/>
    </row>
    <row r="55" spans="1:12" x14ac:dyDescent="0.2">
      <c r="A55" s="19"/>
      <c r="B55" s="19"/>
      <c r="C55" s="19"/>
      <c r="D55" s="19"/>
      <c r="E55" s="19"/>
      <c r="F55" s="19"/>
      <c r="G55" s="19"/>
      <c r="H55" s="19"/>
      <c r="K55" s="19"/>
      <c r="L55" s="19"/>
    </row>
    <row r="56" spans="1:12" x14ac:dyDescent="0.2">
      <c r="A56" s="19"/>
      <c r="B56" s="19"/>
      <c r="C56" s="19"/>
      <c r="D56" s="19"/>
      <c r="E56" s="19"/>
      <c r="F56" s="19"/>
      <c r="G56" s="19"/>
      <c r="H56" s="19"/>
      <c r="K56" s="19"/>
      <c r="L56" s="19"/>
    </row>
    <row r="57" spans="1:12" x14ac:dyDescent="0.2">
      <c r="A57" s="19"/>
      <c r="B57" s="19"/>
      <c r="C57" s="19"/>
      <c r="D57" s="19"/>
      <c r="E57" s="19"/>
      <c r="F57" s="19"/>
      <c r="G57" s="19"/>
      <c r="H57" s="19"/>
      <c r="K57" s="19"/>
      <c r="L57" s="19"/>
    </row>
    <row r="58" spans="1:12" x14ac:dyDescent="0.2">
      <c r="A58" s="19"/>
      <c r="B58" s="19"/>
      <c r="C58" s="19"/>
      <c r="D58" s="19"/>
      <c r="E58" s="19"/>
      <c r="F58" s="19"/>
      <c r="G58" s="19"/>
      <c r="H58" s="19"/>
      <c r="K58" s="19"/>
      <c r="L58" s="19"/>
    </row>
    <row r="59" spans="1:12" x14ac:dyDescent="0.2">
      <c r="A59" s="19"/>
      <c r="B59" s="19"/>
      <c r="C59" s="19"/>
      <c r="D59" s="19"/>
      <c r="E59" s="19"/>
      <c r="F59" s="19"/>
      <c r="G59" s="19"/>
      <c r="H59" s="19"/>
      <c r="K59" s="19"/>
      <c r="L59" s="19"/>
    </row>
    <row r="60" spans="1:12" x14ac:dyDescent="0.2">
      <c r="A60" s="19"/>
      <c r="B60" s="19"/>
      <c r="C60" s="19"/>
      <c r="D60" s="19"/>
      <c r="E60" s="19"/>
      <c r="F60" s="19"/>
      <c r="G60" s="19"/>
      <c r="H60" s="19"/>
      <c r="I60" s="19"/>
      <c r="J60" s="19"/>
      <c r="K60" s="19"/>
      <c r="L60" s="19"/>
    </row>
    <row r="61" spans="1:12" x14ac:dyDescent="0.2">
      <c r="A61" s="19"/>
      <c r="B61" s="19"/>
      <c r="C61" s="19"/>
      <c r="D61" s="19"/>
      <c r="E61" s="19"/>
      <c r="F61" s="19"/>
      <c r="G61" s="19"/>
      <c r="H61" s="19"/>
      <c r="I61" s="19"/>
      <c r="J61" s="19"/>
      <c r="K61" s="19"/>
      <c r="L61" s="19"/>
    </row>
    <row r="62" spans="1:12" x14ac:dyDescent="0.2">
      <c r="A62" s="19"/>
      <c r="B62" s="19"/>
      <c r="C62" s="19"/>
      <c r="D62" s="19"/>
      <c r="E62" s="19"/>
      <c r="F62" s="19"/>
      <c r="G62" s="19"/>
      <c r="H62" s="19"/>
      <c r="I62" s="19"/>
      <c r="J62" s="19"/>
      <c r="K62" s="19"/>
      <c r="L62" s="19"/>
    </row>
    <row r="63" spans="1:12" x14ac:dyDescent="0.2">
      <c r="A63" s="19"/>
      <c r="B63" s="19"/>
      <c r="C63" s="19"/>
      <c r="D63" s="19"/>
      <c r="E63" s="19"/>
      <c r="F63" s="19"/>
      <c r="G63" s="19"/>
      <c r="H63" s="19"/>
      <c r="I63" s="19"/>
      <c r="J63" s="19"/>
      <c r="K63" s="19"/>
      <c r="L63" s="19"/>
    </row>
    <row r="64" spans="1:12" x14ac:dyDescent="0.2">
      <c r="A64" s="19"/>
      <c r="B64" s="19"/>
      <c r="C64" s="19"/>
      <c r="D64" s="19"/>
      <c r="E64" s="19"/>
      <c r="F64" s="19"/>
      <c r="G64" s="19"/>
      <c r="H64" s="19"/>
      <c r="I64" s="19"/>
      <c r="J64" s="19"/>
      <c r="K64" s="19"/>
      <c r="L64" s="19"/>
    </row>
    <row r="65" spans="1:12" x14ac:dyDescent="0.2">
      <c r="A65" s="19"/>
      <c r="B65" s="19"/>
      <c r="C65" s="19"/>
      <c r="D65" s="19"/>
      <c r="E65" s="19"/>
      <c r="F65" s="19"/>
      <c r="G65" s="19"/>
      <c r="H65" s="19"/>
      <c r="I65" s="19"/>
      <c r="J65" s="19"/>
      <c r="K65" s="19"/>
      <c r="L65" s="19"/>
    </row>
    <row r="66" spans="1:12" x14ac:dyDescent="0.2">
      <c r="A66" s="19"/>
      <c r="B66" s="19"/>
      <c r="C66" s="19"/>
      <c r="D66" s="19"/>
      <c r="E66" s="19"/>
      <c r="F66" s="19"/>
      <c r="G66" s="19"/>
      <c r="H66" s="19"/>
      <c r="I66" s="19"/>
      <c r="J66" s="19"/>
      <c r="K66" s="19"/>
      <c r="L66" s="19"/>
    </row>
    <row r="67" spans="1:12" x14ac:dyDescent="0.2">
      <c r="A67" s="19"/>
      <c r="B67" s="19"/>
      <c r="C67" s="19"/>
      <c r="D67" s="19"/>
      <c r="E67" s="19"/>
      <c r="F67" s="19"/>
      <c r="G67" s="19"/>
      <c r="H67" s="19"/>
      <c r="I67" s="19"/>
      <c r="J67" s="19"/>
      <c r="K67" s="19"/>
      <c r="L67" s="19"/>
    </row>
    <row r="68" spans="1:12" x14ac:dyDescent="0.2">
      <c r="A68" s="19"/>
      <c r="B68" s="19"/>
      <c r="C68" s="19"/>
      <c r="D68" s="19"/>
      <c r="E68" s="19"/>
      <c r="F68" s="19"/>
      <c r="G68" s="19"/>
      <c r="H68" s="19"/>
      <c r="I68" s="19"/>
      <c r="J68" s="19"/>
      <c r="K68" s="19"/>
      <c r="L68" s="19"/>
    </row>
    <row r="69" spans="1:12" x14ac:dyDescent="0.2">
      <c r="A69" s="19"/>
      <c r="B69" s="19"/>
      <c r="C69" s="19"/>
      <c r="D69" s="19"/>
      <c r="E69" s="19"/>
      <c r="F69" s="19"/>
      <c r="G69" s="19"/>
      <c r="H69" s="19"/>
      <c r="I69" s="19"/>
      <c r="J69" s="19"/>
      <c r="K69" s="19"/>
      <c r="L69" s="19"/>
    </row>
    <row r="70" spans="1:12" x14ac:dyDescent="0.2">
      <c r="A70" s="19"/>
      <c r="B70" s="19"/>
      <c r="C70" s="19"/>
      <c r="D70" s="19"/>
      <c r="E70" s="19"/>
      <c r="F70" s="19"/>
      <c r="G70" s="19"/>
      <c r="H70" s="19"/>
      <c r="I70" s="19"/>
      <c r="J70" s="19"/>
      <c r="K70" s="19"/>
      <c r="L70" s="19"/>
    </row>
    <row r="71" spans="1:12" x14ac:dyDescent="0.2">
      <c r="A71" s="19"/>
      <c r="B71" s="19"/>
      <c r="C71" s="19"/>
      <c r="D71" s="19"/>
      <c r="E71" s="19"/>
      <c r="F71" s="19"/>
      <c r="G71" s="19"/>
      <c r="H71" s="19"/>
      <c r="I71" s="19"/>
      <c r="J71" s="19"/>
      <c r="K71" s="19"/>
      <c r="L71" s="19"/>
    </row>
    <row r="72" spans="1:12" x14ac:dyDescent="0.2">
      <c r="A72" s="19"/>
      <c r="B72" s="19"/>
      <c r="C72" s="19"/>
      <c r="D72" s="19"/>
      <c r="E72" s="19"/>
      <c r="F72" s="19"/>
      <c r="G72" s="19"/>
      <c r="H72" s="19"/>
      <c r="I72" s="19"/>
      <c r="J72" s="19"/>
      <c r="K72" s="19"/>
      <c r="L72" s="19"/>
    </row>
    <row r="73" spans="1:12" x14ac:dyDescent="0.2">
      <c r="A73" s="19"/>
      <c r="B73" s="19"/>
      <c r="C73" s="19"/>
      <c r="D73" s="19"/>
      <c r="E73" s="19"/>
      <c r="F73" s="19"/>
      <c r="G73" s="19"/>
      <c r="H73" s="19"/>
      <c r="I73" s="19"/>
      <c r="J73" s="19"/>
      <c r="K73" s="19"/>
      <c r="L73" s="19"/>
    </row>
    <row r="74" spans="1:12" x14ac:dyDescent="0.2">
      <c r="A74" s="19"/>
      <c r="B74" s="19"/>
      <c r="C74" s="19"/>
      <c r="D74" s="19"/>
      <c r="E74" s="19"/>
      <c r="F74" s="19"/>
      <c r="G74" s="19"/>
      <c r="H74" s="19"/>
      <c r="I74" s="19"/>
      <c r="J74" s="19"/>
      <c r="K74" s="19"/>
      <c r="L74" s="19"/>
    </row>
    <row r="75" spans="1:12" x14ac:dyDescent="0.2">
      <c r="A75" s="19"/>
      <c r="B75" s="19"/>
      <c r="C75" s="19"/>
      <c r="D75" s="19"/>
      <c r="E75" s="19"/>
      <c r="F75" s="19"/>
      <c r="G75" s="19"/>
      <c r="H75" s="19"/>
      <c r="I75" s="19"/>
      <c r="J75" s="19"/>
      <c r="K75" s="19"/>
      <c r="L75" s="19"/>
    </row>
    <row r="76" spans="1:12" x14ac:dyDescent="0.2">
      <c r="A76" s="19"/>
      <c r="B76" s="19"/>
      <c r="C76" s="19"/>
      <c r="D76" s="19"/>
      <c r="E76" s="19"/>
      <c r="F76" s="19"/>
      <c r="G76" s="19"/>
      <c r="H76" s="19"/>
      <c r="I76" s="19"/>
      <c r="J76" s="19"/>
      <c r="K76" s="19"/>
      <c r="L76" s="19"/>
    </row>
    <row r="77" spans="1:12" x14ac:dyDescent="0.2">
      <c r="A77" s="19"/>
      <c r="B77" s="19"/>
      <c r="C77" s="19"/>
      <c r="D77" s="19"/>
      <c r="E77" s="19"/>
      <c r="F77" s="19"/>
      <c r="G77" s="19"/>
      <c r="H77" s="19"/>
      <c r="I77" s="19"/>
      <c r="J77" s="19"/>
      <c r="K77" s="19"/>
      <c r="L77" s="19"/>
    </row>
    <row r="78" spans="1:12" x14ac:dyDescent="0.2">
      <c r="A78" s="19"/>
      <c r="B78" s="19"/>
      <c r="C78" s="19"/>
      <c r="D78" s="19"/>
      <c r="E78" s="19"/>
      <c r="F78" s="19"/>
      <c r="G78" s="19"/>
      <c r="H78" s="19"/>
      <c r="I78" s="19"/>
      <c r="J78" s="19"/>
      <c r="K78" s="19"/>
      <c r="L78" s="19"/>
    </row>
    <row r="79" spans="1:12" x14ac:dyDescent="0.2">
      <c r="A79" s="19"/>
      <c r="B79" s="19"/>
      <c r="C79" s="19"/>
      <c r="D79" s="19"/>
      <c r="E79" s="19"/>
      <c r="F79" s="19"/>
      <c r="G79" s="19"/>
      <c r="H79" s="19"/>
      <c r="I79" s="19"/>
      <c r="J79" s="19"/>
      <c r="K79" s="19"/>
      <c r="L79" s="19"/>
    </row>
    <row r="80" spans="1:12" x14ac:dyDescent="0.2">
      <c r="A80" s="19"/>
      <c r="B80" s="19"/>
      <c r="C80" s="19"/>
      <c r="D80" s="19"/>
      <c r="E80" s="19"/>
      <c r="F80" s="19"/>
      <c r="G80" s="19"/>
      <c r="H80" s="19"/>
      <c r="I80" s="19"/>
      <c r="J80" s="19"/>
      <c r="K80" s="19"/>
      <c r="L80" s="19"/>
    </row>
    <row r="81" spans="1:12" x14ac:dyDescent="0.2">
      <c r="A81" s="19"/>
      <c r="B81" s="19"/>
      <c r="C81" s="19"/>
      <c r="D81" s="19"/>
      <c r="E81" s="19"/>
      <c r="F81" s="19"/>
      <c r="G81" s="19"/>
      <c r="H81" s="19"/>
      <c r="I81" s="19"/>
      <c r="J81" s="19"/>
      <c r="K81" s="19"/>
      <c r="L81" s="19"/>
    </row>
    <row r="82" spans="1:12" x14ac:dyDescent="0.2">
      <c r="A82" s="19"/>
      <c r="B82" s="19"/>
      <c r="C82" s="19"/>
      <c r="D82" s="19"/>
      <c r="E82" s="19"/>
      <c r="F82" s="19"/>
      <c r="G82" s="19"/>
      <c r="H82" s="19"/>
      <c r="I82" s="19"/>
      <c r="J82" s="19"/>
      <c r="K82" s="19"/>
      <c r="L82" s="19"/>
    </row>
    <row r="83" spans="1:12" x14ac:dyDescent="0.2">
      <c r="A83" s="19"/>
      <c r="B83" s="19"/>
      <c r="C83" s="19"/>
      <c r="D83" s="19"/>
      <c r="E83" s="19"/>
      <c r="F83" s="19"/>
      <c r="G83" s="19"/>
      <c r="H83" s="19"/>
      <c r="I83" s="19"/>
      <c r="J83" s="19"/>
      <c r="K83" s="19"/>
      <c r="L83" s="19"/>
    </row>
    <row r="84" spans="1:12" x14ac:dyDescent="0.2">
      <c r="A84" s="19"/>
      <c r="B84" s="19"/>
      <c r="C84" s="19"/>
      <c r="D84" s="19"/>
      <c r="E84" s="19"/>
      <c r="F84" s="19"/>
      <c r="G84" s="19"/>
      <c r="H84" s="19"/>
      <c r="I84" s="19"/>
      <c r="J84" s="19"/>
      <c r="K84" s="19"/>
      <c r="L84" s="19"/>
    </row>
    <row r="85" spans="1:12" x14ac:dyDescent="0.2">
      <c r="A85" s="19"/>
      <c r="B85" s="19"/>
      <c r="C85" s="19"/>
      <c r="D85" s="19"/>
      <c r="E85" s="19"/>
      <c r="F85" s="19"/>
      <c r="G85" s="19"/>
      <c r="H85" s="19"/>
      <c r="I85" s="19"/>
      <c r="J85" s="19"/>
      <c r="K85" s="19"/>
      <c r="L85" s="19"/>
    </row>
    <row r="86" spans="1:12" x14ac:dyDescent="0.2">
      <c r="A86" s="19"/>
      <c r="B86" s="19"/>
      <c r="C86" s="19"/>
      <c r="D86" s="19"/>
      <c r="E86" s="19"/>
      <c r="F86" s="19"/>
      <c r="G86" s="19"/>
      <c r="H86" s="19"/>
      <c r="I86" s="19"/>
      <c r="J86" s="19"/>
      <c r="K86" s="19"/>
      <c r="L86" s="19"/>
    </row>
    <row r="87" spans="1:12" x14ac:dyDescent="0.2">
      <c r="A87" s="19"/>
      <c r="B87" s="19"/>
      <c r="C87" s="19"/>
      <c r="D87" s="19"/>
      <c r="E87" s="19"/>
      <c r="F87" s="19"/>
      <c r="G87" s="19"/>
      <c r="H87" s="19"/>
      <c r="I87" s="19"/>
      <c r="J87" s="19"/>
      <c r="K87" s="19"/>
      <c r="L87" s="19"/>
    </row>
    <row r="88" spans="1:12" x14ac:dyDescent="0.2">
      <c r="A88" s="19"/>
      <c r="B88" s="19"/>
      <c r="C88" s="19"/>
      <c r="D88" s="19"/>
      <c r="E88" s="19"/>
      <c r="F88" s="19"/>
      <c r="G88" s="19"/>
      <c r="H88" s="19"/>
      <c r="I88" s="19"/>
      <c r="J88" s="19"/>
      <c r="K88" s="19"/>
      <c r="L88" s="19"/>
    </row>
    <row r="89" spans="1:12" x14ac:dyDescent="0.2">
      <c r="A89" s="19"/>
      <c r="B89" s="19"/>
      <c r="C89" s="19"/>
      <c r="D89" s="19"/>
      <c r="E89" s="19"/>
      <c r="F89" s="19"/>
      <c r="G89" s="19"/>
      <c r="H89" s="19"/>
      <c r="I89" s="19"/>
      <c r="J89" s="19"/>
      <c r="K89" s="19"/>
      <c r="L89" s="19"/>
    </row>
    <row r="90" spans="1:12" x14ac:dyDescent="0.2">
      <c r="A90" s="19"/>
      <c r="B90" s="19"/>
      <c r="C90" s="19"/>
      <c r="D90" s="19"/>
      <c r="E90" s="19"/>
      <c r="F90" s="19"/>
      <c r="G90" s="19"/>
      <c r="H90" s="19"/>
      <c r="I90" s="19"/>
      <c r="J90" s="19"/>
      <c r="K90" s="19"/>
      <c r="L90" s="19"/>
    </row>
    <row r="91" spans="1:12" x14ac:dyDescent="0.2">
      <c r="A91" s="19"/>
      <c r="B91" s="19"/>
      <c r="C91" s="19"/>
      <c r="D91" s="19"/>
      <c r="E91" s="19"/>
      <c r="F91" s="19"/>
      <c r="G91" s="19"/>
      <c r="H91" s="19"/>
      <c r="I91" s="19"/>
      <c r="J91" s="19"/>
      <c r="K91" s="19"/>
      <c r="L91" s="19"/>
    </row>
    <row r="92" spans="1:12" x14ac:dyDescent="0.2">
      <c r="A92" s="19"/>
      <c r="B92" s="19"/>
      <c r="C92" s="19"/>
      <c r="D92" s="19"/>
      <c r="E92" s="19"/>
      <c r="F92" s="19"/>
      <c r="G92" s="19"/>
      <c r="H92" s="19"/>
      <c r="I92" s="19"/>
      <c r="J92" s="19"/>
      <c r="K92" s="19"/>
      <c r="L92" s="19"/>
    </row>
    <row r="93" spans="1:12" x14ac:dyDescent="0.2">
      <c r="A93" s="19"/>
      <c r="B93" s="19"/>
      <c r="C93" s="19"/>
      <c r="D93" s="19"/>
      <c r="E93" s="19"/>
      <c r="F93" s="19"/>
      <c r="G93" s="19"/>
      <c r="H93" s="19"/>
      <c r="I93" s="19"/>
      <c r="J93" s="19"/>
      <c r="K93" s="19"/>
      <c r="L93" s="19"/>
    </row>
    <row r="94" spans="1:12" x14ac:dyDescent="0.2">
      <c r="A94" s="19"/>
      <c r="B94" s="19"/>
      <c r="C94" s="19"/>
      <c r="D94" s="19"/>
      <c r="E94" s="19"/>
      <c r="F94" s="19"/>
      <c r="G94" s="19"/>
      <c r="H94" s="19"/>
      <c r="I94" s="19"/>
      <c r="J94" s="19"/>
      <c r="K94" s="19"/>
      <c r="L94" s="19"/>
    </row>
    <row r="95" spans="1:12" x14ac:dyDescent="0.2">
      <c r="A95" s="19"/>
      <c r="B95" s="19"/>
      <c r="C95" s="19"/>
      <c r="D95" s="19"/>
      <c r="E95" s="19"/>
      <c r="F95" s="19"/>
      <c r="G95" s="19"/>
      <c r="H95" s="19"/>
      <c r="I95" s="19"/>
      <c r="J95" s="19"/>
      <c r="K95" s="19"/>
      <c r="L95" s="19"/>
    </row>
    <row r="96" spans="1:12" x14ac:dyDescent="0.2">
      <c r="A96" s="19"/>
      <c r="B96" s="19"/>
      <c r="C96" s="19"/>
      <c r="D96" s="19"/>
      <c r="E96" s="19"/>
      <c r="F96" s="19"/>
      <c r="G96" s="19"/>
      <c r="H96" s="19"/>
      <c r="I96" s="19"/>
      <c r="J96" s="19"/>
      <c r="K96" s="19"/>
      <c r="L96" s="19"/>
    </row>
    <row r="97" spans="1:12" x14ac:dyDescent="0.2">
      <c r="A97" s="19"/>
      <c r="B97" s="19"/>
      <c r="C97" s="19"/>
      <c r="D97" s="19"/>
      <c r="E97" s="19"/>
      <c r="F97" s="19"/>
      <c r="G97" s="19"/>
      <c r="H97" s="19"/>
      <c r="I97" s="19"/>
      <c r="J97" s="19"/>
      <c r="K97" s="19"/>
      <c r="L97" s="19"/>
    </row>
    <row r="98" spans="1:12" x14ac:dyDescent="0.2">
      <c r="A98" s="19"/>
      <c r="B98" s="19"/>
      <c r="C98" s="19"/>
      <c r="D98" s="19"/>
      <c r="E98" s="19"/>
      <c r="F98" s="19"/>
      <c r="G98" s="19"/>
      <c r="H98" s="19"/>
      <c r="I98" s="19"/>
      <c r="J98" s="19"/>
      <c r="K98" s="19"/>
      <c r="L98" s="19"/>
    </row>
    <row r="99" spans="1:12" x14ac:dyDescent="0.2">
      <c r="A99" s="19"/>
      <c r="B99" s="19"/>
      <c r="C99" s="19"/>
      <c r="D99" s="19"/>
      <c r="E99" s="19"/>
      <c r="F99" s="19"/>
      <c r="G99" s="19"/>
      <c r="H99" s="19"/>
      <c r="I99" s="19"/>
      <c r="J99" s="19"/>
      <c r="K99" s="19"/>
      <c r="L99" s="19"/>
    </row>
    <row r="100" spans="1:12" x14ac:dyDescent="0.2">
      <c r="A100" s="19"/>
      <c r="B100" s="19"/>
      <c r="C100" s="19"/>
      <c r="D100" s="19"/>
      <c r="E100" s="19"/>
      <c r="F100" s="19"/>
      <c r="G100" s="19"/>
      <c r="H100" s="19"/>
      <c r="I100" s="19"/>
      <c r="J100" s="19"/>
      <c r="K100" s="19"/>
      <c r="L100" s="19"/>
    </row>
    <row r="101" spans="1:12" x14ac:dyDescent="0.2">
      <c r="A101" s="19"/>
      <c r="B101" s="19"/>
      <c r="C101" s="19"/>
      <c r="D101" s="19"/>
      <c r="E101" s="19"/>
      <c r="F101" s="19"/>
      <c r="G101" s="19"/>
      <c r="H101" s="19"/>
      <c r="I101" s="19"/>
      <c r="J101" s="19"/>
      <c r="K101" s="19"/>
      <c r="L101" s="19"/>
    </row>
    <row r="102" spans="1:12" x14ac:dyDescent="0.2">
      <c r="A102" s="19"/>
      <c r="B102" s="19"/>
      <c r="C102" s="19"/>
      <c r="D102" s="19"/>
      <c r="E102" s="19"/>
      <c r="F102" s="19"/>
      <c r="G102" s="19"/>
      <c r="H102" s="19"/>
      <c r="I102" s="19"/>
      <c r="J102" s="19"/>
      <c r="K102" s="19"/>
      <c r="L102" s="19"/>
    </row>
    <row r="103" spans="1:12" x14ac:dyDescent="0.2">
      <c r="A103" s="19"/>
      <c r="B103" s="19"/>
      <c r="C103" s="19"/>
      <c r="D103" s="19"/>
      <c r="E103" s="19"/>
      <c r="F103" s="19"/>
      <c r="G103" s="19"/>
      <c r="H103" s="19"/>
      <c r="I103" s="19"/>
      <c r="J103" s="19"/>
      <c r="K103" s="19"/>
      <c r="L103" s="19"/>
    </row>
    <row r="104" spans="1:12" x14ac:dyDescent="0.2">
      <c r="A104" s="19"/>
      <c r="B104" s="19"/>
      <c r="C104" s="19"/>
      <c r="D104" s="19"/>
      <c r="E104" s="19"/>
      <c r="F104" s="19"/>
      <c r="G104" s="19"/>
      <c r="H104" s="19"/>
      <c r="I104" s="19"/>
      <c r="J104" s="19"/>
      <c r="K104" s="19"/>
      <c r="L104" s="19"/>
    </row>
    <row r="105" spans="1:12" x14ac:dyDescent="0.2">
      <c r="A105" s="19"/>
      <c r="B105" s="19"/>
      <c r="C105" s="19"/>
      <c r="D105" s="19"/>
      <c r="E105" s="19"/>
      <c r="F105" s="19"/>
      <c r="G105" s="19"/>
      <c r="H105" s="19"/>
      <c r="I105" s="19"/>
      <c r="J105" s="19"/>
      <c r="K105" s="19"/>
      <c r="L105" s="19"/>
    </row>
    <row r="106" spans="1:12" x14ac:dyDescent="0.2">
      <c r="A106" s="19"/>
      <c r="B106" s="19"/>
      <c r="C106" s="19"/>
      <c r="D106" s="19"/>
      <c r="E106" s="19"/>
      <c r="F106" s="19"/>
      <c r="G106" s="19"/>
      <c r="H106" s="19"/>
      <c r="I106" s="19"/>
      <c r="J106" s="19"/>
      <c r="K106" s="19"/>
      <c r="L106" s="19"/>
    </row>
    <row r="107" spans="1:12" x14ac:dyDescent="0.2">
      <c r="A107" s="19"/>
      <c r="B107" s="19"/>
      <c r="C107" s="19"/>
      <c r="D107" s="19"/>
      <c r="E107" s="19"/>
      <c r="F107" s="19"/>
      <c r="G107" s="19"/>
      <c r="H107" s="19"/>
      <c r="I107" s="19"/>
      <c r="J107" s="19"/>
      <c r="K107" s="19"/>
      <c r="L107" s="19"/>
    </row>
    <row r="108" spans="1:12" x14ac:dyDescent="0.2">
      <c r="A108" s="19"/>
      <c r="B108" s="19"/>
      <c r="C108" s="19"/>
      <c r="D108" s="19"/>
      <c r="E108" s="19"/>
      <c r="F108" s="19"/>
      <c r="G108" s="19"/>
      <c r="H108" s="19"/>
      <c r="I108" s="19"/>
      <c r="J108" s="19"/>
      <c r="K108" s="19"/>
      <c r="L108" s="19"/>
    </row>
    <row r="109" spans="1:12" x14ac:dyDescent="0.2">
      <c r="A109" s="19"/>
      <c r="B109" s="19"/>
      <c r="C109" s="19"/>
      <c r="D109" s="19"/>
      <c r="E109" s="19"/>
      <c r="F109" s="19"/>
      <c r="G109" s="19"/>
      <c r="H109" s="19"/>
      <c r="I109" s="19"/>
      <c r="J109" s="19"/>
      <c r="K109" s="19"/>
      <c r="L109" s="19"/>
    </row>
    <row r="110" spans="1:12" x14ac:dyDescent="0.2">
      <c r="A110" s="19"/>
      <c r="B110" s="19"/>
      <c r="C110" s="19"/>
      <c r="D110" s="19"/>
      <c r="E110" s="19"/>
      <c r="F110" s="19"/>
      <c r="G110" s="19"/>
      <c r="H110" s="19"/>
      <c r="I110" s="19"/>
      <c r="J110" s="19"/>
      <c r="K110" s="19"/>
      <c r="L110" s="19"/>
    </row>
    <row r="111" spans="1:12" x14ac:dyDescent="0.2">
      <c r="A111" s="19"/>
      <c r="B111" s="19"/>
      <c r="C111" s="19"/>
      <c r="D111" s="19"/>
      <c r="E111" s="19"/>
      <c r="F111" s="19"/>
      <c r="G111" s="19"/>
      <c r="H111" s="19"/>
      <c r="I111" s="19"/>
      <c r="J111" s="19"/>
      <c r="K111" s="19"/>
      <c r="L111" s="19"/>
    </row>
    <row r="112" spans="1:12" x14ac:dyDescent="0.2">
      <c r="A112" s="19"/>
      <c r="B112" s="19"/>
      <c r="C112" s="19"/>
      <c r="D112" s="19"/>
      <c r="E112" s="19"/>
      <c r="F112" s="19"/>
    </row>
    <row r="113" spans="1:6" x14ac:dyDescent="0.2">
      <c r="A113" s="19"/>
      <c r="B113" s="19"/>
      <c r="C113" s="19"/>
      <c r="D113" s="19"/>
      <c r="E113" s="19"/>
      <c r="F113" s="19"/>
    </row>
    <row r="114" spans="1:6" x14ac:dyDescent="0.2">
      <c r="A114" s="19"/>
      <c r="B114" s="19"/>
      <c r="C114" s="19"/>
      <c r="D114" s="19"/>
      <c r="E114" s="19"/>
      <c r="F114" s="19"/>
    </row>
    <row r="115" spans="1:6" x14ac:dyDescent="0.2">
      <c r="A115" s="19"/>
      <c r="B115" s="19"/>
      <c r="C115" s="19"/>
      <c r="D115" s="19"/>
      <c r="E115" s="19"/>
      <c r="F115" s="19"/>
    </row>
    <row r="116" spans="1:6" x14ac:dyDescent="0.2">
      <c r="A116" s="19"/>
      <c r="B116" s="19"/>
      <c r="C116" s="19"/>
      <c r="D116" s="19"/>
      <c r="E116" s="19"/>
      <c r="F116" s="19"/>
    </row>
    <row r="117" spans="1:6" x14ac:dyDescent="0.2">
      <c r="A117" s="19"/>
      <c r="B117" s="19"/>
      <c r="C117" s="19"/>
      <c r="D117" s="19"/>
      <c r="E117" s="19"/>
      <c r="F117" s="19"/>
    </row>
    <row r="118" spans="1:6" x14ac:dyDescent="0.2">
      <c r="A118" s="19"/>
      <c r="B118" s="19"/>
      <c r="C118" s="19"/>
      <c r="D118" s="19"/>
      <c r="E118" s="19"/>
      <c r="F118" s="19"/>
    </row>
    <row r="119" spans="1:6" x14ac:dyDescent="0.2">
      <c r="A119" s="19"/>
      <c r="B119" s="19"/>
      <c r="C119" s="19"/>
      <c r="D119" s="19"/>
      <c r="E119" s="19"/>
      <c r="F119" s="19"/>
    </row>
    <row r="120" spans="1:6" x14ac:dyDescent="0.2">
      <c r="A120" s="19"/>
      <c r="B120" s="19"/>
      <c r="C120" s="19"/>
      <c r="D120" s="19"/>
      <c r="E120" s="19"/>
      <c r="F120" s="19"/>
    </row>
  </sheetData>
  <sheetProtection algorithmName="SHA-512" hashValue="udWbphJPqh5ljk1ROkPdCr3ZsHw6gxBxvlJqWOXOZ/WFi1A/2W1cPvISFG8EXhZ1jq82zyDHcoKh/sd7ji1OEg==" saltValue="n4Sb+UxnXQhvgugINGd2MA==" spinCount="100000" sheet="1" objects="1" scenarios="1"/>
  <sortState xmlns:xlrd2="http://schemas.microsoft.com/office/spreadsheetml/2017/richdata2" ref="A3:D10">
    <sortCondition ref="A2:A10"/>
  </sortState>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5DC6B-E752-4104-AC4A-475079DA074B}">
  <sheetPr codeName="Sheet5"/>
  <dimension ref="A1:Y1"/>
  <sheetViews>
    <sheetView workbookViewId="0">
      <selection activeCell="C1" sqref="C1:D1"/>
    </sheetView>
  </sheetViews>
  <sheetFormatPr defaultRowHeight="12.75" x14ac:dyDescent="0.2"/>
  <cols>
    <col min="1" max="9" width="13.42578125" customWidth="1"/>
    <col min="10" max="14" width="8.85546875" customWidth="1"/>
    <col min="15" max="18" width="13.42578125" customWidth="1"/>
    <col min="19" max="23" width="10" customWidth="1"/>
    <col min="24" max="24" width="10.140625" customWidth="1"/>
    <col min="25" max="25" width="13.42578125" customWidth="1"/>
  </cols>
  <sheetData>
    <row r="1" spans="1:25" ht="63.75" x14ac:dyDescent="0.2">
      <c r="A1" s="17" t="s">
        <v>21</v>
      </c>
      <c r="B1" s="18" t="s">
        <v>22</v>
      </c>
      <c r="C1" s="68" t="s">
        <v>381</v>
      </c>
      <c r="D1" s="68" t="s">
        <v>379</v>
      </c>
      <c r="E1" s="30" t="s">
        <v>177</v>
      </c>
      <c r="F1" s="30" t="s">
        <v>6</v>
      </c>
      <c r="G1" s="2" t="s">
        <v>31</v>
      </c>
      <c r="H1" s="30" t="s">
        <v>178</v>
      </c>
      <c r="I1" s="30" t="s">
        <v>179</v>
      </c>
      <c r="J1" s="31" t="s">
        <v>93</v>
      </c>
      <c r="K1" s="2" t="s">
        <v>101</v>
      </c>
      <c r="L1" s="2" t="s">
        <v>102</v>
      </c>
      <c r="M1" s="31" t="s">
        <v>95</v>
      </c>
      <c r="N1" s="2" t="s">
        <v>46</v>
      </c>
      <c r="O1" s="30" t="s">
        <v>18</v>
      </c>
      <c r="P1" s="30" t="s">
        <v>8</v>
      </c>
      <c r="Q1" s="30" t="s">
        <v>180</v>
      </c>
      <c r="R1" s="30" t="s">
        <v>352</v>
      </c>
      <c r="S1" s="2" t="s">
        <v>2</v>
      </c>
      <c r="T1" s="2" t="s">
        <v>9</v>
      </c>
      <c r="U1" s="2" t="s">
        <v>33</v>
      </c>
      <c r="V1" s="2" t="s">
        <v>10</v>
      </c>
      <c r="W1" s="2" t="s">
        <v>15</v>
      </c>
      <c r="X1" s="2" t="s">
        <v>11</v>
      </c>
      <c r="Y1" s="2" t="s">
        <v>0</v>
      </c>
    </row>
  </sheetData>
  <dataValidations count="3">
    <dataValidation operator="lessThanOrEqual" showErrorMessage="1" errorTitle="Procedure data entry error" error="Field Length exceeded:  refer to &quot;Result Columns&quot; tab to determine the maximum field length" sqref="I1:J1 M1:N1" xr:uid="{76DAF8A8-0836-4727-8FFA-B7C06DB0030C}"/>
    <dataValidation type="textLength" operator="lessThanOrEqual" showInputMessage="1" showErrorMessage="1" errorTitle="Activity ID data entry error:" error="Field Length exceeded:  refer to &quot;Result Columns&quot; tab to determine the maximum field length" sqref="B1" xr:uid="{ADD44442-0277-4338-9609-3E26F2FCB5F3}">
      <formula1>50</formula1>
    </dataValidation>
    <dataValidation type="textLength" operator="lessThanOrEqual" allowBlank="1" showInputMessage="1" showErrorMessage="1" errorTitle="Activity Depth data entry error" error="Field Length exceeded:  refer to &quot;Result Columns&quot; tab to determine the maximum field length" sqref="K1:L1" xr:uid="{547754B1-BFAB-48F4-8E25-0FCB88869B40}">
      <formula1>ActDepthMax</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A629"/>
  <sheetViews>
    <sheetView zoomScaleNormal="100" workbookViewId="0">
      <pane ySplit="1" topLeftCell="A2" activePane="bottomLeft" state="frozen"/>
      <selection activeCell="A39" sqref="A39:A41"/>
      <selection pane="bottomLeft" activeCell="B2" sqref="B2"/>
    </sheetView>
  </sheetViews>
  <sheetFormatPr defaultRowHeight="12.75" x14ac:dyDescent="0.2"/>
  <cols>
    <col min="1" max="1" width="8.5703125" style="3" customWidth="1"/>
    <col min="2" max="4" width="9.140625" style="3" customWidth="1"/>
    <col min="5" max="5" width="13.140625" style="3" bestFit="1" customWidth="1"/>
    <col min="6" max="6" width="12.28515625" style="10" bestFit="1" customWidth="1"/>
    <col min="7" max="7" width="10" style="10" customWidth="1"/>
    <col min="8" max="8" width="37.7109375" style="10" bestFit="1" customWidth="1"/>
    <col min="9" max="9" width="20" style="3" bestFit="1" customWidth="1"/>
    <col min="10" max="10" width="6.28515625" style="3" bestFit="1" customWidth="1"/>
    <col min="11" max="12" width="6.28515625" style="3" customWidth="1"/>
    <col min="13" max="13" width="10.85546875" style="3" bestFit="1" customWidth="1"/>
    <col min="14" max="14" width="11.42578125" style="3" customWidth="1"/>
    <col min="15" max="15" width="28.42578125" style="3" bestFit="1" customWidth="1"/>
    <col min="16" max="16" width="12.85546875" style="20" bestFit="1" customWidth="1"/>
    <col min="17" max="17" width="13.42578125" style="3" bestFit="1" customWidth="1"/>
    <col min="18" max="18" width="14.85546875" style="3" customWidth="1"/>
    <col min="19" max="19" width="18.42578125" style="3" customWidth="1"/>
    <col min="20" max="20" width="11" style="3" customWidth="1"/>
    <col min="21" max="21" width="19.42578125" style="3" customWidth="1"/>
    <col min="22" max="22" width="15.140625" style="3" customWidth="1"/>
    <col min="23" max="23" width="25.7109375" style="3" customWidth="1"/>
    <col min="24" max="24" width="20.7109375" style="3" customWidth="1"/>
    <col min="25" max="16384" width="9.140625" style="3"/>
  </cols>
  <sheetData>
    <row r="1" spans="1:27" s="2" customFormat="1" ht="48.75" customHeight="1" x14ac:dyDescent="0.2">
      <c r="A1" s="17" t="s">
        <v>21</v>
      </c>
      <c r="B1" s="18" t="s">
        <v>22</v>
      </c>
      <c r="C1" s="68" t="s">
        <v>381</v>
      </c>
      <c r="D1" s="68" t="s">
        <v>379</v>
      </c>
      <c r="E1" s="41" t="s">
        <v>177</v>
      </c>
      <c r="F1" s="41" t="s">
        <v>6</v>
      </c>
      <c r="G1" s="18" t="s">
        <v>31</v>
      </c>
      <c r="H1" s="41" t="s">
        <v>178</v>
      </c>
      <c r="I1" s="41" t="s">
        <v>179</v>
      </c>
      <c r="J1" s="42" t="s">
        <v>93</v>
      </c>
      <c r="K1" s="18" t="s">
        <v>101</v>
      </c>
      <c r="L1" s="18" t="s">
        <v>102</v>
      </c>
      <c r="M1" s="42" t="s">
        <v>95</v>
      </c>
      <c r="N1" s="18" t="s">
        <v>46</v>
      </c>
      <c r="O1" s="41" t="s">
        <v>18</v>
      </c>
      <c r="P1" s="41" t="s">
        <v>7</v>
      </c>
      <c r="Q1" s="41" t="s">
        <v>8</v>
      </c>
      <c r="R1" s="41" t="s">
        <v>181</v>
      </c>
      <c r="S1" s="41" t="s">
        <v>353</v>
      </c>
      <c r="T1" s="41" t="s">
        <v>360</v>
      </c>
      <c r="U1" s="18" t="s">
        <v>2</v>
      </c>
      <c r="V1" s="18" t="s">
        <v>9</v>
      </c>
      <c r="W1" s="18" t="s">
        <v>33</v>
      </c>
      <c r="X1" s="18" t="s">
        <v>10</v>
      </c>
      <c r="Y1" s="18" t="s">
        <v>15</v>
      </c>
      <c r="Z1" s="18" t="s">
        <v>11</v>
      </c>
      <c r="AA1" s="56" t="s">
        <v>0</v>
      </c>
    </row>
    <row r="2" spans="1:27" ht="30.75" customHeight="1" x14ac:dyDescent="0.2">
      <c r="A2" s="35" t="s">
        <v>54</v>
      </c>
      <c r="B2" s="35"/>
      <c r="C2" s="35"/>
      <c r="D2" s="35"/>
      <c r="E2" s="35" t="s">
        <v>14</v>
      </c>
      <c r="F2" s="25">
        <v>44927</v>
      </c>
      <c r="G2" s="36"/>
      <c r="H2" s="36" t="s">
        <v>115</v>
      </c>
      <c r="I2" s="35" t="s">
        <v>108</v>
      </c>
      <c r="J2" s="37"/>
      <c r="K2" s="37"/>
      <c r="L2" s="37"/>
      <c r="M2" s="35"/>
      <c r="N2" s="35" t="s">
        <v>97</v>
      </c>
      <c r="O2" s="38" t="s">
        <v>135</v>
      </c>
      <c r="P2" s="57">
        <v>99</v>
      </c>
      <c r="Q2" s="19" t="s">
        <v>159</v>
      </c>
      <c r="R2" s="34" t="s">
        <v>354</v>
      </c>
      <c r="S2" s="34" t="s">
        <v>364</v>
      </c>
      <c r="AA2" s="3" t="s">
        <v>335</v>
      </c>
    </row>
    <row r="3" spans="1:27" x14ac:dyDescent="0.2">
      <c r="A3" s="35" t="s">
        <v>55</v>
      </c>
      <c r="B3" s="35"/>
      <c r="C3" s="35"/>
      <c r="D3" s="35"/>
      <c r="E3" s="35" t="s">
        <v>14</v>
      </c>
      <c r="F3" s="25">
        <v>44928</v>
      </c>
      <c r="G3" s="36"/>
      <c r="H3" s="36" t="s">
        <v>119</v>
      </c>
      <c r="I3" s="35" t="s">
        <v>108</v>
      </c>
      <c r="J3" s="37"/>
      <c r="K3" s="37"/>
      <c r="L3" s="37"/>
      <c r="M3" s="35"/>
      <c r="N3" s="35" t="s">
        <v>98</v>
      </c>
      <c r="O3" s="38" t="s">
        <v>139</v>
      </c>
      <c r="P3" s="57">
        <v>9.9</v>
      </c>
      <c r="Q3" s="19" t="s">
        <v>159</v>
      </c>
      <c r="R3" s="19" t="s">
        <v>347</v>
      </c>
      <c r="S3" s="34" t="s">
        <v>364</v>
      </c>
      <c r="AA3" s="3" t="s">
        <v>335</v>
      </c>
    </row>
    <row r="4" spans="1:27" x14ac:dyDescent="0.2">
      <c r="A4" s="35" t="s">
        <v>56</v>
      </c>
      <c r="B4" s="35"/>
      <c r="C4" s="35"/>
      <c r="D4" s="35"/>
      <c r="E4" s="35" t="s">
        <v>14</v>
      </c>
      <c r="F4" s="25">
        <v>44929</v>
      </c>
      <c r="G4" s="36"/>
      <c r="H4" s="36" t="s">
        <v>120</v>
      </c>
      <c r="I4" s="35" t="s">
        <v>43</v>
      </c>
      <c r="J4" s="37"/>
      <c r="K4" s="37"/>
      <c r="L4" s="37"/>
      <c r="M4" s="35"/>
      <c r="N4" s="35" t="s">
        <v>97</v>
      </c>
      <c r="O4" s="38" t="s">
        <v>69</v>
      </c>
      <c r="P4" s="58">
        <v>2.9</v>
      </c>
      <c r="Q4" s="19" t="s">
        <v>159</v>
      </c>
      <c r="R4" s="19" t="s">
        <v>354</v>
      </c>
      <c r="S4" s="34" t="s">
        <v>364</v>
      </c>
    </row>
    <row r="5" spans="1:27" x14ac:dyDescent="0.2">
      <c r="A5" s="35" t="s">
        <v>57</v>
      </c>
      <c r="B5" s="35"/>
      <c r="C5" s="35"/>
      <c r="D5" s="35"/>
      <c r="E5" s="35" t="s">
        <v>14</v>
      </c>
      <c r="F5" s="25">
        <v>44930</v>
      </c>
      <c r="G5" s="36"/>
      <c r="H5" s="36" t="s">
        <v>121</v>
      </c>
      <c r="I5" s="35" t="s">
        <v>42</v>
      </c>
      <c r="J5" s="37"/>
      <c r="K5" s="37"/>
      <c r="L5" s="37"/>
      <c r="M5" s="35"/>
      <c r="N5" s="35" t="s">
        <v>98</v>
      </c>
      <c r="O5" s="38" t="s">
        <v>69</v>
      </c>
      <c r="P5" s="58">
        <v>10.5</v>
      </c>
      <c r="Q5" s="19" t="s">
        <v>159</v>
      </c>
      <c r="R5" s="19" t="s">
        <v>355</v>
      </c>
      <c r="S5" s="34" t="s">
        <v>364</v>
      </c>
      <c r="AA5" s="3" t="s">
        <v>335</v>
      </c>
    </row>
    <row r="6" spans="1:27" x14ac:dyDescent="0.2">
      <c r="A6" s="35" t="s">
        <v>58</v>
      </c>
      <c r="B6" s="35"/>
      <c r="C6" s="35"/>
      <c r="D6" s="35"/>
      <c r="E6" s="35" t="s">
        <v>14</v>
      </c>
      <c r="F6" s="25">
        <v>44931</v>
      </c>
      <c r="G6" s="36"/>
      <c r="H6" s="33" t="s">
        <v>115</v>
      </c>
      <c r="I6" s="35" t="s">
        <v>106</v>
      </c>
      <c r="J6" s="37"/>
      <c r="K6" s="37"/>
      <c r="L6" s="37"/>
      <c r="M6" s="35"/>
      <c r="N6" s="35" t="s">
        <v>97</v>
      </c>
      <c r="O6" s="38" t="s">
        <v>100</v>
      </c>
      <c r="P6" s="58">
        <v>5.0000000000000001E-3</v>
      </c>
      <c r="Q6" s="19" t="s">
        <v>159</v>
      </c>
      <c r="R6" s="34" t="s">
        <v>354</v>
      </c>
      <c r="S6" s="34" t="s">
        <v>364</v>
      </c>
      <c r="AA6" s="3" t="s">
        <v>335</v>
      </c>
    </row>
    <row r="7" spans="1:27" x14ac:dyDescent="0.2">
      <c r="A7" s="35" t="s">
        <v>59</v>
      </c>
      <c r="B7" s="35"/>
      <c r="C7" s="35"/>
      <c r="D7" s="35"/>
      <c r="E7" s="35" t="s">
        <v>14</v>
      </c>
      <c r="F7" s="25">
        <v>44932</v>
      </c>
      <c r="G7" s="36"/>
      <c r="H7" s="33" t="s">
        <v>119</v>
      </c>
      <c r="I7" s="35" t="s">
        <v>113</v>
      </c>
      <c r="J7" s="37"/>
      <c r="K7" s="37"/>
      <c r="L7" s="37"/>
      <c r="M7" s="35"/>
      <c r="N7" s="35" t="s">
        <v>98</v>
      </c>
      <c r="O7" s="38" t="s">
        <v>70</v>
      </c>
      <c r="P7" s="57">
        <v>2.0000000000000001E-4</v>
      </c>
      <c r="Q7" s="19" t="s">
        <v>159</v>
      </c>
      <c r="R7" s="19" t="s">
        <v>354</v>
      </c>
      <c r="S7" s="34" t="s">
        <v>364</v>
      </c>
    </row>
    <row r="8" spans="1:27" x14ac:dyDescent="0.2">
      <c r="A8" s="35" t="s">
        <v>322</v>
      </c>
      <c r="B8" s="35"/>
      <c r="C8" s="35"/>
      <c r="D8" s="35"/>
      <c r="E8" s="35" t="s">
        <v>14</v>
      </c>
      <c r="F8" s="25">
        <v>44933</v>
      </c>
      <c r="G8" s="36"/>
      <c r="H8" s="33" t="s">
        <v>120</v>
      </c>
      <c r="I8" s="35" t="s">
        <v>107</v>
      </c>
      <c r="J8" s="37"/>
      <c r="K8" s="37"/>
      <c r="L8" s="37"/>
      <c r="M8" s="35"/>
      <c r="N8" s="35" t="s">
        <v>97</v>
      </c>
      <c r="O8" s="38" t="s">
        <v>71</v>
      </c>
      <c r="P8" s="57">
        <v>10</v>
      </c>
      <c r="Q8" s="19" t="s">
        <v>159</v>
      </c>
      <c r="R8" s="19" t="s">
        <v>354</v>
      </c>
      <c r="S8" s="34" t="s">
        <v>364</v>
      </c>
      <c r="AA8" s="3" t="s">
        <v>335</v>
      </c>
    </row>
    <row r="9" spans="1:27" x14ac:dyDescent="0.2">
      <c r="A9" s="35" t="s">
        <v>323</v>
      </c>
      <c r="B9" s="35"/>
      <c r="C9" s="35"/>
      <c r="D9" s="35"/>
      <c r="E9" s="35" t="s">
        <v>14</v>
      </c>
      <c r="F9" s="25">
        <v>44934</v>
      </c>
      <c r="G9" s="36"/>
      <c r="H9" s="33" t="s">
        <v>121</v>
      </c>
      <c r="I9" s="35" t="s">
        <v>108</v>
      </c>
      <c r="J9" s="37"/>
      <c r="K9" s="37"/>
      <c r="L9" s="37"/>
      <c r="M9" s="35"/>
      <c r="N9" s="35" t="s">
        <v>98</v>
      </c>
      <c r="O9" s="38" t="s">
        <v>72</v>
      </c>
      <c r="P9" s="57">
        <v>1E-4</v>
      </c>
      <c r="Q9" s="19" t="s">
        <v>159</v>
      </c>
      <c r="R9" s="19" t="s">
        <v>354</v>
      </c>
      <c r="S9" s="34" t="s">
        <v>364</v>
      </c>
    </row>
    <row r="10" spans="1:27" x14ac:dyDescent="0.2">
      <c r="A10" s="35" t="s">
        <v>324</v>
      </c>
      <c r="B10" s="35"/>
      <c r="C10" s="35"/>
      <c r="D10" s="35"/>
      <c r="E10" s="35" t="s">
        <v>14</v>
      </c>
      <c r="F10" s="25">
        <v>44935</v>
      </c>
      <c r="G10" s="36"/>
      <c r="H10" s="33" t="s">
        <v>115</v>
      </c>
      <c r="I10" s="35" t="s">
        <v>43</v>
      </c>
      <c r="J10" s="37"/>
      <c r="K10" s="37"/>
      <c r="L10" s="37"/>
      <c r="M10" s="35"/>
      <c r="N10" s="35" t="s">
        <v>97</v>
      </c>
      <c r="O10" s="38" t="s">
        <v>157</v>
      </c>
      <c r="P10" s="57">
        <v>95</v>
      </c>
      <c r="Q10" s="19" t="s">
        <v>159</v>
      </c>
      <c r="R10" s="34" t="s">
        <v>354</v>
      </c>
      <c r="S10" s="34" t="s">
        <v>364</v>
      </c>
      <c r="AA10" s="3" t="s">
        <v>335</v>
      </c>
    </row>
    <row r="11" spans="1:27" x14ac:dyDescent="0.2">
      <c r="A11" s="35" t="s">
        <v>59</v>
      </c>
      <c r="B11" s="35"/>
      <c r="C11" s="35"/>
      <c r="D11" s="35"/>
      <c r="E11" s="35" t="s">
        <v>14</v>
      </c>
      <c r="F11" s="25">
        <v>44936</v>
      </c>
      <c r="G11" s="36"/>
      <c r="H11" s="33" t="s">
        <v>119</v>
      </c>
      <c r="I11" s="35" t="s">
        <v>42</v>
      </c>
      <c r="J11" s="37"/>
      <c r="K11" s="37"/>
      <c r="L11" s="37"/>
      <c r="M11" s="35"/>
      <c r="N11" s="35" t="s">
        <v>98</v>
      </c>
      <c r="O11" s="38" t="s">
        <v>157</v>
      </c>
      <c r="P11" s="57">
        <v>1.05</v>
      </c>
      <c r="Q11" s="19" t="s">
        <v>159</v>
      </c>
      <c r="R11" s="19" t="s">
        <v>354</v>
      </c>
      <c r="S11" s="34" t="s">
        <v>364</v>
      </c>
      <c r="AA11" s="3" t="s">
        <v>335</v>
      </c>
    </row>
    <row r="12" spans="1:27" x14ac:dyDescent="0.2">
      <c r="A12" s="35" t="s">
        <v>322</v>
      </c>
      <c r="B12" s="35"/>
      <c r="C12" s="35"/>
      <c r="D12" s="35"/>
      <c r="E12" s="35" t="s">
        <v>14</v>
      </c>
      <c r="F12" s="25">
        <v>44937</v>
      </c>
      <c r="G12" s="36"/>
      <c r="H12" s="33" t="s">
        <v>120</v>
      </c>
      <c r="I12" s="35" t="s">
        <v>106</v>
      </c>
      <c r="J12" s="37"/>
      <c r="K12" s="37"/>
      <c r="L12" s="37"/>
      <c r="M12" s="35"/>
      <c r="N12" s="35" t="s">
        <v>97</v>
      </c>
      <c r="O12" s="38" t="s">
        <v>50</v>
      </c>
      <c r="P12" s="57">
        <v>4.0999999999999996</v>
      </c>
      <c r="Q12" s="19" t="s">
        <v>159</v>
      </c>
      <c r="R12" s="19" t="s">
        <v>355</v>
      </c>
      <c r="S12" s="34" t="s">
        <v>364</v>
      </c>
    </row>
    <row r="13" spans="1:27" x14ac:dyDescent="0.2">
      <c r="A13" s="35" t="s">
        <v>323</v>
      </c>
      <c r="B13" s="35"/>
      <c r="C13" s="35"/>
      <c r="D13" s="35"/>
      <c r="E13" s="35" t="s">
        <v>14</v>
      </c>
      <c r="F13" s="25">
        <v>44938</v>
      </c>
      <c r="G13" s="36"/>
      <c r="H13" s="33" t="s">
        <v>121</v>
      </c>
      <c r="I13" s="35" t="s">
        <v>113</v>
      </c>
      <c r="J13" s="37"/>
      <c r="K13" s="37"/>
      <c r="L13" s="37"/>
      <c r="M13" s="35"/>
      <c r="N13" s="35" t="s">
        <v>97</v>
      </c>
      <c r="O13" s="38" t="s">
        <v>63</v>
      </c>
      <c r="P13" s="57">
        <v>0</v>
      </c>
      <c r="Q13" s="19" t="s">
        <v>159</v>
      </c>
      <c r="R13" s="34" t="s">
        <v>354</v>
      </c>
      <c r="S13" s="34" t="s">
        <v>364</v>
      </c>
      <c r="AA13" s="3" t="s">
        <v>335</v>
      </c>
    </row>
    <row r="14" spans="1:27" x14ac:dyDescent="0.2">
      <c r="A14" s="35" t="s">
        <v>324</v>
      </c>
      <c r="B14" s="35"/>
      <c r="C14" s="35"/>
      <c r="D14" s="35"/>
      <c r="E14" s="35" t="s">
        <v>14</v>
      </c>
      <c r="F14" s="25">
        <v>44939</v>
      </c>
      <c r="G14" s="36"/>
      <c r="H14" s="33" t="s">
        <v>123</v>
      </c>
      <c r="I14" s="35" t="s">
        <v>107</v>
      </c>
      <c r="J14" s="37"/>
      <c r="K14" s="37"/>
      <c r="L14" s="37"/>
      <c r="M14" s="35"/>
      <c r="N14" s="35" t="s">
        <v>97</v>
      </c>
      <c r="O14" s="38" t="s">
        <v>132</v>
      </c>
      <c r="P14" s="57">
        <v>0</v>
      </c>
      <c r="Q14" s="19" t="s">
        <v>159</v>
      </c>
      <c r="R14" s="19" t="s">
        <v>355</v>
      </c>
      <c r="S14" s="34" t="s">
        <v>364</v>
      </c>
      <c r="AA14" s="3" t="s">
        <v>335</v>
      </c>
    </row>
    <row r="15" spans="1:27" x14ac:dyDescent="0.2">
      <c r="A15" s="35" t="s">
        <v>59</v>
      </c>
      <c r="B15" s="35"/>
      <c r="C15" s="35"/>
      <c r="D15" s="35"/>
      <c r="E15" s="35" t="s">
        <v>14</v>
      </c>
      <c r="F15" s="25">
        <v>44940</v>
      </c>
      <c r="G15" s="36"/>
      <c r="H15" s="33" t="s">
        <v>127</v>
      </c>
      <c r="I15" s="35" t="s">
        <v>108</v>
      </c>
      <c r="J15" s="37"/>
      <c r="K15" s="37"/>
      <c r="L15" s="37"/>
      <c r="M15" s="35"/>
      <c r="N15" s="35" t="s">
        <v>98</v>
      </c>
      <c r="O15" s="38" t="s">
        <v>69</v>
      </c>
      <c r="P15" s="57">
        <v>24.4</v>
      </c>
      <c r="Q15" s="34" t="s">
        <v>159</v>
      </c>
      <c r="R15" s="19" t="s">
        <v>354</v>
      </c>
      <c r="S15" s="34" t="s">
        <v>364</v>
      </c>
      <c r="AA15" s="3" t="s">
        <v>335</v>
      </c>
    </row>
    <row r="16" spans="1:27" ht="35.25" customHeight="1" x14ac:dyDescent="0.2">
      <c r="A16" s="35" t="s">
        <v>322</v>
      </c>
      <c r="B16" s="35"/>
      <c r="C16" s="35"/>
      <c r="D16" s="35"/>
      <c r="E16" s="35" t="s">
        <v>14</v>
      </c>
      <c r="F16" s="25">
        <v>44941</v>
      </c>
      <c r="G16" s="36"/>
      <c r="H16" s="33" t="s">
        <v>116</v>
      </c>
      <c r="I16" s="35" t="s">
        <v>43</v>
      </c>
      <c r="J16" s="37"/>
      <c r="K16" s="37"/>
      <c r="L16" s="37"/>
      <c r="M16" s="35"/>
      <c r="N16" s="35" t="s">
        <v>98</v>
      </c>
      <c r="O16" s="38" t="s">
        <v>157</v>
      </c>
      <c r="P16" s="57">
        <v>50</v>
      </c>
      <c r="Q16" s="19" t="s">
        <v>159</v>
      </c>
      <c r="R16" s="19" t="s">
        <v>355</v>
      </c>
      <c r="S16" s="34" t="s">
        <v>364</v>
      </c>
      <c r="AA16" s="3" t="s">
        <v>374</v>
      </c>
    </row>
    <row r="17" spans="1:27" x14ac:dyDescent="0.2">
      <c r="A17" s="35" t="s">
        <v>323</v>
      </c>
      <c r="B17" s="35"/>
      <c r="C17" s="35"/>
      <c r="D17" s="35"/>
      <c r="E17" s="35" t="s">
        <v>14</v>
      </c>
      <c r="F17" s="25"/>
      <c r="G17" s="36"/>
      <c r="H17" s="33" t="s">
        <v>117</v>
      </c>
      <c r="I17" s="35" t="s">
        <v>42</v>
      </c>
      <c r="J17" s="37"/>
      <c r="K17" s="37"/>
      <c r="L17" s="37"/>
      <c r="M17" s="35"/>
      <c r="N17" s="35" t="s">
        <v>97</v>
      </c>
      <c r="O17" s="38" t="s">
        <v>50</v>
      </c>
      <c r="P17" s="57">
        <v>0.5</v>
      </c>
      <c r="Q17" s="19" t="s">
        <v>159</v>
      </c>
      <c r="R17" s="34" t="s">
        <v>347</v>
      </c>
      <c r="S17" s="34" t="s">
        <v>364</v>
      </c>
    </row>
    <row r="18" spans="1:27" x14ac:dyDescent="0.2">
      <c r="A18" s="35" t="s">
        <v>324</v>
      </c>
      <c r="B18" s="35"/>
      <c r="C18" s="35"/>
      <c r="D18" s="35"/>
      <c r="E18" s="35"/>
      <c r="F18" s="25"/>
      <c r="G18" s="36"/>
      <c r="H18" s="65" t="s">
        <v>118</v>
      </c>
      <c r="I18" s="35" t="s">
        <v>106</v>
      </c>
      <c r="J18" s="37"/>
      <c r="K18" s="37"/>
      <c r="L18" s="37"/>
      <c r="M18" s="35"/>
      <c r="N18" s="35" t="s">
        <v>97</v>
      </c>
      <c r="O18" s="38" t="s">
        <v>50</v>
      </c>
      <c r="P18" s="57">
        <v>4.0999999999999996</v>
      </c>
      <c r="Q18" s="19" t="s">
        <v>159</v>
      </c>
      <c r="R18" s="19" t="s">
        <v>355</v>
      </c>
      <c r="S18" s="34" t="s">
        <v>364</v>
      </c>
    </row>
    <row r="19" spans="1:27" x14ac:dyDescent="0.2">
      <c r="A19" s="35" t="s">
        <v>59</v>
      </c>
      <c r="B19" s="35"/>
      <c r="C19" s="35"/>
      <c r="D19" s="35"/>
      <c r="E19" s="35"/>
      <c r="F19" s="25"/>
      <c r="G19" s="36"/>
      <c r="H19" s="36"/>
      <c r="I19" s="35" t="s">
        <v>113</v>
      </c>
      <c r="J19" s="37"/>
      <c r="K19" s="37"/>
      <c r="L19" s="37"/>
      <c r="M19" s="35"/>
      <c r="N19" s="35" t="s">
        <v>97</v>
      </c>
      <c r="O19" s="38" t="s">
        <v>50</v>
      </c>
      <c r="P19" s="57">
        <v>4</v>
      </c>
      <c r="Q19" s="19" t="s">
        <v>159</v>
      </c>
      <c r="R19" s="19" t="s">
        <v>354</v>
      </c>
      <c r="S19" s="34" t="s">
        <v>364</v>
      </c>
      <c r="AA19" s="3" t="s">
        <v>335</v>
      </c>
    </row>
    <row r="20" spans="1:27" x14ac:dyDescent="0.2">
      <c r="A20" s="35" t="s">
        <v>322</v>
      </c>
      <c r="B20" s="35"/>
      <c r="C20" s="35"/>
      <c r="D20" s="35"/>
      <c r="E20" s="35"/>
      <c r="F20" s="36"/>
      <c r="G20" s="36"/>
      <c r="H20" s="36"/>
      <c r="I20" s="35" t="s">
        <v>107</v>
      </c>
      <c r="J20" s="37"/>
      <c r="K20" s="37"/>
      <c r="L20" s="37"/>
      <c r="M20" s="35"/>
      <c r="N20" s="35" t="s">
        <v>97</v>
      </c>
      <c r="O20" s="38" t="s">
        <v>50</v>
      </c>
      <c r="P20" s="57">
        <v>10</v>
      </c>
      <c r="Q20" s="19" t="s">
        <v>159</v>
      </c>
      <c r="R20" s="19" t="s">
        <v>347</v>
      </c>
      <c r="S20" s="34" t="s">
        <v>364</v>
      </c>
    </row>
    <row r="21" spans="1:27" x14ac:dyDescent="0.2">
      <c r="A21" s="35" t="s">
        <v>323</v>
      </c>
      <c r="B21" s="35"/>
      <c r="C21" s="35"/>
      <c r="D21" s="35"/>
      <c r="E21" s="35" t="s">
        <v>14</v>
      </c>
      <c r="F21" s="25">
        <v>44939</v>
      </c>
      <c r="G21" s="36"/>
      <c r="H21" s="36" t="s">
        <v>122</v>
      </c>
      <c r="I21" s="35" t="s">
        <v>111</v>
      </c>
      <c r="J21" s="37"/>
      <c r="K21" s="37"/>
      <c r="L21" s="37"/>
      <c r="M21" s="35"/>
      <c r="N21" s="35" t="s">
        <v>97</v>
      </c>
      <c r="O21" s="38" t="s">
        <v>132</v>
      </c>
      <c r="P21" s="57">
        <v>0</v>
      </c>
      <c r="Q21" s="19" t="s">
        <v>159</v>
      </c>
      <c r="R21" s="19" t="s">
        <v>355</v>
      </c>
      <c r="S21" s="67" t="s">
        <v>375</v>
      </c>
      <c r="AA21" s="3" t="s">
        <v>335</v>
      </c>
    </row>
    <row r="22" spans="1:27" x14ac:dyDescent="0.2">
      <c r="A22" s="35" t="s">
        <v>324</v>
      </c>
      <c r="B22" s="35"/>
      <c r="C22" s="35"/>
      <c r="D22" s="35"/>
      <c r="E22" s="35" t="s">
        <v>14</v>
      </c>
      <c r="F22" s="25">
        <v>44940</v>
      </c>
      <c r="G22" s="36"/>
      <c r="H22" s="36" t="s">
        <v>124</v>
      </c>
      <c r="I22" s="35" t="s">
        <v>42</v>
      </c>
      <c r="J22" s="37"/>
      <c r="K22" s="37"/>
      <c r="L22" s="37"/>
      <c r="M22" s="35"/>
      <c r="N22" s="35" t="s">
        <v>98</v>
      </c>
      <c r="O22" s="66" t="s">
        <v>339</v>
      </c>
      <c r="P22" s="57">
        <v>24.4</v>
      </c>
      <c r="Q22" s="34" t="s">
        <v>159</v>
      </c>
      <c r="R22" s="19" t="s">
        <v>354</v>
      </c>
      <c r="S22" s="34" t="s">
        <v>364</v>
      </c>
      <c r="V22" s="3" t="s">
        <v>45</v>
      </c>
    </row>
    <row r="23" spans="1:27" x14ac:dyDescent="0.2">
      <c r="A23" s="35" t="s">
        <v>59</v>
      </c>
      <c r="B23" s="35"/>
      <c r="C23" s="35"/>
      <c r="D23" s="35"/>
      <c r="E23" s="35" t="s">
        <v>14</v>
      </c>
      <c r="F23" s="25">
        <v>44941</v>
      </c>
      <c r="G23" s="36"/>
      <c r="H23" s="65" t="s">
        <v>339</v>
      </c>
      <c r="I23" s="35" t="s">
        <v>107</v>
      </c>
      <c r="J23" s="37"/>
      <c r="K23" s="37"/>
      <c r="L23" s="37"/>
      <c r="M23" s="35"/>
      <c r="N23" s="35" t="s">
        <v>98</v>
      </c>
      <c r="O23" s="38" t="s">
        <v>157</v>
      </c>
      <c r="P23" s="57">
        <v>50</v>
      </c>
      <c r="Q23" s="19" t="s">
        <v>159</v>
      </c>
      <c r="R23" s="19" t="s">
        <v>355</v>
      </c>
      <c r="S23" s="34" t="s">
        <v>364</v>
      </c>
    </row>
    <row r="24" spans="1:27" x14ac:dyDescent="0.2">
      <c r="A24" s="35"/>
      <c r="P24" s="59"/>
      <c r="S24" s="22"/>
    </row>
    <row r="25" spans="1:27" x14ac:dyDescent="0.2">
      <c r="A25" s="35"/>
      <c r="P25" s="22"/>
      <c r="S25" s="22"/>
    </row>
    <row r="26" spans="1:27" x14ac:dyDescent="0.2">
      <c r="A26" s="35"/>
      <c r="P26" s="22"/>
    </row>
    <row r="27" spans="1:27" x14ac:dyDescent="0.2">
      <c r="P27" s="22"/>
    </row>
    <row r="28" spans="1:27" x14ac:dyDescent="0.2">
      <c r="P28" s="22"/>
    </row>
    <row r="29" spans="1:27" x14ac:dyDescent="0.2">
      <c r="P29" s="22"/>
    </row>
    <row r="30" spans="1:27" x14ac:dyDescent="0.2">
      <c r="P30" s="22"/>
    </row>
    <row r="31" spans="1:27" x14ac:dyDescent="0.2">
      <c r="P31" s="22"/>
    </row>
    <row r="32" spans="1:27" x14ac:dyDescent="0.2">
      <c r="P32" s="22"/>
    </row>
    <row r="33" spans="16:16" x14ac:dyDescent="0.2">
      <c r="P33" s="22"/>
    </row>
    <row r="34" spans="16:16" x14ac:dyDescent="0.2">
      <c r="P34" s="22"/>
    </row>
    <row r="35" spans="16:16" x14ac:dyDescent="0.2">
      <c r="P35" s="22"/>
    </row>
    <row r="36" spans="16:16" x14ac:dyDescent="0.2">
      <c r="P36" s="22"/>
    </row>
    <row r="37" spans="16:16" x14ac:dyDescent="0.2">
      <c r="P37" s="22"/>
    </row>
    <row r="38" spans="16:16" x14ac:dyDescent="0.2">
      <c r="P38" s="22"/>
    </row>
    <row r="39" spans="16:16" x14ac:dyDescent="0.2">
      <c r="P39" s="22"/>
    </row>
    <row r="40" spans="16:16" x14ac:dyDescent="0.2">
      <c r="P40" s="22"/>
    </row>
    <row r="87" spans="15:15" x14ac:dyDescent="0.2">
      <c r="O87" s="1"/>
    </row>
    <row r="88" spans="15:15" x14ac:dyDescent="0.2">
      <c r="O88" s="1"/>
    </row>
    <row r="89" spans="15:15" x14ac:dyDescent="0.2">
      <c r="O89" s="1"/>
    </row>
    <row r="90" spans="15:15" x14ac:dyDescent="0.2">
      <c r="O90" s="1"/>
    </row>
    <row r="91" spans="15:15" x14ac:dyDescent="0.2">
      <c r="O91" s="1"/>
    </row>
    <row r="92" spans="15:15" x14ac:dyDescent="0.2">
      <c r="O92" s="1"/>
    </row>
    <row r="93" spans="15:15" x14ac:dyDescent="0.2">
      <c r="O93" s="1"/>
    </row>
    <row r="94" spans="15:15" x14ac:dyDescent="0.2">
      <c r="O94" s="1"/>
    </row>
    <row r="95" spans="15:15" x14ac:dyDescent="0.2">
      <c r="O95" s="1"/>
    </row>
    <row r="96" spans="15:15" x14ac:dyDescent="0.2">
      <c r="O96" s="1"/>
    </row>
    <row r="97" spans="15:15" x14ac:dyDescent="0.2">
      <c r="O97" s="1"/>
    </row>
    <row r="98" spans="15:15" x14ac:dyDescent="0.2">
      <c r="O98" s="1"/>
    </row>
    <row r="99" spans="15:15" x14ac:dyDescent="0.2">
      <c r="O99" s="1"/>
    </row>
    <row r="100" spans="15:15" x14ac:dyDescent="0.2">
      <c r="O100" s="1"/>
    </row>
    <row r="101" spans="15:15" x14ac:dyDescent="0.2">
      <c r="O101" s="1"/>
    </row>
    <row r="102" spans="15:15" x14ac:dyDescent="0.2">
      <c r="O102" s="1"/>
    </row>
    <row r="103" spans="15:15" x14ac:dyDescent="0.2">
      <c r="O103" s="1"/>
    </row>
    <row r="104" spans="15:15" x14ac:dyDescent="0.2">
      <c r="O104" s="1"/>
    </row>
    <row r="105" spans="15:15" x14ac:dyDescent="0.2">
      <c r="O105" s="1"/>
    </row>
    <row r="106" spans="15:15" x14ac:dyDescent="0.2">
      <c r="O106" s="1"/>
    </row>
    <row r="107" spans="15:15" x14ac:dyDescent="0.2">
      <c r="O107" s="1"/>
    </row>
    <row r="108" spans="15:15" x14ac:dyDescent="0.2">
      <c r="O108" s="1"/>
    </row>
    <row r="109" spans="15:15" x14ac:dyDescent="0.2">
      <c r="O109" s="1"/>
    </row>
    <row r="110" spans="15:15" x14ac:dyDescent="0.2">
      <c r="O110" s="1"/>
    </row>
    <row r="111" spans="15:15" x14ac:dyDescent="0.2">
      <c r="O111" s="1"/>
    </row>
    <row r="112" spans="15:15" x14ac:dyDescent="0.2">
      <c r="O112" s="1"/>
    </row>
    <row r="113" spans="15:15" x14ac:dyDescent="0.2">
      <c r="O113" s="1"/>
    </row>
    <row r="114" spans="15:15" x14ac:dyDescent="0.2">
      <c r="O114" s="1"/>
    </row>
    <row r="115" spans="15:15" x14ac:dyDescent="0.2">
      <c r="O115" s="1"/>
    </row>
    <row r="120" spans="15:15" x14ac:dyDescent="0.2">
      <c r="O120" s="1"/>
    </row>
    <row r="122" spans="15:15" x14ac:dyDescent="0.2">
      <c r="O122" s="1"/>
    </row>
    <row r="124" spans="15:15" x14ac:dyDescent="0.2">
      <c r="O124" s="1"/>
    </row>
    <row r="126" spans="15:15" x14ac:dyDescent="0.2">
      <c r="O126" s="1"/>
    </row>
    <row r="128" spans="15:15" x14ac:dyDescent="0.2">
      <c r="O128" s="1"/>
    </row>
    <row r="130" spans="15:15" x14ac:dyDescent="0.2">
      <c r="O130" s="1"/>
    </row>
    <row r="132" spans="15:15" x14ac:dyDescent="0.2">
      <c r="O132" s="1"/>
    </row>
    <row r="134" spans="15:15" x14ac:dyDescent="0.2">
      <c r="O134" s="1"/>
    </row>
    <row r="135" spans="15:15" x14ac:dyDescent="0.2">
      <c r="O135" s="1"/>
    </row>
    <row r="136" spans="15:15" x14ac:dyDescent="0.2">
      <c r="O136" s="1"/>
    </row>
    <row r="137" spans="15:15" x14ac:dyDescent="0.2">
      <c r="O137" s="1"/>
    </row>
    <row r="138" spans="15:15" x14ac:dyDescent="0.2">
      <c r="O138" s="1"/>
    </row>
    <row r="139" spans="15:15" x14ac:dyDescent="0.2">
      <c r="O139" s="1"/>
    </row>
    <row r="140" spans="15:15" x14ac:dyDescent="0.2">
      <c r="O140" s="1"/>
    </row>
    <row r="141" spans="15:15" x14ac:dyDescent="0.2">
      <c r="O141" s="1"/>
    </row>
    <row r="142" spans="15:15" x14ac:dyDescent="0.2">
      <c r="O142" s="1"/>
    </row>
    <row r="143" spans="15:15" x14ac:dyDescent="0.2">
      <c r="O143" s="1"/>
    </row>
    <row r="144" spans="15:15" x14ac:dyDescent="0.2">
      <c r="O144" s="1"/>
    </row>
    <row r="145" spans="15:15" x14ac:dyDescent="0.2">
      <c r="O145" s="1"/>
    </row>
    <row r="146" spans="15:15" x14ac:dyDescent="0.2">
      <c r="O146" s="1"/>
    </row>
    <row r="147" spans="15:15" x14ac:dyDescent="0.2">
      <c r="O147" s="1"/>
    </row>
    <row r="148" spans="15:15" x14ac:dyDescent="0.2">
      <c r="O148" s="1"/>
    </row>
    <row r="149" spans="15:15" x14ac:dyDescent="0.2">
      <c r="O149" s="1"/>
    </row>
    <row r="150" spans="15:15" x14ac:dyDescent="0.2">
      <c r="O150" s="1"/>
    </row>
    <row r="151" spans="15:15" x14ac:dyDescent="0.2">
      <c r="O151" s="1"/>
    </row>
    <row r="152" spans="15:15" x14ac:dyDescent="0.2">
      <c r="O152" s="1"/>
    </row>
    <row r="153" spans="15:15" x14ac:dyDescent="0.2">
      <c r="O153" s="1"/>
    </row>
    <row r="154" spans="15:15" x14ac:dyDescent="0.2">
      <c r="O154" s="1"/>
    </row>
    <row r="155" spans="15:15" x14ac:dyDescent="0.2">
      <c r="O155" s="1"/>
    </row>
    <row r="156" spans="15:15" x14ac:dyDescent="0.2">
      <c r="O156" s="1"/>
    </row>
    <row r="157" spans="15:15" x14ac:dyDescent="0.2">
      <c r="O157" s="1"/>
    </row>
    <row r="158" spans="15:15" x14ac:dyDescent="0.2">
      <c r="O158" s="1"/>
    </row>
    <row r="159" spans="15:15" x14ac:dyDescent="0.2">
      <c r="O159" s="1"/>
    </row>
    <row r="160" spans="15:15" x14ac:dyDescent="0.2">
      <c r="O160" s="1"/>
    </row>
    <row r="161" spans="15:15" x14ac:dyDescent="0.2">
      <c r="O161" s="1"/>
    </row>
    <row r="162" spans="15:15" x14ac:dyDescent="0.2">
      <c r="O162" s="1"/>
    </row>
    <row r="163" spans="15:15" x14ac:dyDescent="0.2">
      <c r="O163" s="1"/>
    </row>
    <row r="164" spans="15:15" x14ac:dyDescent="0.2">
      <c r="O164" s="1"/>
    </row>
    <row r="165" spans="15:15" x14ac:dyDescent="0.2">
      <c r="O165" s="1"/>
    </row>
    <row r="166" spans="15:15" x14ac:dyDescent="0.2">
      <c r="O166" s="1"/>
    </row>
    <row r="167" spans="15:15" x14ac:dyDescent="0.2">
      <c r="O167" s="1"/>
    </row>
    <row r="168" spans="15:15" x14ac:dyDescent="0.2">
      <c r="O168" s="1"/>
    </row>
    <row r="169" spans="15:15" x14ac:dyDescent="0.2">
      <c r="O169" s="1"/>
    </row>
    <row r="170" spans="15:15" x14ac:dyDescent="0.2">
      <c r="O170" s="1"/>
    </row>
    <row r="171" spans="15:15" x14ac:dyDescent="0.2">
      <c r="O171" s="1"/>
    </row>
    <row r="172" spans="15:15" x14ac:dyDescent="0.2">
      <c r="O172" s="1"/>
    </row>
    <row r="173" spans="15:15" x14ac:dyDescent="0.2">
      <c r="O173" s="1"/>
    </row>
    <row r="174" spans="15:15" x14ac:dyDescent="0.2">
      <c r="O174" s="1"/>
    </row>
    <row r="175" spans="15:15" x14ac:dyDescent="0.2">
      <c r="O175" s="1"/>
    </row>
    <row r="176" spans="15:15" x14ac:dyDescent="0.2">
      <c r="O176" s="1"/>
    </row>
    <row r="177" spans="15:15" x14ac:dyDescent="0.2">
      <c r="O177" s="1"/>
    </row>
    <row r="178" spans="15:15" x14ac:dyDescent="0.2">
      <c r="O178" s="1"/>
    </row>
    <row r="179" spans="15:15" x14ac:dyDescent="0.2">
      <c r="O179" s="1"/>
    </row>
    <row r="180" spans="15:15" x14ac:dyDescent="0.2">
      <c r="O180" s="1"/>
    </row>
    <row r="181" spans="15:15" x14ac:dyDescent="0.2">
      <c r="O181" s="1"/>
    </row>
    <row r="182" spans="15:15" x14ac:dyDescent="0.2">
      <c r="O182" s="1"/>
    </row>
    <row r="183" spans="15:15" x14ac:dyDescent="0.2">
      <c r="O183" s="1"/>
    </row>
    <row r="184" spans="15:15" x14ac:dyDescent="0.2">
      <c r="O184" s="1"/>
    </row>
    <row r="185" spans="15:15" x14ac:dyDescent="0.2">
      <c r="O185" s="1"/>
    </row>
    <row r="186" spans="15:15" x14ac:dyDescent="0.2">
      <c r="O186" s="1"/>
    </row>
    <row r="187" spans="15:15" x14ac:dyDescent="0.2">
      <c r="O187" s="1"/>
    </row>
    <row r="188" spans="15:15" x14ac:dyDescent="0.2">
      <c r="O188" s="1"/>
    </row>
    <row r="189" spans="15:15" x14ac:dyDescent="0.2">
      <c r="O189" s="1"/>
    </row>
    <row r="204" spans="15:15" x14ac:dyDescent="0.2">
      <c r="O204" s="1"/>
    </row>
    <row r="205" spans="15:15" x14ac:dyDescent="0.2">
      <c r="O205" s="1"/>
    </row>
    <row r="206" spans="15:15" x14ac:dyDescent="0.2">
      <c r="O206" s="1"/>
    </row>
    <row r="207" spans="15:15" x14ac:dyDescent="0.2">
      <c r="O207" s="1"/>
    </row>
    <row r="208" spans="15:15" x14ac:dyDescent="0.2">
      <c r="O208" s="1"/>
    </row>
    <row r="209" spans="15:15" x14ac:dyDescent="0.2">
      <c r="O209" s="1"/>
    </row>
    <row r="210" spans="15:15" x14ac:dyDescent="0.2">
      <c r="O210" s="1"/>
    </row>
    <row r="211" spans="15:15" x14ac:dyDescent="0.2">
      <c r="O211" s="1"/>
    </row>
    <row r="212" spans="15:15" x14ac:dyDescent="0.2">
      <c r="O212" s="1"/>
    </row>
    <row r="213" spans="15:15" x14ac:dyDescent="0.2">
      <c r="O213" s="1"/>
    </row>
    <row r="214" spans="15:15" x14ac:dyDescent="0.2">
      <c r="O214" s="1"/>
    </row>
    <row r="215" spans="15:15" x14ac:dyDescent="0.2">
      <c r="O215" s="1"/>
    </row>
    <row r="216" spans="15:15" x14ac:dyDescent="0.2">
      <c r="O216" s="1"/>
    </row>
    <row r="217" spans="15:15" x14ac:dyDescent="0.2">
      <c r="O217" s="1"/>
    </row>
    <row r="218" spans="15:15" x14ac:dyDescent="0.2">
      <c r="O218" s="1"/>
    </row>
    <row r="219" spans="15:15" x14ac:dyDescent="0.2">
      <c r="O219" s="1"/>
    </row>
    <row r="220" spans="15:15" x14ac:dyDescent="0.2">
      <c r="O220" s="1"/>
    </row>
    <row r="221" spans="15:15" x14ac:dyDescent="0.2">
      <c r="O221" s="1"/>
    </row>
    <row r="222" spans="15:15" x14ac:dyDescent="0.2">
      <c r="O222" s="1"/>
    </row>
    <row r="223" spans="15:15" x14ac:dyDescent="0.2">
      <c r="O223" s="1"/>
    </row>
    <row r="224" spans="15:15" x14ac:dyDescent="0.2">
      <c r="O224" s="1"/>
    </row>
    <row r="225" spans="15:15" x14ac:dyDescent="0.2">
      <c r="O225" s="1"/>
    </row>
    <row r="226" spans="15:15" x14ac:dyDescent="0.2">
      <c r="O226" s="1"/>
    </row>
    <row r="227" spans="15:15" x14ac:dyDescent="0.2">
      <c r="O227" s="1"/>
    </row>
    <row r="228" spans="15:15" x14ac:dyDescent="0.2">
      <c r="O228" s="1"/>
    </row>
    <row r="229" spans="15:15" x14ac:dyDescent="0.2">
      <c r="O229" s="1"/>
    </row>
    <row r="230" spans="15:15" x14ac:dyDescent="0.2">
      <c r="O230" s="1"/>
    </row>
    <row r="231" spans="15:15" x14ac:dyDescent="0.2">
      <c r="O231" s="1"/>
    </row>
    <row r="232" spans="15:15" x14ac:dyDescent="0.2">
      <c r="O232" s="1"/>
    </row>
    <row r="233" spans="15:15" x14ac:dyDescent="0.2">
      <c r="O233" s="1"/>
    </row>
    <row r="234" spans="15:15" x14ac:dyDescent="0.2">
      <c r="O234" s="1"/>
    </row>
    <row r="235" spans="15:15" x14ac:dyDescent="0.2">
      <c r="O235" s="1"/>
    </row>
    <row r="236" spans="15:15" x14ac:dyDescent="0.2">
      <c r="O236" s="1"/>
    </row>
    <row r="237" spans="15:15" x14ac:dyDescent="0.2">
      <c r="O237" s="1"/>
    </row>
    <row r="238" spans="15:15" x14ac:dyDescent="0.2">
      <c r="O238" s="1"/>
    </row>
    <row r="239" spans="15:15" x14ac:dyDescent="0.2">
      <c r="O239" s="1"/>
    </row>
    <row r="240" spans="15:15" x14ac:dyDescent="0.2">
      <c r="O240" s="1"/>
    </row>
    <row r="241" spans="15:15" x14ac:dyDescent="0.2">
      <c r="O241" s="1"/>
    </row>
    <row r="242" spans="15:15" x14ac:dyDescent="0.2">
      <c r="O242" s="1"/>
    </row>
    <row r="243" spans="15:15" x14ac:dyDescent="0.2">
      <c r="O243" s="1"/>
    </row>
    <row r="244" spans="15:15" x14ac:dyDescent="0.2">
      <c r="O244" s="1"/>
    </row>
    <row r="245" spans="15:15" x14ac:dyDescent="0.2">
      <c r="O245" s="1"/>
    </row>
    <row r="246" spans="15:15" x14ac:dyDescent="0.2">
      <c r="O246" s="1"/>
    </row>
    <row r="247" spans="15:15" x14ac:dyDescent="0.2">
      <c r="O247" s="1"/>
    </row>
    <row r="248" spans="15:15" x14ac:dyDescent="0.2">
      <c r="O248" s="1"/>
    </row>
    <row r="249" spans="15:15" x14ac:dyDescent="0.2">
      <c r="O249" s="1"/>
    </row>
    <row r="250" spans="15:15" x14ac:dyDescent="0.2">
      <c r="O250" s="1"/>
    </row>
    <row r="251" spans="15:15" x14ac:dyDescent="0.2">
      <c r="O251" s="1"/>
    </row>
    <row r="252" spans="15:15" x14ac:dyDescent="0.2">
      <c r="O252" s="1"/>
    </row>
    <row r="253" spans="15:15" x14ac:dyDescent="0.2">
      <c r="O253" s="1"/>
    </row>
    <row r="254" spans="15:15" x14ac:dyDescent="0.2">
      <c r="O254" s="1"/>
    </row>
    <row r="255" spans="15:15" x14ac:dyDescent="0.2">
      <c r="O255" s="1"/>
    </row>
    <row r="256" spans="15:15" x14ac:dyDescent="0.2">
      <c r="O256" s="1"/>
    </row>
    <row r="257" spans="15:15" x14ac:dyDescent="0.2">
      <c r="O257" s="1"/>
    </row>
    <row r="258" spans="15:15" x14ac:dyDescent="0.2">
      <c r="O258" s="1"/>
    </row>
    <row r="259" spans="15:15" x14ac:dyDescent="0.2">
      <c r="O259" s="1"/>
    </row>
    <row r="260" spans="15:15" x14ac:dyDescent="0.2">
      <c r="O260" s="1"/>
    </row>
    <row r="261" spans="15:15" x14ac:dyDescent="0.2">
      <c r="O261" s="1"/>
    </row>
    <row r="262" spans="15:15" x14ac:dyDescent="0.2">
      <c r="O262" s="1"/>
    </row>
    <row r="263" spans="15:15" x14ac:dyDescent="0.2">
      <c r="O263" s="1"/>
    </row>
    <row r="264" spans="15:15" x14ac:dyDescent="0.2">
      <c r="O264" s="1"/>
    </row>
    <row r="265" spans="15:15" x14ac:dyDescent="0.2">
      <c r="O265" s="1"/>
    </row>
    <row r="266" spans="15:15" x14ac:dyDescent="0.2">
      <c r="O266" s="1"/>
    </row>
    <row r="267" spans="15:15" x14ac:dyDescent="0.2">
      <c r="O267" s="1"/>
    </row>
    <row r="268" spans="15:15" x14ac:dyDescent="0.2">
      <c r="O268" s="1"/>
    </row>
    <row r="269" spans="15:15" x14ac:dyDescent="0.2">
      <c r="O269" s="1"/>
    </row>
    <row r="270" spans="15:15" x14ac:dyDescent="0.2">
      <c r="O270" s="1"/>
    </row>
    <row r="271" spans="15:15" x14ac:dyDescent="0.2">
      <c r="O271" s="1"/>
    </row>
    <row r="272" spans="15:15" x14ac:dyDescent="0.2">
      <c r="O272" s="1"/>
    </row>
    <row r="273" spans="15:15" x14ac:dyDescent="0.2">
      <c r="O273" s="1"/>
    </row>
    <row r="274" spans="15:15" x14ac:dyDescent="0.2">
      <c r="O274" s="1"/>
    </row>
    <row r="275" spans="15:15" x14ac:dyDescent="0.2">
      <c r="O275" s="1"/>
    </row>
    <row r="276" spans="15:15" x14ac:dyDescent="0.2">
      <c r="O276" s="1"/>
    </row>
    <row r="277" spans="15:15" x14ac:dyDescent="0.2">
      <c r="O277" s="1"/>
    </row>
    <row r="278" spans="15:15" x14ac:dyDescent="0.2">
      <c r="O278" s="1"/>
    </row>
    <row r="279" spans="15:15" x14ac:dyDescent="0.2">
      <c r="O279" s="1"/>
    </row>
    <row r="280" spans="15:15" x14ac:dyDescent="0.2">
      <c r="O280" s="1"/>
    </row>
    <row r="281" spans="15:15" x14ac:dyDescent="0.2">
      <c r="O281" s="1"/>
    </row>
    <row r="282" spans="15:15" x14ac:dyDescent="0.2">
      <c r="O282" s="1"/>
    </row>
    <row r="283" spans="15:15" x14ac:dyDescent="0.2">
      <c r="O283" s="1"/>
    </row>
    <row r="284" spans="15:15" x14ac:dyDescent="0.2">
      <c r="O284" s="1"/>
    </row>
    <row r="285" spans="15:15" x14ac:dyDescent="0.2">
      <c r="O285" s="1"/>
    </row>
    <row r="286" spans="15:15" x14ac:dyDescent="0.2">
      <c r="O286" s="1"/>
    </row>
    <row r="287" spans="15:15" x14ac:dyDescent="0.2">
      <c r="O287" s="1"/>
    </row>
    <row r="288" spans="15:15" x14ac:dyDescent="0.2">
      <c r="O288" s="1"/>
    </row>
    <row r="289" spans="15:15" x14ac:dyDescent="0.2">
      <c r="O289" s="1"/>
    </row>
    <row r="290" spans="15:15" x14ac:dyDescent="0.2">
      <c r="O290" s="1"/>
    </row>
    <row r="291" spans="15:15" x14ac:dyDescent="0.2">
      <c r="O291" s="1"/>
    </row>
    <row r="292" spans="15:15" x14ac:dyDescent="0.2">
      <c r="O292" s="1"/>
    </row>
    <row r="293" spans="15:15" x14ac:dyDescent="0.2">
      <c r="O293" s="1"/>
    </row>
    <row r="294" spans="15:15" x14ac:dyDescent="0.2">
      <c r="O294" s="1"/>
    </row>
    <row r="295" spans="15:15" x14ac:dyDescent="0.2">
      <c r="O295" s="1"/>
    </row>
    <row r="296" spans="15:15" x14ac:dyDescent="0.2">
      <c r="O296" s="1"/>
    </row>
    <row r="297" spans="15:15" x14ac:dyDescent="0.2">
      <c r="O297" s="1"/>
    </row>
    <row r="298" spans="15:15" x14ac:dyDescent="0.2">
      <c r="O298" s="1"/>
    </row>
    <row r="299" spans="15:15" x14ac:dyDescent="0.2">
      <c r="O299" s="1"/>
    </row>
    <row r="300" spans="15:15" x14ac:dyDescent="0.2">
      <c r="O300" s="1"/>
    </row>
    <row r="301" spans="15:15" x14ac:dyDescent="0.2">
      <c r="O301" s="1"/>
    </row>
    <row r="302" spans="15:15" x14ac:dyDescent="0.2">
      <c r="O302" s="1"/>
    </row>
    <row r="303" spans="15:15" x14ac:dyDescent="0.2">
      <c r="O303" s="1"/>
    </row>
    <row r="304" spans="15:15" x14ac:dyDescent="0.2">
      <c r="O304" s="1"/>
    </row>
    <row r="305" spans="15:15" x14ac:dyDescent="0.2">
      <c r="O305" s="1"/>
    </row>
    <row r="306" spans="15:15" x14ac:dyDescent="0.2">
      <c r="O306" s="1"/>
    </row>
    <row r="307" spans="15:15" x14ac:dyDescent="0.2">
      <c r="O307" s="1"/>
    </row>
    <row r="308" spans="15:15" x14ac:dyDescent="0.2">
      <c r="O308" s="1"/>
    </row>
    <row r="309" spans="15:15" x14ac:dyDescent="0.2">
      <c r="O309" s="1"/>
    </row>
    <row r="310" spans="15:15" x14ac:dyDescent="0.2">
      <c r="O310" s="1"/>
    </row>
    <row r="311" spans="15:15" x14ac:dyDescent="0.2">
      <c r="O311" s="1"/>
    </row>
    <row r="312" spans="15:15" x14ac:dyDescent="0.2">
      <c r="O312" s="1"/>
    </row>
    <row r="313" spans="15:15" x14ac:dyDescent="0.2">
      <c r="O313" s="1"/>
    </row>
    <row r="314" spans="15:15" x14ac:dyDescent="0.2">
      <c r="O314" s="1"/>
    </row>
    <row r="315" spans="15:15" x14ac:dyDescent="0.2">
      <c r="O315" s="1"/>
    </row>
    <row r="330" spans="15:15" x14ac:dyDescent="0.2">
      <c r="O330" s="1"/>
    </row>
    <row r="331" spans="15:15" x14ac:dyDescent="0.2">
      <c r="O331" s="1"/>
    </row>
    <row r="332" spans="15:15" x14ac:dyDescent="0.2">
      <c r="O332" s="1"/>
    </row>
    <row r="333" spans="15:15" x14ac:dyDescent="0.2">
      <c r="O333" s="1"/>
    </row>
    <row r="334" spans="15:15" x14ac:dyDescent="0.2">
      <c r="O334" s="1"/>
    </row>
    <row r="335" spans="15:15" x14ac:dyDescent="0.2">
      <c r="O335" s="1"/>
    </row>
    <row r="336" spans="15:15" x14ac:dyDescent="0.2">
      <c r="O336" s="1"/>
    </row>
    <row r="337" spans="15:15" x14ac:dyDescent="0.2">
      <c r="O337" s="1"/>
    </row>
    <row r="338" spans="15:15" x14ac:dyDescent="0.2">
      <c r="O338" s="1"/>
    </row>
    <row r="339" spans="15:15" x14ac:dyDescent="0.2">
      <c r="O339" s="1"/>
    </row>
    <row r="340" spans="15:15" x14ac:dyDescent="0.2">
      <c r="O340" s="1"/>
    </row>
    <row r="341" spans="15:15" x14ac:dyDescent="0.2">
      <c r="O341" s="1"/>
    </row>
    <row r="342" spans="15:15" x14ac:dyDescent="0.2">
      <c r="O342" s="1"/>
    </row>
    <row r="343" spans="15:15" x14ac:dyDescent="0.2">
      <c r="O343" s="1"/>
    </row>
    <row r="344" spans="15:15" x14ac:dyDescent="0.2">
      <c r="O344" s="1"/>
    </row>
    <row r="345" spans="15:15" x14ac:dyDescent="0.2">
      <c r="O345" s="1"/>
    </row>
    <row r="346" spans="15:15" x14ac:dyDescent="0.2">
      <c r="O346" s="1"/>
    </row>
    <row r="347" spans="15:15" x14ac:dyDescent="0.2">
      <c r="O347" s="1"/>
    </row>
    <row r="348" spans="15:15" x14ac:dyDescent="0.2">
      <c r="O348" s="1"/>
    </row>
    <row r="349" spans="15:15" x14ac:dyDescent="0.2">
      <c r="O349" s="1"/>
    </row>
    <row r="350" spans="15:15" x14ac:dyDescent="0.2">
      <c r="O350" s="1"/>
    </row>
    <row r="351" spans="15:15" x14ac:dyDescent="0.2">
      <c r="O351" s="1"/>
    </row>
    <row r="352" spans="15:15" x14ac:dyDescent="0.2">
      <c r="O352" s="1"/>
    </row>
    <row r="353" spans="15:15" x14ac:dyDescent="0.2">
      <c r="O353" s="1"/>
    </row>
    <row r="354" spans="15:15" x14ac:dyDescent="0.2">
      <c r="O354" s="1"/>
    </row>
    <row r="355" spans="15:15" x14ac:dyDescent="0.2">
      <c r="O355" s="1"/>
    </row>
    <row r="356" spans="15:15" x14ac:dyDescent="0.2">
      <c r="O356" s="1"/>
    </row>
    <row r="357" spans="15:15" x14ac:dyDescent="0.2">
      <c r="O357" s="1"/>
    </row>
    <row r="358" spans="15:15" x14ac:dyDescent="0.2">
      <c r="O358" s="1"/>
    </row>
    <row r="359" spans="15:15" x14ac:dyDescent="0.2">
      <c r="O359" s="1"/>
    </row>
    <row r="360" spans="15:15" x14ac:dyDescent="0.2">
      <c r="O360" s="1"/>
    </row>
    <row r="361" spans="15:15" x14ac:dyDescent="0.2">
      <c r="O361" s="1"/>
    </row>
    <row r="362" spans="15:15" x14ac:dyDescent="0.2">
      <c r="O362" s="1"/>
    </row>
    <row r="363" spans="15:15" x14ac:dyDescent="0.2">
      <c r="O363" s="1"/>
    </row>
    <row r="364" spans="15:15" x14ac:dyDescent="0.2">
      <c r="O364" s="1"/>
    </row>
    <row r="365" spans="15:15" x14ac:dyDescent="0.2">
      <c r="O365" s="1"/>
    </row>
    <row r="366" spans="15:15" x14ac:dyDescent="0.2">
      <c r="O366" s="1"/>
    </row>
    <row r="367" spans="15:15" x14ac:dyDescent="0.2">
      <c r="O367" s="1"/>
    </row>
    <row r="368" spans="15:15" x14ac:dyDescent="0.2">
      <c r="O368" s="1"/>
    </row>
    <row r="369" spans="15:15" x14ac:dyDescent="0.2">
      <c r="O369" s="1"/>
    </row>
    <row r="370" spans="15:15" x14ac:dyDescent="0.2">
      <c r="O370" s="1"/>
    </row>
    <row r="371" spans="15:15" x14ac:dyDescent="0.2">
      <c r="O371" s="1"/>
    </row>
    <row r="372" spans="15:15" x14ac:dyDescent="0.2">
      <c r="O372" s="1"/>
    </row>
    <row r="373" spans="15:15" x14ac:dyDescent="0.2">
      <c r="O373" s="1"/>
    </row>
    <row r="374" spans="15:15" x14ac:dyDescent="0.2">
      <c r="O374" s="1"/>
    </row>
    <row r="375" spans="15:15" x14ac:dyDescent="0.2">
      <c r="O375" s="1"/>
    </row>
    <row r="376" spans="15:15" x14ac:dyDescent="0.2">
      <c r="O376" s="1"/>
    </row>
    <row r="377" spans="15:15" x14ac:dyDescent="0.2">
      <c r="O377" s="1"/>
    </row>
    <row r="378" spans="15:15" x14ac:dyDescent="0.2">
      <c r="O378" s="1"/>
    </row>
    <row r="379" spans="15:15" x14ac:dyDescent="0.2">
      <c r="O379" s="1"/>
    </row>
    <row r="380" spans="15:15" x14ac:dyDescent="0.2">
      <c r="O380" s="1"/>
    </row>
    <row r="381" spans="15:15" x14ac:dyDescent="0.2">
      <c r="O381" s="1"/>
    </row>
    <row r="382" spans="15:15" x14ac:dyDescent="0.2">
      <c r="O382" s="1"/>
    </row>
    <row r="383" spans="15:15" x14ac:dyDescent="0.2">
      <c r="O383" s="1"/>
    </row>
    <row r="384" spans="15:15" x14ac:dyDescent="0.2">
      <c r="O384" s="1"/>
    </row>
    <row r="385" spans="15:15" x14ac:dyDescent="0.2">
      <c r="O385" s="1"/>
    </row>
    <row r="386" spans="15:15" x14ac:dyDescent="0.2">
      <c r="O386" s="1"/>
    </row>
    <row r="387" spans="15:15" x14ac:dyDescent="0.2">
      <c r="O387" s="1"/>
    </row>
    <row r="388" spans="15:15" x14ac:dyDescent="0.2">
      <c r="O388" s="1"/>
    </row>
    <row r="389" spans="15:15" x14ac:dyDescent="0.2">
      <c r="O389" s="1"/>
    </row>
    <row r="390" spans="15:15" x14ac:dyDescent="0.2">
      <c r="O390" s="1"/>
    </row>
    <row r="391" spans="15:15" x14ac:dyDescent="0.2">
      <c r="O391" s="1"/>
    </row>
    <row r="392" spans="15:15" x14ac:dyDescent="0.2">
      <c r="O392" s="1"/>
    </row>
    <row r="393" spans="15:15" x14ac:dyDescent="0.2">
      <c r="O393" s="1"/>
    </row>
    <row r="394" spans="15:15" x14ac:dyDescent="0.2">
      <c r="O394" s="1"/>
    </row>
    <row r="395" spans="15:15" x14ac:dyDescent="0.2">
      <c r="O395" s="1"/>
    </row>
    <row r="396" spans="15:15" x14ac:dyDescent="0.2">
      <c r="O396" s="1"/>
    </row>
    <row r="397" spans="15:15" x14ac:dyDescent="0.2">
      <c r="O397" s="1"/>
    </row>
    <row r="398" spans="15:15" x14ac:dyDescent="0.2">
      <c r="O398" s="1"/>
    </row>
    <row r="399" spans="15:15" x14ac:dyDescent="0.2">
      <c r="O399" s="1"/>
    </row>
    <row r="400" spans="15:15" x14ac:dyDescent="0.2">
      <c r="O400" s="1"/>
    </row>
    <row r="401" spans="15:15" x14ac:dyDescent="0.2">
      <c r="O401" s="1"/>
    </row>
    <row r="402" spans="15:15" x14ac:dyDescent="0.2">
      <c r="O402" s="1"/>
    </row>
    <row r="403" spans="15:15" x14ac:dyDescent="0.2">
      <c r="O403" s="1"/>
    </row>
    <row r="404" spans="15:15" x14ac:dyDescent="0.2">
      <c r="O404" s="1"/>
    </row>
    <row r="405" spans="15:15" x14ac:dyDescent="0.2">
      <c r="O405" s="1"/>
    </row>
    <row r="406" spans="15:15" x14ac:dyDescent="0.2">
      <c r="O406" s="1"/>
    </row>
    <row r="407" spans="15:15" x14ac:dyDescent="0.2">
      <c r="O407" s="1"/>
    </row>
    <row r="408" spans="15:15" x14ac:dyDescent="0.2">
      <c r="O408" s="1"/>
    </row>
    <row r="409" spans="15:15" x14ac:dyDescent="0.2">
      <c r="O409" s="1"/>
    </row>
    <row r="410" spans="15:15" x14ac:dyDescent="0.2">
      <c r="O410" s="1"/>
    </row>
    <row r="411" spans="15:15" x14ac:dyDescent="0.2">
      <c r="O411" s="1"/>
    </row>
    <row r="412" spans="15:15" x14ac:dyDescent="0.2">
      <c r="O412" s="1"/>
    </row>
    <row r="413" spans="15:15" x14ac:dyDescent="0.2">
      <c r="O413" s="1"/>
    </row>
    <row r="428" spans="15:15" x14ac:dyDescent="0.2">
      <c r="O428" s="1"/>
    </row>
    <row r="429" spans="15:15" x14ac:dyDescent="0.2">
      <c r="O429" s="1"/>
    </row>
    <row r="430" spans="15:15" x14ac:dyDescent="0.2">
      <c r="O430" s="1"/>
    </row>
    <row r="431" spans="15:15" x14ac:dyDescent="0.2">
      <c r="O431" s="1"/>
    </row>
    <row r="432" spans="15:15" x14ac:dyDescent="0.2">
      <c r="O432" s="1"/>
    </row>
    <row r="433" spans="15:15" x14ac:dyDescent="0.2">
      <c r="O433" s="1"/>
    </row>
    <row r="434" spans="15:15" x14ac:dyDescent="0.2">
      <c r="O434" s="1"/>
    </row>
    <row r="435" spans="15:15" x14ac:dyDescent="0.2">
      <c r="O435" s="1"/>
    </row>
    <row r="436" spans="15:15" x14ac:dyDescent="0.2">
      <c r="O436" s="1"/>
    </row>
    <row r="437" spans="15:15" x14ac:dyDescent="0.2">
      <c r="O437" s="1"/>
    </row>
    <row r="438" spans="15:15" x14ac:dyDescent="0.2">
      <c r="O438" s="1"/>
    </row>
    <row r="439" spans="15:15" x14ac:dyDescent="0.2">
      <c r="O439" s="1"/>
    </row>
    <row r="440" spans="15:15" x14ac:dyDescent="0.2">
      <c r="O440" s="1"/>
    </row>
    <row r="441" spans="15:15" x14ac:dyDescent="0.2">
      <c r="O441" s="1"/>
    </row>
    <row r="442" spans="15:15" x14ac:dyDescent="0.2">
      <c r="O442" s="1"/>
    </row>
    <row r="443" spans="15:15" x14ac:dyDescent="0.2">
      <c r="O443" s="1"/>
    </row>
    <row r="444" spans="15:15" x14ac:dyDescent="0.2">
      <c r="O444" s="1"/>
    </row>
    <row r="445" spans="15:15" x14ac:dyDescent="0.2">
      <c r="O445" s="1"/>
    </row>
    <row r="446" spans="15:15" x14ac:dyDescent="0.2">
      <c r="O446" s="1"/>
    </row>
    <row r="447" spans="15:15" x14ac:dyDescent="0.2">
      <c r="O447" s="1"/>
    </row>
    <row r="448" spans="15:15" x14ac:dyDescent="0.2">
      <c r="O448" s="1"/>
    </row>
    <row r="449" spans="15:15" x14ac:dyDescent="0.2">
      <c r="O449" s="1"/>
    </row>
    <row r="450" spans="15:15" x14ac:dyDescent="0.2">
      <c r="O450" s="1"/>
    </row>
    <row r="451" spans="15:15" x14ac:dyDescent="0.2">
      <c r="O451" s="1"/>
    </row>
    <row r="452" spans="15:15" x14ac:dyDescent="0.2">
      <c r="O452" s="1"/>
    </row>
    <row r="453" spans="15:15" x14ac:dyDescent="0.2">
      <c r="O453" s="1"/>
    </row>
    <row r="454" spans="15:15" x14ac:dyDescent="0.2">
      <c r="O454" s="1"/>
    </row>
    <row r="455" spans="15:15" x14ac:dyDescent="0.2">
      <c r="O455" s="1"/>
    </row>
    <row r="456" spans="15:15" x14ac:dyDescent="0.2">
      <c r="O456" s="1"/>
    </row>
    <row r="457" spans="15:15" x14ac:dyDescent="0.2">
      <c r="O457" s="1"/>
    </row>
    <row r="458" spans="15:15" x14ac:dyDescent="0.2">
      <c r="O458" s="1"/>
    </row>
    <row r="459" spans="15:15" x14ac:dyDescent="0.2">
      <c r="O459" s="1"/>
    </row>
    <row r="460" spans="15:15" x14ac:dyDescent="0.2">
      <c r="O460" s="1"/>
    </row>
    <row r="461" spans="15:15" x14ac:dyDescent="0.2">
      <c r="O461" s="1"/>
    </row>
    <row r="462" spans="15:15" x14ac:dyDescent="0.2">
      <c r="O462" s="1"/>
    </row>
    <row r="463" spans="15:15" x14ac:dyDescent="0.2">
      <c r="O463" s="1"/>
    </row>
    <row r="464" spans="15:15" x14ac:dyDescent="0.2">
      <c r="O464" s="1"/>
    </row>
    <row r="465" spans="15:15" x14ac:dyDescent="0.2">
      <c r="O465" s="1"/>
    </row>
    <row r="466" spans="15:15" x14ac:dyDescent="0.2">
      <c r="O466" s="1"/>
    </row>
    <row r="467" spans="15:15" x14ac:dyDescent="0.2">
      <c r="O467" s="1"/>
    </row>
    <row r="468" spans="15:15" x14ac:dyDescent="0.2">
      <c r="O468" s="1"/>
    </row>
    <row r="469" spans="15:15" x14ac:dyDescent="0.2">
      <c r="O469" s="1"/>
    </row>
    <row r="470" spans="15:15" x14ac:dyDescent="0.2">
      <c r="O470" s="1"/>
    </row>
    <row r="471" spans="15:15" x14ac:dyDescent="0.2">
      <c r="O471" s="1"/>
    </row>
    <row r="472" spans="15:15" x14ac:dyDescent="0.2">
      <c r="O472" s="1"/>
    </row>
    <row r="473" spans="15:15" x14ac:dyDescent="0.2">
      <c r="O473" s="1"/>
    </row>
    <row r="474" spans="15:15" x14ac:dyDescent="0.2">
      <c r="O474" s="1"/>
    </row>
    <row r="475" spans="15:15" x14ac:dyDescent="0.2">
      <c r="O475" s="1"/>
    </row>
    <row r="476" spans="15:15" x14ac:dyDescent="0.2">
      <c r="O476" s="1"/>
    </row>
    <row r="477" spans="15:15" x14ac:dyDescent="0.2">
      <c r="O477" s="1"/>
    </row>
    <row r="478" spans="15:15" x14ac:dyDescent="0.2">
      <c r="O478" s="1"/>
    </row>
    <row r="479" spans="15:15" x14ac:dyDescent="0.2">
      <c r="O479" s="1"/>
    </row>
    <row r="480" spans="15:15" x14ac:dyDescent="0.2">
      <c r="O480" s="1"/>
    </row>
    <row r="481" spans="15:15" x14ac:dyDescent="0.2">
      <c r="O481" s="1"/>
    </row>
    <row r="482" spans="15:15" x14ac:dyDescent="0.2">
      <c r="O482" s="1"/>
    </row>
    <row r="483" spans="15:15" x14ac:dyDescent="0.2">
      <c r="O483" s="1"/>
    </row>
    <row r="484" spans="15:15" x14ac:dyDescent="0.2">
      <c r="O484" s="1"/>
    </row>
    <row r="485" spans="15:15" x14ac:dyDescent="0.2">
      <c r="O485" s="1"/>
    </row>
    <row r="486" spans="15:15" x14ac:dyDescent="0.2">
      <c r="O486" s="1"/>
    </row>
    <row r="487" spans="15:15" x14ac:dyDescent="0.2">
      <c r="O487" s="1"/>
    </row>
    <row r="488" spans="15:15" x14ac:dyDescent="0.2">
      <c r="O488" s="1"/>
    </row>
    <row r="489" spans="15:15" x14ac:dyDescent="0.2">
      <c r="O489" s="1"/>
    </row>
    <row r="490" spans="15:15" x14ac:dyDescent="0.2">
      <c r="O490" s="1"/>
    </row>
    <row r="491" spans="15:15" x14ac:dyDescent="0.2">
      <c r="O491" s="1"/>
    </row>
    <row r="492" spans="15:15" x14ac:dyDescent="0.2">
      <c r="O492" s="1"/>
    </row>
    <row r="493" spans="15:15" x14ac:dyDescent="0.2">
      <c r="O493" s="1"/>
    </row>
    <row r="494" spans="15:15" x14ac:dyDescent="0.2">
      <c r="O494" s="1"/>
    </row>
    <row r="495" spans="15:15" x14ac:dyDescent="0.2">
      <c r="O495" s="1"/>
    </row>
    <row r="496" spans="15:15" x14ac:dyDescent="0.2">
      <c r="O496" s="1"/>
    </row>
    <row r="497" spans="15:15" x14ac:dyDescent="0.2">
      <c r="O497" s="1"/>
    </row>
    <row r="498" spans="15:15" x14ac:dyDescent="0.2">
      <c r="O498" s="1"/>
    </row>
    <row r="499" spans="15:15" x14ac:dyDescent="0.2">
      <c r="O499" s="1"/>
    </row>
    <row r="500" spans="15:15" x14ac:dyDescent="0.2">
      <c r="O500" s="1"/>
    </row>
    <row r="501" spans="15:15" x14ac:dyDescent="0.2">
      <c r="O501" s="1"/>
    </row>
    <row r="502" spans="15:15" x14ac:dyDescent="0.2">
      <c r="O502" s="1"/>
    </row>
    <row r="503" spans="15:15" x14ac:dyDescent="0.2">
      <c r="O503" s="1"/>
    </row>
    <row r="504" spans="15:15" x14ac:dyDescent="0.2">
      <c r="O504" s="1"/>
    </row>
    <row r="505" spans="15:15" x14ac:dyDescent="0.2">
      <c r="O505" s="1"/>
    </row>
    <row r="506" spans="15:15" x14ac:dyDescent="0.2">
      <c r="O506" s="1"/>
    </row>
    <row r="507" spans="15:15" x14ac:dyDescent="0.2">
      <c r="O507" s="1"/>
    </row>
    <row r="508" spans="15:15" x14ac:dyDescent="0.2">
      <c r="O508" s="1"/>
    </row>
    <row r="509" spans="15:15" x14ac:dyDescent="0.2">
      <c r="O509" s="1"/>
    </row>
    <row r="510" spans="15:15" x14ac:dyDescent="0.2">
      <c r="O510" s="1"/>
    </row>
    <row r="511" spans="15:15" x14ac:dyDescent="0.2">
      <c r="O511" s="1"/>
    </row>
    <row r="512" spans="15:15" x14ac:dyDescent="0.2">
      <c r="O512" s="1"/>
    </row>
    <row r="513" spans="15:15" x14ac:dyDescent="0.2">
      <c r="O513" s="1"/>
    </row>
    <row r="514" spans="15:15" x14ac:dyDescent="0.2">
      <c r="O514" s="1"/>
    </row>
    <row r="515" spans="15:15" x14ac:dyDescent="0.2">
      <c r="O515" s="1"/>
    </row>
    <row r="516" spans="15:15" x14ac:dyDescent="0.2">
      <c r="O516" s="1"/>
    </row>
    <row r="517" spans="15:15" x14ac:dyDescent="0.2">
      <c r="O517" s="1"/>
    </row>
    <row r="518" spans="15:15" x14ac:dyDescent="0.2">
      <c r="O518" s="1"/>
    </row>
    <row r="519" spans="15:15" x14ac:dyDescent="0.2">
      <c r="O519" s="1"/>
    </row>
    <row r="520" spans="15:15" x14ac:dyDescent="0.2">
      <c r="O520" s="1"/>
    </row>
    <row r="521" spans="15:15" x14ac:dyDescent="0.2">
      <c r="O521" s="1"/>
    </row>
    <row r="522" spans="15:15" x14ac:dyDescent="0.2">
      <c r="O522" s="1"/>
    </row>
    <row r="523" spans="15:15" x14ac:dyDescent="0.2">
      <c r="O523" s="1"/>
    </row>
    <row r="524" spans="15:15" x14ac:dyDescent="0.2">
      <c r="O524" s="1"/>
    </row>
    <row r="525" spans="15:15" x14ac:dyDescent="0.2">
      <c r="O525" s="1"/>
    </row>
    <row r="526" spans="15:15" x14ac:dyDescent="0.2">
      <c r="O526" s="1"/>
    </row>
    <row r="527" spans="15:15" x14ac:dyDescent="0.2">
      <c r="O527" s="1"/>
    </row>
    <row r="528" spans="15:15" x14ac:dyDescent="0.2">
      <c r="O528" s="1"/>
    </row>
    <row r="529" spans="15:15" x14ac:dyDescent="0.2">
      <c r="O529" s="1"/>
    </row>
    <row r="530" spans="15:15" x14ac:dyDescent="0.2">
      <c r="O530" s="1"/>
    </row>
    <row r="531" spans="15:15" x14ac:dyDescent="0.2">
      <c r="O531" s="1"/>
    </row>
    <row r="532" spans="15:15" x14ac:dyDescent="0.2">
      <c r="O532" s="1"/>
    </row>
    <row r="533" spans="15:15" x14ac:dyDescent="0.2">
      <c r="O533" s="1"/>
    </row>
    <row r="558" spans="16:16" x14ac:dyDescent="0.2">
      <c r="P558" s="22"/>
    </row>
    <row r="559" spans="16:16" x14ac:dyDescent="0.2">
      <c r="P559" s="22"/>
    </row>
    <row r="560" spans="16:16" x14ac:dyDescent="0.2">
      <c r="P560" s="22"/>
    </row>
    <row r="561" spans="16:16" x14ac:dyDescent="0.2">
      <c r="P561" s="22"/>
    </row>
    <row r="562" spans="16:16" x14ac:dyDescent="0.2">
      <c r="P562" s="22"/>
    </row>
    <row r="563" spans="16:16" x14ac:dyDescent="0.2">
      <c r="P563" s="22"/>
    </row>
    <row r="564" spans="16:16" x14ac:dyDescent="0.2">
      <c r="P564" s="22"/>
    </row>
    <row r="565" spans="16:16" x14ac:dyDescent="0.2">
      <c r="P565" s="22"/>
    </row>
    <row r="566" spans="16:16" x14ac:dyDescent="0.2">
      <c r="P566" s="22"/>
    </row>
    <row r="567" spans="16:16" x14ac:dyDescent="0.2">
      <c r="P567" s="22"/>
    </row>
    <row r="568" spans="16:16" x14ac:dyDescent="0.2">
      <c r="P568" s="22"/>
    </row>
    <row r="569" spans="16:16" x14ac:dyDescent="0.2">
      <c r="P569" s="22"/>
    </row>
    <row r="570" spans="16:16" x14ac:dyDescent="0.2">
      <c r="P570" s="22"/>
    </row>
    <row r="571" spans="16:16" x14ac:dyDescent="0.2">
      <c r="P571" s="22"/>
    </row>
    <row r="572" spans="16:16" x14ac:dyDescent="0.2">
      <c r="P572" s="22"/>
    </row>
    <row r="573" spans="16:16" x14ac:dyDescent="0.2">
      <c r="P573" s="22"/>
    </row>
    <row r="574" spans="16:16" x14ac:dyDescent="0.2">
      <c r="P574" s="22"/>
    </row>
    <row r="575" spans="16:16" x14ac:dyDescent="0.2">
      <c r="P575" s="22"/>
    </row>
    <row r="576" spans="16:16" x14ac:dyDescent="0.2">
      <c r="P576" s="22"/>
    </row>
    <row r="577" spans="16:16" x14ac:dyDescent="0.2">
      <c r="P577" s="22"/>
    </row>
    <row r="578" spans="16:16" x14ac:dyDescent="0.2">
      <c r="P578" s="22"/>
    </row>
    <row r="579" spans="16:16" x14ac:dyDescent="0.2">
      <c r="P579" s="22"/>
    </row>
    <row r="580" spans="16:16" x14ac:dyDescent="0.2">
      <c r="P580" s="22"/>
    </row>
    <row r="581" spans="16:16" x14ac:dyDescent="0.2">
      <c r="P581" s="22"/>
    </row>
    <row r="622" spans="15:15" x14ac:dyDescent="0.2">
      <c r="O622" s="1"/>
    </row>
    <row r="623" spans="15:15" x14ac:dyDescent="0.2">
      <c r="O623" s="1"/>
    </row>
    <row r="624" spans="15:15" x14ac:dyDescent="0.2">
      <c r="O624" s="1"/>
    </row>
    <row r="625" spans="15:15" x14ac:dyDescent="0.2">
      <c r="O625" s="1"/>
    </row>
    <row r="626" spans="15:15" x14ac:dyDescent="0.2">
      <c r="O626" s="1"/>
    </row>
    <row r="627" spans="15:15" x14ac:dyDescent="0.2">
      <c r="O627" s="1"/>
    </row>
    <row r="628" spans="15:15" x14ac:dyDescent="0.2">
      <c r="O628" s="1"/>
    </row>
    <row r="629" spans="15:15" x14ac:dyDescent="0.2">
      <c r="O629" s="1"/>
    </row>
  </sheetData>
  <phoneticPr fontId="6" type="noConversion"/>
  <dataValidations count="6">
    <dataValidation operator="lessThanOrEqual" showErrorMessage="1" errorTitle="Procedure data entry error" error="Field Length exceeded:  refer to &quot;Result Columns&quot; tab to determine the maximum field length" sqref="I35:N1048576" xr:uid="{00000000-0002-0000-0200-000000000000}"/>
    <dataValidation type="textLength" operator="lessThanOrEqual" showInputMessage="1" showErrorMessage="1" errorTitle="Activity ID data entry error:" error="Field Length exceeded:  refer to &quot;Result Columns&quot; tab to determine the maximum field length" sqref="B35:D1048576" xr:uid="{00000000-0002-0000-0200-000001000000}">
      <formula1>50</formula1>
    </dataValidation>
    <dataValidation type="textLength" operator="lessThanOrEqual" allowBlank="1" showInputMessage="1" showErrorMessage="1" errorTitle="Result Value data entry error" error="Field Length exceeded:  refer to &quot;Result Columns&quot; tab to determine the maximum field length" sqref="P35:P65201" xr:uid="{00000000-0002-0000-0200-000003000000}">
      <formula1>ResultValueMax</formula1>
    </dataValidation>
    <dataValidation type="decimal" operator="greaterThanOrEqual" allowBlank="1" showInputMessage="1" showErrorMessage="1" error="This field allows numerical positive numbers only" sqref="P1" xr:uid="{5C2831BA-1C35-4DDA-A30E-150C637FC8AC}">
      <formula1>0</formula1>
    </dataValidation>
    <dataValidation operator="lessThanOrEqual" allowBlank="1" showInputMessage="1" showErrorMessage="1" error="Please check the list of allowed values" sqref="Q1" xr:uid="{606E6512-102F-4436-A473-520A95CBAB8A}"/>
    <dataValidation type="textLength" operator="lessThanOrEqual" allowBlank="1" showInputMessage="1" showErrorMessage="1" errorTitle="Detection Limit data entry error" error="Field Length exceeded:  refer to &quot;Result Columns&quot; tab to determine the maximum field length" sqref="V35:V65201" xr:uid="{00000000-0002-0000-0200-000002000000}">
      <formula1>DLMax</formula1>
    </dataValidation>
  </dataValidations>
  <pageMargins left="0.5" right="0.5" top="1" bottom="1" header="0.5" footer="0.5"/>
  <pageSetup orientation="landscape"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34" id="{E46AC844-BC56-4657-A417-5F64969D9DFC}">
            <xm:f>AND(     ISNUMBER(P35),     OR(R35="Marine Protected", R35="General Use"),     ISNUMBER(MATCH(O35, Reference!$A$2:$A$102, 0)),     P35 &lt; IFERROR(VLOOKUP(O35, Reference!$G$2:$J$103, 3, FALSE), P35) )</xm:f>
            <x14:dxf>
              <fill>
                <patternFill>
                  <bgColor rgb="FFFF0000"/>
                </patternFill>
              </fill>
            </x14:dxf>
          </x14:cfRule>
          <x14:cfRule type="expression" priority="35" id="{6C58B913-26C2-415D-9A34-46B000DF7548}">
            <xm:f>AND(     ISNUMBER(P35),     OR(R35="Marine Protected", R35="General Use"),     ISNUMBER(MATCH(O35, Reference!$A$2:$A$102, 0)),     P35 &gt;= IF(R35="Marine Protected",         VLOOKUP(O35, Reference!$A$2:$D$102, 4, FALSE) * 0.9,         VLOOKUP(O35, Reference!$A$2:$D$102, 3, FALSE) * 0.9     ) )</xm:f>
            <x14:dxf>
              <fill>
                <patternFill>
                  <bgColor theme="9" tint="0.59996337778862885"/>
                </patternFill>
              </fill>
            </x14:dxf>
          </x14:cfRule>
          <x14:cfRule type="expression" priority="36" id="{0DD2D348-C709-45E5-A5FF-6D6D35076C16}">
            <xm:f>AND(     ISNUMBER(P35),     OR(R35="Marine Protected", R35="General Use"),     ISNUMBER(MATCH(O35, Reference!$A$2:$A$102, 0)),     P35 &lt;= IF(R35="Marine Protected",         VLOOKUP(O35, Reference!$G$2:$J$103, 4, FALSE) * 1.1,         VLOOKUP(O35, Reference!$G$2:$J$103, 3, FALSE) * 1.1     ) )</xm:f>
            <x14:dxf>
              <fill>
                <patternFill>
                  <bgColor theme="9" tint="0.59996337778862885"/>
                </patternFill>
              </fill>
            </x14:dxf>
          </x14:cfRule>
          <x14:cfRule type="expression" priority="37" id="{7A4F54C6-2140-4E64-8CAD-269811E96CDC}">
            <xm:f>AND(     ISNUMBER(P35),     OR(R35="Marine Protected", R35="General Use"),     ISNUMBER(MATCH(O35, Reference!$A$2:$A$102, 0)),     P35 &gt; IFERROR(VLOOKUP(O35, Reference!$A$2:$D$102, 3, FALSE), P35) )</xm:f>
            <x14:dxf>
              <fill>
                <patternFill>
                  <bgColor rgb="FFFF0000"/>
                </patternFill>
              </fill>
            </x14:dxf>
          </x14:cfRule>
          <xm:sqref>P35:P6000</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1AE33E1CFB05747AB7759BE1E2C1D33" ma:contentTypeVersion="12" ma:contentTypeDescription="Create a new document." ma:contentTypeScope="" ma:versionID="ca665224c5aa4d1ab0555a40f53ac34f">
  <xsd:schema xmlns:xsd="http://www.w3.org/2001/XMLSchema" xmlns:xs="http://www.w3.org/2001/XMLSchema" xmlns:p="http://schemas.microsoft.com/office/2006/metadata/properties" xmlns:ns2="34da6649-418e-4b74-a15f-e354de29845d" xmlns:ns3="4a9ed13b-beb1-49f5-b623-c6313ddf5826" targetNamespace="http://schemas.microsoft.com/office/2006/metadata/properties" ma:root="true" ma:fieldsID="bc783fe354f5ed243714291ab8ae2da2" ns2:_="" ns3:_="">
    <xsd:import namespace="34da6649-418e-4b74-a15f-e354de29845d"/>
    <xsd:import namespace="4a9ed13b-beb1-49f5-b623-c6313ddf582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4da6649-418e-4b74-a15f-e354de29845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9ed13b-beb1-49f5-b623-c6313ddf5826"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818D32E-1A69-497A-BB59-1719BF9F1E3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4da6649-418e-4b74-a15f-e354de29845d"/>
    <ds:schemaRef ds:uri="4a9ed13b-beb1-49f5-b623-c6313ddf5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E9CD9F6-AF34-473F-8A93-7039729B6AD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5F2FDE3-040F-407C-BBF4-4DBB435A148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 Field Descriptions</vt:lpstr>
      <vt:lpstr>Results</vt:lpstr>
      <vt:lpstr>List</vt:lpstr>
      <vt:lpstr>Reference</vt:lpstr>
      <vt:lpstr>Draft-Results</vt:lpstr>
      <vt:lpstr>Sample Data</vt:lpstr>
    </vt:vector>
  </TitlesOfParts>
  <Company>DECRP EDD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RTI</dc:creator>
  <cp:lastModifiedBy>Julia Lima</cp:lastModifiedBy>
  <cp:lastPrinted>2008-04-10T01:08:24Z</cp:lastPrinted>
  <dcterms:created xsi:type="dcterms:W3CDTF">2005-04-06T21:56:42Z</dcterms:created>
  <dcterms:modified xsi:type="dcterms:W3CDTF">2024-11-13T09:14:06Z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0x010100D1AE33E1CFB05747AB7759BE1E2C1D33</vt:lpwstr>
  </property>
</Properties>
</file>